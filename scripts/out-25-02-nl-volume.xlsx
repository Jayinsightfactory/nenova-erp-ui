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네덜란드" sheetId="1" r:id="rId1"/>
    <sheet name="_keymap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0"/>
      <name val="맑은 고딕"/>
      <b/>
    </font>
    <font>
      <sz val="10"/>
      <name val="맑은 고딕"/>
      <b/>
    </font>
    <font>
      <sz val="9"/>
      <name val="맑은 고딕"/>
      <b/>
    </font>
    <font>
      <sz val="9"/>
      <name val="맑은 고딕"/>
      <b/>
    </font>
    <font>
      <sz val="9"/>
      <name val="맑은 고딕"/>
      <b/>
    </font>
    <font>
      <sz val="9"/>
      <name val="맑은 고딕"/>
      <b/>
    </font>
    <font>
      <sz val="9"/>
      <name val="맑은 고딕"/>
    </font>
    <font>
      <sz val="9"/>
      <name val="맑은 고딕"/>
      <b/>
    </font>
    <font>
      <sz val="9"/>
      <name val="맑은 고딕"/>
      <b/>
    </font>
    <font>
      <sz val="9"/>
      <name val="맑은 고딕"/>
      <b/>
    </font>
    <font>
      <sz val="9"/>
      <name val="맑은 고딕"/>
      <b/>
      <color rgb="9C0006"/>
    </font>
    <font>
      <sz val="9"/>
      <name val="맑은 고딕"/>
      <b/>
      <color rgb="9C0006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6F2"/>
        <bgColor/>
      </patternFill>
    </fill>
    <fill>
      <patternFill patternType="solid">
        <fgColor rgb="FFD9E6F2"/>
        <bgColor/>
      </patternFill>
    </fill>
    <fill>
      <patternFill patternType="solid">
        <fgColor rgb="FFE8EEF4"/>
        <bgColor/>
      </patternFill>
    </fill>
    <fill>
      <patternFill patternType="solid">
        <fgColor rgb="FFE8EEF4"/>
        <bgColor/>
      </patternFill>
    </fill>
    <fill>
      <patternFill patternType="solid">
        <fgColor rgb="FFE8EEF4"/>
        <bgColor/>
      </patternFill>
    </fill>
    <fill>
      <patternFill patternType="solid">
        <fgColor rgb="FFE8EEF4"/>
        <bgColor/>
      </patternFill>
    </fill>
    <fill>
      <patternFill patternType="solid">
        <fgColor rgb="FFB5D9C8"/>
        <bgColor/>
      </patternFill>
    </fill>
    <fill>
      <patternFill patternType="solid">
        <fgColor rgb="FFB5D9C8"/>
        <bgColor/>
      </patternFill>
    </fill>
    <fill>
      <patternFill patternType="solid">
        <fgColor rgb="FFFFC7CE"/>
        <bgColor/>
      </patternFill>
    </fill>
    <fill>
      <patternFill patternType="solid">
        <fgColor rgb="FFFFC7CE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  <border>
      <left style="thin">
        <color rgb="C8C8C8"/>
      </left>
      <right style="thin">
        <color rgb="C8C8C8"/>
      </right>
      <top style="thin">
        <color rgb="C8C8C8"/>
      </top>
      <bottom style="thin">
        <color rgb="C8C8C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top" wrapText="true"/>
    </xf>
    <xf numFmtId="0" fontId="7" fillId="7" borderId="7" xfId="0" applyFont="1" applyFill="1" applyBorder="1" applyAlignment="1">
      <alignment horizontal="center" vertical="top" wrapText="true"/>
    </xf>
    <xf numFmtId="0" fontId="8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cols>
    <col min="1" max="1" width="24.83203125" customWidth="1"/>
    <col min="2" max="2" width="8.83203125" customWidth="1"/>
    <col min="3" max="3" width="4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2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24.83203125" customWidth="1"/>
  </cols>
  <sheetData>
    <row r="1" ht="22" customHeight="1">
      <c r="A1" s="3" t="str">
        <v>차수(2502) 품종(네덜란드)</v>
      </c>
      <c r="B1" s="4" t="str">
        <v/>
      </c>
      <c r="C1" s="4" t="str">
        <v>경부선_주광</v>
      </c>
      <c r="D1" s="4" t="str">
        <v>경부선</v>
      </c>
      <c r="E1" s="4" t="str">
        <v/>
      </c>
      <c r="F1" s="4" t="str">
        <v>양재동</v>
      </c>
      <c r="G1" s="4" t="str">
        <v/>
      </c>
      <c r="H1" s="4" t="str">
        <v/>
      </c>
      <c r="I1" s="4" t="str">
        <v/>
      </c>
      <c r="J1" s="4" t="str">
        <v>차수(2502) 품종(네덜란드)</v>
      </c>
      <c r="K1" s="4" t="str">
        <v>지방</v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>차수(2502) 품종(네덜란드)</v>
      </c>
    </row>
    <row r="2" ht="20" customHeight="1">
      <c r="A2" s="5" t="str">
        <v/>
      </c>
      <c r="B2" s="6" t="str">
        <v/>
      </c>
      <c r="C2" s="6" t="str">
        <v/>
      </c>
      <c r="D2" s="6" t="str">
        <v>월</v>
      </c>
      <c r="E2" s="6" t="str">
        <v>월</v>
      </c>
      <c r="F2" s="6" t="str">
        <v>월</v>
      </c>
      <c r="G2" s="6" t="str">
        <v>월</v>
      </c>
      <c r="H2" s="6" t="str">
        <v/>
      </c>
      <c r="I2" s="6" t="str">
        <v/>
      </c>
      <c r="J2" s="6" t="str">
        <v/>
      </c>
      <c r="K2" s="6" t="str">
        <v>화</v>
      </c>
      <c r="L2" s="6" t="str">
        <v>화</v>
      </c>
      <c r="M2" s="6" t="str">
        <v>화</v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</row>
    <row r="3" ht="44" customHeight="1" xml:space="preserve">
      <c r="A3" s="6" t="str">
        <v/>
      </c>
      <c r="B3" s="6" t="str">
        <v>칼라</v>
      </c>
      <c r="C3" s="7" t="str" xml:space="preserve">
        <v xml:space="preserve">주광
CL2</v>
      </c>
      <c r="D3" s="8" t="str" xml:space="preserve">
        <v xml:space="preserve">늘봄
CL23</v>
      </c>
      <c r="E3" s="8" t="str" xml:space="preserve">
        <v xml:space="preserve">소재2호
CL3</v>
      </c>
      <c r="F3" s="8" t="str" xml:space="preserve">
        <v xml:space="preserve">뒷길꽃길※
CL6</v>
      </c>
      <c r="G3" s="8" t="str" xml:space="preserve">
        <v xml:space="preserve">북문-☆
CL22</v>
      </c>
      <c r="H3" s="8" t="str" xml:space="preserve">
        <v xml:space="preserve">남문플로르아름
CL72</v>
      </c>
      <c r="I3" s="8" t="str" xml:space="preserve">
        <v xml:space="preserve">뒷길알파(A)
CL10</v>
      </c>
      <c r="J3" s="6" t="str">
        <v/>
      </c>
      <c r="K3" s="8" t="str" xml:space="preserve">
        <v xml:space="preserve">로뎀
CL99</v>
      </c>
      <c r="L3" s="8" t="str" xml:space="preserve">
        <v xml:space="preserve">신라
CLS</v>
      </c>
      <c r="M3" s="8" t="str" xml:space="preserve">
        <v xml:space="preserve">친구5125
CL73</v>
      </c>
      <c r="N3" s="8" t="str" xml:space="preserve">
        <v xml:space="preserve">울산동산
CL21</v>
      </c>
      <c r="O3" s="6" t="str">
        <v>주문</v>
      </c>
      <c r="P3" s="6" t="str">
        <v>입고</v>
      </c>
      <c r="Q3" s="6" t="str">
        <v>재고</v>
      </c>
      <c r="R3" s="6" t="str">
        <v>잔량</v>
      </c>
      <c r="S3" s="6" t="str">
        <v/>
      </c>
    </row>
    <row r="4">
      <c r="A4" s="9" t="str">
        <v>Skimmia / Conf Kew Ger Green</v>
      </c>
      <c r="B4" s="9" t="str">
        <v>그린</v>
      </c>
      <c r="C4" s="10" t="str">
        <v/>
      </c>
      <c r="D4" s="10" t="str">
        <v/>
      </c>
      <c r="E4" s="10">
        <v>50</v>
      </c>
      <c r="F4" s="10" t="str">
        <v/>
      </c>
      <c r="G4" s="10" t="str">
        <v/>
      </c>
      <c r="H4" s="10" t="str">
        <v/>
      </c>
      <c r="I4" s="10" t="str">
        <v/>
      </c>
      <c r="J4" s="9" t="str">
        <v>Skimmia / Conf Kew Ger Green</v>
      </c>
      <c r="K4" s="10" t="str">
        <v/>
      </c>
      <c r="L4" s="10" t="str">
        <v/>
      </c>
      <c r="M4" s="10" t="str">
        <v/>
      </c>
      <c r="N4" s="10" t="str">
        <v/>
      </c>
      <c r="O4" s="11">
        <f>SUM(B4:N4)</f>
        <v>50</v>
      </c>
      <c r="P4" s="12" t="str">
        <v/>
      </c>
      <c r="Q4" s="12" t="str">
        <v/>
      </c>
      <c r="R4" s="13">
        <f>SUM(P4)-SUM(O4)+SUM(Q4)</f>
        <v>-50</v>
      </c>
      <c r="S4" s="9" t="str">
        <v>Skimmia / Conf Kew Ger Green</v>
      </c>
    </row>
    <row r="5">
      <c r="A5" s="9" t="str">
        <v>Agapanthus / Eyfori light blue</v>
      </c>
      <c r="B5" s="9" t="str">
        <v>연블루</v>
      </c>
      <c r="C5" s="10" t="str">
        <v/>
      </c>
      <c r="D5" s="10" t="str">
        <v/>
      </c>
      <c r="E5" s="10">
        <v>160</v>
      </c>
      <c r="F5" s="10" t="str">
        <v/>
      </c>
      <c r="G5" s="10" t="str">
        <v/>
      </c>
      <c r="H5" s="10" t="str">
        <v/>
      </c>
      <c r="I5" s="10" t="str">
        <v/>
      </c>
      <c r="J5" s="9" t="str">
        <v>Agapanthus / Eyfori light blue</v>
      </c>
      <c r="K5" s="10" t="str">
        <v/>
      </c>
      <c r="L5" s="10" t="str">
        <v/>
      </c>
      <c r="M5" s="10" t="str">
        <v/>
      </c>
      <c r="N5" s="10" t="str">
        <v/>
      </c>
      <c r="O5" s="12">
        <f>SUM(B5:N5)</f>
        <v>160</v>
      </c>
      <c r="P5" s="12" t="str">
        <v/>
      </c>
      <c r="Q5" s="12" t="str">
        <v/>
      </c>
      <c r="R5" s="14">
        <f>SUM(P5)-SUM(O5)+SUM(Q5)</f>
        <v>-160</v>
      </c>
      <c r="S5" s="9" t="str">
        <v>Agapanthus / Eyfori light blue</v>
      </c>
    </row>
    <row r="6">
      <c r="A6" s="9" t="str">
        <v>Agapanthus / Eyfori White 70cm</v>
      </c>
      <c r="B6" s="9" t="str">
        <v>화이트</v>
      </c>
      <c r="C6" s="10" t="str">
        <v/>
      </c>
      <c r="D6" s="10" t="str">
        <v/>
      </c>
      <c r="E6" s="10">
        <v>300</v>
      </c>
      <c r="F6" s="10" t="str">
        <v/>
      </c>
      <c r="G6" s="10" t="str">
        <v/>
      </c>
      <c r="H6" s="10" t="str">
        <v/>
      </c>
      <c r="I6" s="10" t="str">
        <v/>
      </c>
      <c r="J6" s="9" t="str">
        <v>Agapanthus / Eyfori White 70cm</v>
      </c>
      <c r="K6" s="10" t="str">
        <v/>
      </c>
      <c r="L6" s="10" t="str">
        <v/>
      </c>
      <c r="M6" s="10" t="str">
        <v/>
      </c>
      <c r="N6" s="10" t="str">
        <v/>
      </c>
      <c r="O6" s="12">
        <f>SUM(B6:N6)</f>
        <v>300</v>
      </c>
      <c r="P6" s="12" t="str">
        <v/>
      </c>
      <c r="Q6" s="12" t="str">
        <v/>
      </c>
      <c r="R6" s="14">
        <f>SUM(P6)-SUM(O6)+SUM(Q6)</f>
        <v>-300</v>
      </c>
      <c r="S6" s="9" t="str">
        <v>Agapanthus / Eyfori White 70cm</v>
      </c>
    </row>
    <row r="7">
      <c r="A7" s="9" t="str">
        <v>Astilbe / Europa L/Pink</v>
      </c>
      <c r="B7" s="9" t="str">
        <v>연핑크</v>
      </c>
      <c r="C7" s="10">
        <v>50</v>
      </c>
      <c r="D7" s="10" t="str">
        <v/>
      </c>
      <c r="E7" s="10" t="str">
        <v/>
      </c>
      <c r="F7" s="10" t="str">
        <v/>
      </c>
      <c r="G7" s="10" t="str">
        <v/>
      </c>
      <c r="H7" s="10" t="str">
        <v/>
      </c>
      <c r="I7" s="10" t="str">
        <v/>
      </c>
      <c r="J7" s="9" t="str">
        <v>Astilbe / Europa L/Pink</v>
      </c>
      <c r="K7" s="10" t="str">
        <v/>
      </c>
      <c r="L7" s="10" t="str">
        <v/>
      </c>
      <c r="M7" s="10" t="str">
        <v/>
      </c>
      <c r="N7" s="10" t="str">
        <v/>
      </c>
      <c r="O7" s="12">
        <f>SUM(B7:N7)</f>
        <v>50</v>
      </c>
      <c r="P7" s="12" t="str">
        <v/>
      </c>
      <c r="Q7" s="12" t="str">
        <v/>
      </c>
      <c r="R7" s="14">
        <f>SUM(P7)-SUM(O7)+SUM(Q7)</f>
        <v>-50</v>
      </c>
      <c r="S7" s="9" t="str">
        <v>Astilbe / Europa L/Pink</v>
      </c>
    </row>
    <row r="8">
      <c r="A8" s="9" t="str">
        <v>Astilbe / Washington White</v>
      </c>
      <c r="B8" s="9" t="str">
        <v>화이트</v>
      </c>
      <c r="C8" s="10">
        <v>200</v>
      </c>
      <c r="D8" s="10" t="str">
        <v/>
      </c>
      <c r="E8" s="10" t="str">
        <v/>
      </c>
      <c r="F8" s="10">
        <v>100</v>
      </c>
      <c r="G8" s="10" t="str">
        <v/>
      </c>
      <c r="H8" s="10" t="str">
        <v/>
      </c>
      <c r="I8" s="10" t="str">
        <v/>
      </c>
      <c r="J8" s="9" t="str">
        <v>Astilbe / Washington White</v>
      </c>
      <c r="K8" s="10" t="str">
        <v/>
      </c>
      <c r="L8" s="10" t="str">
        <v/>
      </c>
      <c r="M8" s="10" t="str">
        <v/>
      </c>
      <c r="N8" s="10" t="str">
        <v/>
      </c>
      <c r="O8" s="12">
        <f>SUM(B8:N8)</f>
        <v>300</v>
      </c>
      <c r="P8" s="12" t="str">
        <v/>
      </c>
      <c r="Q8" s="12" t="str">
        <v/>
      </c>
      <c r="R8" s="14">
        <f>SUM(P8)-SUM(O8)+SUM(Q8)</f>
        <v>-300</v>
      </c>
      <c r="S8" s="9" t="str">
        <v>Astilbe / Washington White</v>
      </c>
    </row>
    <row r="9">
      <c r="A9" s="9" t="str">
        <v>Anthurium Graciosa 13cm</v>
      </c>
      <c r="B9" s="9" t="str">
        <v>화이트</v>
      </c>
      <c r="C9" s="10">
        <v>60</v>
      </c>
      <c r="D9" s="10" t="str">
        <v/>
      </c>
      <c r="E9" s="10" t="str">
        <v/>
      </c>
      <c r="F9" s="10" t="str">
        <v/>
      </c>
      <c r="G9" s="10" t="str">
        <v/>
      </c>
      <c r="H9" s="10" t="str">
        <v/>
      </c>
      <c r="I9" s="10" t="str">
        <v/>
      </c>
      <c r="J9" s="9" t="str">
        <v>Anthurium Graciosa 13cm</v>
      </c>
      <c r="K9" s="10" t="str">
        <v/>
      </c>
      <c r="L9" s="10" t="str">
        <v/>
      </c>
      <c r="M9" s="10" t="str">
        <v/>
      </c>
      <c r="N9" s="10" t="str">
        <v/>
      </c>
      <c r="O9" s="12">
        <f>SUM(B9:N9)</f>
        <v>60</v>
      </c>
      <c r="P9" s="12" t="str">
        <v/>
      </c>
      <c r="Q9" s="12" t="str">
        <v/>
      </c>
      <c r="R9" s="14">
        <f>SUM(P9)-SUM(O9)+SUM(Q9)</f>
        <v>-60</v>
      </c>
      <c r="S9" s="9" t="str">
        <v>Anthurium Graciosa 13cm</v>
      </c>
    </row>
    <row r="10">
      <c r="A10" s="9" t="str">
        <v>Anthurium Graciosa 15cm</v>
      </c>
      <c r="B10" s="9" t="str">
        <v>화이트</v>
      </c>
      <c r="C10" s="10" t="str">
        <v/>
      </c>
      <c r="D10" s="10">
        <v>100</v>
      </c>
      <c r="E10" s="10" t="str">
        <v/>
      </c>
      <c r="F10" s="10" t="str">
        <v/>
      </c>
      <c r="G10" s="10" t="str">
        <v/>
      </c>
      <c r="H10" s="10" t="str">
        <v/>
      </c>
      <c r="I10" s="10" t="str">
        <v/>
      </c>
      <c r="J10" s="9" t="str">
        <v>Anthurium Graciosa 15cm</v>
      </c>
      <c r="K10" s="10" t="str">
        <v/>
      </c>
      <c r="L10" s="10">
        <v>180</v>
      </c>
      <c r="M10" s="10" t="str">
        <v/>
      </c>
      <c r="N10" s="10" t="str">
        <v/>
      </c>
      <c r="O10" s="12">
        <f>SUM(B10:N10)</f>
        <v>280</v>
      </c>
      <c r="P10" s="12" t="str">
        <v/>
      </c>
      <c r="Q10" s="12" t="str">
        <v/>
      </c>
      <c r="R10" s="14">
        <f>SUM(P10)-SUM(O10)+SUM(Q10)</f>
        <v>-280</v>
      </c>
      <c r="S10" s="9" t="str">
        <v>Anthurium Graciosa 15cm</v>
      </c>
    </row>
    <row r="11">
      <c r="A11" s="9" t="str">
        <v>Anthurium Princess Alexia Bordeaux 11cm</v>
      </c>
      <c r="B11" s="9" t="str">
        <v>레드</v>
      </c>
      <c r="C11" s="10" t="str">
        <v/>
      </c>
      <c r="D11" s="10">
        <v>16</v>
      </c>
      <c r="E11" s="10" t="str">
        <v/>
      </c>
      <c r="F11" s="10" t="str">
        <v/>
      </c>
      <c r="G11" s="10" t="str">
        <v/>
      </c>
      <c r="H11" s="10" t="str">
        <v/>
      </c>
      <c r="I11" s="10" t="str">
        <v/>
      </c>
      <c r="J11" s="9" t="str">
        <v>Anthurium Princess Alexia Bordeaux 11cm</v>
      </c>
      <c r="K11" s="10" t="str">
        <v/>
      </c>
      <c r="L11" s="10" t="str">
        <v/>
      </c>
      <c r="M11" s="10" t="str">
        <v/>
      </c>
      <c r="N11" s="10" t="str">
        <v/>
      </c>
      <c r="O11" s="12">
        <f>SUM(B11:N11)</f>
        <v>16</v>
      </c>
      <c r="P11" s="12" t="str">
        <v/>
      </c>
      <c r="Q11" s="12" t="str">
        <v/>
      </c>
      <c r="R11" s="14">
        <f>SUM(P11)-SUM(O11)+SUM(Q11)</f>
        <v>-16</v>
      </c>
      <c r="S11" s="9" t="str">
        <v>Anthurium Princess Alexia Bordeaux 11cm</v>
      </c>
    </row>
    <row r="12">
      <c r="A12" s="9" t="str">
        <v>Allium / Gladiator</v>
      </c>
      <c r="B12" s="9" t="str">
        <v>보라</v>
      </c>
      <c r="C12" s="10" t="str">
        <v/>
      </c>
      <c r="D12" s="10" t="str">
        <v/>
      </c>
      <c r="E12" s="10">
        <v>200</v>
      </c>
      <c r="F12" s="10" t="str">
        <v/>
      </c>
      <c r="G12" s="10" t="str">
        <v/>
      </c>
      <c r="H12" s="10" t="str">
        <v/>
      </c>
      <c r="I12" s="10" t="str">
        <v/>
      </c>
      <c r="J12" s="9" t="str">
        <v>Allium / Gladiator</v>
      </c>
      <c r="K12" s="10" t="str">
        <v/>
      </c>
      <c r="L12" s="10" t="str">
        <v/>
      </c>
      <c r="M12" s="10" t="str">
        <v/>
      </c>
      <c r="N12" s="10" t="str">
        <v/>
      </c>
      <c r="O12" s="12">
        <f>SUM(B12:N12)</f>
        <v>200</v>
      </c>
      <c r="P12" s="12" t="str">
        <v/>
      </c>
      <c r="Q12" s="12" t="str">
        <v/>
      </c>
      <c r="R12" s="14">
        <f>SUM(P12)-SUM(O12)+SUM(Q12)</f>
        <v>-200</v>
      </c>
      <c r="S12" s="9" t="str">
        <v>Allium / Gladiator</v>
      </c>
    </row>
    <row r="13">
      <c r="A13" s="9" t="str">
        <v>Allium / Mount Everest White</v>
      </c>
      <c r="B13" s="9" t="str">
        <v>화이트</v>
      </c>
      <c r="C13" s="10">
        <v>20</v>
      </c>
      <c r="D13" s="10" t="str">
        <v/>
      </c>
      <c r="E13" s="10">
        <v>420</v>
      </c>
      <c r="F13" s="10" t="str">
        <v/>
      </c>
      <c r="G13" s="10" t="str">
        <v/>
      </c>
      <c r="H13" s="10" t="str">
        <v/>
      </c>
      <c r="I13" s="10" t="str">
        <v/>
      </c>
      <c r="J13" s="9" t="str">
        <v>Allium / Mount Everest White</v>
      </c>
      <c r="K13" s="10" t="str">
        <v/>
      </c>
      <c r="L13" s="10" t="str">
        <v/>
      </c>
      <c r="M13" s="10" t="str">
        <v/>
      </c>
      <c r="N13" s="10" t="str">
        <v/>
      </c>
      <c r="O13" s="12">
        <f>SUM(B13:N13)</f>
        <v>440</v>
      </c>
      <c r="P13" s="12" t="str">
        <v/>
      </c>
      <c r="Q13" s="12" t="str">
        <v/>
      </c>
      <c r="R13" s="14">
        <f>SUM(P13)-SUM(O13)+SUM(Q13)</f>
        <v>-440</v>
      </c>
      <c r="S13" s="9" t="str">
        <v>Allium / Mount Everest White</v>
      </c>
    </row>
    <row r="14">
      <c r="A14" s="9" t="str">
        <v>Allium / Rosy Bells</v>
      </c>
      <c r="B14" s="9" t="str">
        <v>핑크</v>
      </c>
      <c r="C14" s="10" t="str">
        <v/>
      </c>
      <c r="D14" s="10" t="str">
        <v/>
      </c>
      <c r="E14" s="10">
        <v>100</v>
      </c>
      <c r="F14" s="10" t="str">
        <v/>
      </c>
      <c r="G14" s="10" t="str">
        <v/>
      </c>
      <c r="H14" s="10" t="str">
        <v/>
      </c>
      <c r="I14" s="10" t="str">
        <v/>
      </c>
      <c r="J14" s="9" t="str">
        <v>Allium / Rosy Bells</v>
      </c>
      <c r="K14" s="10" t="str">
        <v/>
      </c>
      <c r="L14" s="10" t="str">
        <v/>
      </c>
      <c r="M14" s="10" t="str">
        <v/>
      </c>
      <c r="N14" s="10" t="str">
        <v/>
      </c>
      <c r="O14" s="12">
        <f>SUM(B14:N14)</f>
        <v>100</v>
      </c>
      <c r="P14" s="12" t="str">
        <v/>
      </c>
      <c r="Q14" s="12" t="str">
        <v/>
      </c>
      <c r="R14" s="14">
        <f>SUM(P14)-SUM(O14)+SUM(Q14)</f>
        <v>-100</v>
      </c>
      <c r="S14" s="9" t="str">
        <v>Allium / Rosy Bells</v>
      </c>
    </row>
    <row r="15">
      <c r="A15" s="9" t="str">
        <v>Allium Globemaster</v>
      </c>
      <c r="B15" s="9" t="str">
        <v>보라</v>
      </c>
      <c r="C15" s="10" t="str">
        <v/>
      </c>
      <c r="D15" s="10" t="str">
        <v/>
      </c>
      <c r="E15" s="10">
        <v>30</v>
      </c>
      <c r="F15" s="10" t="str">
        <v/>
      </c>
      <c r="G15" s="10" t="str">
        <v/>
      </c>
      <c r="H15" s="10" t="str">
        <v/>
      </c>
      <c r="I15" s="10" t="str">
        <v/>
      </c>
      <c r="J15" s="9" t="str">
        <v>Allium Globemaster</v>
      </c>
      <c r="K15" s="10" t="str">
        <v/>
      </c>
      <c r="L15" s="10" t="str">
        <v/>
      </c>
      <c r="M15" s="10" t="str">
        <v/>
      </c>
      <c r="N15" s="10" t="str">
        <v/>
      </c>
      <c r="O15" s="12">
        <f>SUM(B15:N15)</f>
        <v>30</v>
      </c>
      <c r="P15" s="12" t="str">
        <v/>
      </c>
      <c r="Q15" s="12" t="str">
        <v/>
      </c>
      <c r="R15" s="14">
        <f>SUM(P15)-SUM(O15)+SUM(Q15)</f>
        <v>-30</v>
      </c>
      <c r="S15" s="9" t="str">
        <v>Allium Globemaster</v>
      </c>
    </row>
    <row r="16">
      <c r="A16" s="9" t="str">
        <v>Eryngium Orion Blue 60cm</v>
      </c>
      <c r="B16" s="9" t="str">
        <v>오리온블루</v>
      </c>
      <c r="C16" s="10">
        <v>90</v>
      </c>
      <c r="D16" s="10" t="str">
        <v/>
      </c>
      <c r="E16" s="10" t="str">
        <v/>
      </c>
      <c r="F16" s="10" t="str">
        <v/>
      </c>
      <c r="G16" s="10" t="str">
        <v/>
      </c>
      <c r="H16" s="10" t="str">
        <v/>
      </c>
      <c r="I16" s="10" t="str">
        <v/>
      </c>
      <c r="J16" s="9" t="str">
        <v>Eryngium Orion Blue 60cm</v>
      </c>
      <c r="K16" s="10" t="str">
        <v/>
      </c>
      <c r="L16" s="10" t="str">
        <v/>
      </c>
      <c r="M16" s="10" t="str">
        <v/>
      </c>
      <c r="N16" s="10" t="str">
        <v/>
      </c>
      <c r="O16" s="12">
        <f>SUM(B16:N16)</f>
        <v>90</v>
      </c>
      <c r="P16" s="12" t="str">
        <v/>
      </c>
      <c r="Q16" s="12" t="str">
        <v/>
      </c>
      <c r="R16" s="14">
        <f>SUM(P16)-SUM(O16)+SUM(Q16)</f>
        <v>-90</v>
      </c>
      <c r="S16" s="9" t="str">
        <v>Eryngium Orion Blue 60cm</v>
      </c>
    </row>
    <row r="17">
      <c r="A17" s="9" t="str">
        <v>Clematis Amazing Sofia 70cm</v>
      </c>
      <c r="B17" s="9" t="str">
        <v>보라</v>
      </c>
      <c r="C17" s="10" t="str">
        <v/>
      </c>
      <c r="D17" s="10" t="str">
        <v/>
      </c>
      <c r="E17" s="10" t="str">
        <v/>
      </c>
      <c r="F17" s="10" t="str">
        <v/>
      </c>
      <c r="G17" s="10" t="str">
        <v/>
      </c>
      <c r="H17" s="10" t="str">
        <v/>
      </c>
      <c r="I17" s="10" t="str">
        <v/>
      </c>
      <c r="J17" s="9" t="str">
        <v>Clematis Amazing Sofia 70cm</v>
      </c>
      <c r="K17" s="10">
        <v>200</v>
      </c>
      <c r="L17" s="10" t="str">
        <v/>
      </c>
      <c r="M17" s="10" t="str">
        <v/>
      </c>
      <c r="N17" s="10" t="str">
        <v/>
      </c>
      <c r="O17" s="12">
        <f>SUM(B17:N17)</f>
        <v>200</v>
      </c>
      <c r="P17" s="12" t="str">
        <v/>
      </c>
      <c r="Q17" s="12" t="str">
        <v/>
      </c>
      <c r="R17" s="14">
        <f>SUM(P17)-SUM(O17)+SUM(Q17)</f>
        <v>-200</v>
      </c>
      <c r="S17" s="9" t="str">
        <v>Clematis Amazing Sofia 70cm</v>
      </c>
    </row>
    <row r="18">
      <c r="A18" s="9" t="str">
        <v>Double Kantika Lavender</v>
      </c>
      <c r="B18" s="9" t="str">
        <v>라벤더</v>
      </c>
      <c r="C18" s="10">
        <v>10</v>
      </c>
      <c r="D18" s="10" t="str">
        <v/>
      </c>
      <c r="E18" s="10" t="str">
        <v/>
      </c>
      <c r="F18" s="10" t="str">
        <v/>
      </c>
      <c r="G18" s="10" t="str">
        <v/>
      </c>
      <c r="H18" s="10" t="str">
        <v/>
      </c>
      <c r="I18" s="10" t="str">
        <v/>
      </c>
      <c r="J18" s="9" t="str">
        <v>Double Kantika Lavender</v>
      </c>
      <c r="K18" s="10" t="str">
        <v/>
      </c>
      <c r="L18" s="10" t="str">
        <v/>
      </c>
      <c r="M18" s="10" t="str">
        <v/>
      </c>
      <c r="N18" s="10" t="str">
        <v/>
      </c>
      <c r="O18" s="12">
        <f>SUM(B18:N18)</f>
        <v>10</v>
      </c>
      <c r="P18" s="12" t="str">
        <v/>
      </c>
      <c r="Q18" s="12" t="str">
        <v/>
      </c>
      <c r="R18" s="14">
        <f>SUM(P18)-SUM(O18)+SUM(Q18)</f>
        <v>-10</v>
      </c>
      <c r="S18" s="9" t="str">
        <v>Double Kantika Lavender</v>
      </c>
    </row>
    <row r="19">
      <c r="A19" s="9" t="str">
        <v>Liberster White</v>
      </c>
      <c r="B19" s="9" t="str">
        <v>별튤립화이트</v>
      </c>
      <c r="C19" s="10">
        <v>5</v>
      </c>
      <c r="D19" s="10" t="str">
        <v/>
      </c>
      <c r="E19" s="10" t="str">
        <v/>
      </c>
      <c r="F19" s="10" t="str">
        <v/>
      </c>
      <c r="G19" s="10" t="str">
        <v/>
      </c>
      <c r="H19" s="10" t="str">
        <v/>
      </c>
      <c r="I19" s="10" t="str">
        <v/>
      </c>
      <c r="J19" s="9" t="str">
        <v>Liberster White</v>
      </c>
      <c r="K19" s="10">
        <v>5</v>
      </c>
      <c r="L19" s="10" t="str">
        <v/>
      </c>
      <c r="M19" s="10" t="str">
        <v/>
      </c>
      <c r="N19" s="10" t="str">
        <v/>
      </c>
      <c r="O19" s="12">
        <f>SUM(B19:N19)</f>
        <v>10</v>
      </c>
      <c r="P19" s="12" t="str">
        <v/>
      </c>
      <c r="Q19" s="12" t="str">
        <v/>
      </c>
      <c r="R19" s="14">
        <f>SUM(P19)-SUM(O19)+SUM(Q19)</f>
        <v>-10</v>
      </c>
      <c r="S19" s="9" t="str">
        <v>Liberster White</v>
      </c>
    </row>
    <row r="20">
      <c r="A20" s="9" t="str">
        <v>Single Antarctica</v>
      </c>
      <c r="B20" s="9" t="str">
        <v>화이트</v>
      </c>
      <c r="C20" s="10">
        <v>10</v>
      </c>
      <c r="D20" s="10" t="str">
        <v/>
      </c>
      <c r="E20" s="10" t="str">
        <v/>
      </c>
      <c r="F20" s="10">
        <v>5</v>
      </c>
      <c r="G20" s="10">
        <v>10</v>
      </c>
      <c r="H20" s="10">
        <v>10</v>
      </c>
      <c r="I20" s="10" t="str">
        <v/>
      </c>
      <c r="J20" s="9" t="str">
        <v>Single Antarctica</v>
      </c>
      <c r="K20" s="10" t="str">
        <v/>
      </c>
      <c r="L20" s="10" t="str">
        <v/>
      </c>
      <c r="M20" s="10" t="str">
        <v/>
      </c>
      <c r="N20" s="10">
        <v>5</v>
      </c>
      <c r="O20" s="12">
        <f>SUM(B20:N20)</f>
        <v>40</v>
      </c>
      <c r="P20" s="12" t="str">
        <v/>
      </c>
      <c r="Q20" s="12" t="str">
        <v/>
      </c>
      <c r="R20" s="14">
        <f>SUM(P20)-SUM(O20)+SUM(Q20)</f>
        <v>-40</v>
      </c>
      <c r="S20" s="9" t="str">
        <v>Single Antarctica</v>
      </c>
    </row>
    <row r="21">
      <c r="A21" s="9" t="str">
        <v>Single Dynasty L/Pink</v>
      </c>
      <c r="B21" s="9" t="str">
        <v>연핑크</v>
      </c>
      <c r="C21" s="10">
        <v>15</v>
      </c>
      <c r="D21" s="10" t="str">
        <v/>
      </c>
      <c r="E21" s="10" t="str">
        <v/>
      </c>
      <c r="F21" s="10">
        <v>5</v>
      </c>
      <c r="G21" s="10" t="str">
        <v/>
      </c>
      <c r="H21" s="10">
        <v>10</v>
      </c>
      <c r="I21" s="10" t="str">
        <v/>
      </c>
      <c r="J21" s="9" t="str">
        <v>Single Dynasty L/Pink</v>
      </c>
      <c r="K21" s="10" t="str">
        <v/>
      </c>
      <c r="L21" s="10" t="str">
        <v/>
      </c>
      <c r="M21" s="10" t="str">
        <v/>
      </c>
      <c r="N21" s="10" t="str">
        <v/>
      </c>
      <c r="O21" s="12">
        <f>SUM(B21:N21)</f>
        <v>30</v>
      </c>
      <c r="P21" s="12" t="str">
        <v/>
      </c>
      <c r="Q21" s="12" t="str">
        <v/>
      </c>
      <c r="R21" s="14">
        <f>SUM(P21)-SUM(O21)+SUM(Q21)</f>
        <v>-30</v>
      </c>
      <c r="S21" s="9" t="str">
        <v>Single Dynasty L/Pink</v>
      </c>
    </row>
    <row r="22">
      <c r="A22" s="9" t="str">
        <v>Single First Class</v>
      </c>
      <c r="B22" s="9" t="str">
        <v>연핑크</v>
      </c>
      <c r="C22" s="10" t="str">
        <v/>
      </c>
      <c r="D22" s="10" t="str">
        <v/>
      </c>
      <c r="E22" s="10" t="str">
        <v/>
      </c>
      <c r="F22" s="10" t="str">
        <v/>
      </c>
      <c r="G22" s="10" t="str">
        <v/>
      </c>
      <c r="H22" s="10" t="str">
        <v/>
      </c>
      <c r="I22" s="10" t="str">
        <v/>
      </c>
      <c r="J22" s="9" t="str">
        <v>Single First Class</v>
      </c>
      <c r="K22" s="10">
        <v>5</v>
      </c>
      <c r="L22" s="10" t="str">
        <v/>
      </c>
      <c r="M22" s="10" t="str">
        <v/>
      </c>
      <c r="N22" s="10" t="str">
        <v/>
      </c>
      <c r="O22" s="12">
        <f>SUM(B22:N22)</f>
        <v>5</v>
      </c>
      <c r="P22" s="12" t="str">
        <v/>
      </c>
      <c r="Q22" s="12" t="str">
        <v/>
      </c>
      <c r="R22" s="14">
        <f>SUM(P22)-SUM(O22)+SUM(Q22)</f>
        <v>-5</v>
      </c>
      <c r="S22" s="9" t="str">
        <v>Single First Class</v>
      </c>
    </row>
    <row r="23">
      <c r="A23" s="9" t="str">
        <v>Single Orange Juice</v>
      </c>
      <c r="B23" s="9" t="str">
        <v>오렌지</v>
      </c>
      <c r="C23" s="10">
        <v>10</v>
      </c>
      <c r="D23" s="10" t="str">
        <v/>
      </c>
      <c r="E23" s="10" t="str">
        <v/>
      </c>
      <c r="F23" s="10" t="str">
        <v/>
      </c>
      <c r="G23" s="10" t="str">
        <v/>
      </c>
      <c r="H23" s="10" t="str">
        <v/>
      </c>
      <c r="I23" s="10" t="str">
        <v/>
      </c>
      <c r="J23" s="9" t="str">
        <v>Single Orange Juice</v>
      </c>
      <c r="K23" s="10">
        <v>5</v>
      </c>
      <c r="L23" s="10" t="str">
        <v/>
      </c>
      <c r="M23" s="10" t="str">
        <v/>
      </c>
      <c r="N23" s="10" t="str">
        <v/>
      </c>
      <c r="O23" s="12">
        <f>SUM(B23:N23)</f>
        <v>15</v>
      </c>
      <c r="P23" s="12" t="str">
        <v/>
      </c>
      <c r="Q23" s="12" t="str">
        <v/>
      </c>
      <c r="R23" s="14">
        <f>SUM(P23)-SUM(O23)+SUM(Q23)</f>
        <v>-15</v>
      </c>
      <c r="S23" s="9" t="str">
        <v>Single Orange Juice</v>
      </c>
    </row>
    <row r="24">
      <c r="A24" s="9" t="str">
        <v>Single Royal Virgen White1</v>
      </c>
      <c r="B24" s="9" t="str">
        <v>화이트</v>
      </c>
      <c r="C24" s="10">
        <v>30</v>
      </c>
      <c r="D24" s="10" t="str">
        <v/>
      </c>
      <c r="E24" s="10" t="str">
        <v/>
      </c>
      <c r="F24" s="10" t="str">
        <v/>
      </c>
      <c r="G24" s="10" t="str">
        <v/>
      </c>
      <c r="H24" s="10" t="str">
        <v/>
      </c>
      <c r="I24" s="10">
        <v>10</v>
      </c>
      <c r="J24" s="9" t="str">
        <v>Single Royal Virgen White1</v>
      </c>
      <c r="K24" s="10">
        <v>5</v>
      </c>
      <c r="L24" s="10" t="str">
        <v/>
      </c>
      <c r="M24" s="10">
        <v>5</v>
      </c>
      <c r="N24" s="10" t="str">
        <v/>
      </c>
      <c r="O24" s="12">
        <f>SUM(B24:N24)</f>
        <v>50</v>
      </c>
      <c r="P24" s="12" t="str">
        <v/>
      </c>
      <c r="Q24" s="12" t="str">
        <v/>
      </c>
      <c r="R24" s="14">
        <f>SUM(P24)-SUM(O24)+SUM(Q24)</f>
        <v>-50</v>
      </c>
      <c r="S24" s="9" t="str">
        <v>Single Royal Virgen White1</v>
      </c>
    </row>
    <row r="25">
      <c r="A25" s="9" t="str">
        <v>Nutan / High Gold</v>
      </c>
      <c r="B25" s="9" t="str">
        <v>노랑</v>
      </c>
      <c r="C25" s="10" t="str">
        <v/>
      </c>
      <c r="D25" s="10" t="str">
        <v/>
      </c>
      <c r="E25" s="10">
        <v>50</v>
      </c>
      <c r="F25" s="10" t="str">
        <v/>
      </c>
      <c r="G25" s="10" t="str">
        <v/>
      </c>
      <c r="H25" s="10" t="str">
        <v/>
      </c>
      <c r="I25" s="10" t="str">
        <v/>
      </c>
      <c r="J25" s="9" t="str">
        <v>Nutan / High Gold</v>
      </c>
      <c r="K25" s="10" t="str">
        <v/>
      </c>
      <c r="L25" s="10" t="str">
        <v/>
      </c>
      <c r="M25" s="10" t="str">
        <v/>
      </c>
      <c r="N25" s="10" t="str">
        <v/>
      </c>
      <c r="O25" s="12">
        <f>SUM(B25:N25)</f>
        <v>50</v>
      </c>
      <c r="P25" s="12" t="str">
        <v/>
      </c>
      <c r="Q25" s="12" t="str">
        <v/>
      </c>
      <c r="R25" s="14">
        <f>SUM(P25)-SUM(O25)+SUM(Q25)</f>
        <v>-50</v>
      </c>
      <c r="S25" s="9" t="str">
        <v>Nutan / High Gold</v>
      </c>
    </row>
    <row r="26">
      <c r="A26" s="9" t="str">
        <v>Nutan / Succession</v>
      </c>
      <c r="B26" s="9" t="str">
        <v>오렌지</v>
      </c>
      <c r="C26" s="10" t="str">
        <v/>
      </c>
      <c r="D26" s="10" t="str">
        <v/>
      </c>
      <c r="E26" s="10">
        <v>50</v>
      </c>
      <c r="F26" s="10" t="str">
        <v/>
      </c>
      <c r="G26" s="10" t="str">
        <v/>
      </c>
      <c r="H26" s="10" t="str">
        <v/>
      </c>
      <c r="I26" s="10" t="str">
        <v/>
      </c>
      <c r="J26" s="9" t="str">
        <v>Nutan / Succession</v>
      </c>
      <c r="K26" s="10" t="str">
        <v/>
      </c>
      <c r="L26" s="10" t="str">
        <v/>
      </c>
      <c r="M26" s="10" t="str">
        <v/>
      </c>
      <c r="N26" s="10" t="str">
        <v/>
      </c>
      <c r="O26" s="12">
        <f>SUM(B26:N26)</f>
        <v>50</v>
      </c>
      <c r="P26" s="12" t="str">
        <v/>
      </c>
      <c r="Q26" s="12" t="str">
        <v/>
      </c>
      <c r="R26" s="14">
        <f>SUM(P26)-SUM(O26)+SUM(Q26)</f>
        <v>-50</v>
      </c>
      <c r="S26" s="9" t="str">
        <v>Nutan / Succession</v>
      </c>
    </row>
    <row r="27">
      <c r="A27" s="9" t="str">
        <v>Nutan / Tango</v>
      </c>
      <c r="B27" s="9" t="str">
        <v>오렌지</v>
      </c>
      <c r="C27" s="10" t="str">
        <v/>
      </c>
      <c r="D27" s="10" t="str">
        <v/>
      </c>
      <c r="E27" s="10">
        <v>50</v>
      </c>
      <c r="F27" s="10" t="str">
        <v/>
      </c>
      <c r="G27" s="10" t="str">
        <v/>
      </c>
      <c r="H27" s="10" t="str">
        <v/>
      </c>
      <c r="I27" s="10" t="str">
        <v/>
      </c>
      <c r="J27" s="9" t="str">
        <v>Nutan / Tango</v>
      </c>
      <c r="K27" s="10" t="str">
        <v/>
      </c>
      <c r="L27" s="10" t="str">
        <v/>
      </c>
      <c r="M27" s="10" t="str">
        <v/>
      </c>
      <c r="N27" s="10" t="str">
        <v/>
      </c>
      <c r="O27" s="12">
        <f>SUM(B27:N27)</f>
        <v>50</v>
      </c>
      <c r="P27" s="12" t="str">
        <v/>
      </c>
      <c r="Q27" s="12" t="str">
        <v/>
      </c>
      <c r="R27" s="14">
        <f>SUM(P27)-SUM(O27)+SUM(Q27)</f>
        <v>-50</v>
      </c>
      <c r="S27" s="9" t="str">
        <v>Nutan / Tango</v>
      </c>
    </row>
    <row r="28">
      <c r="A28" s="9" t="str">
        <v>Hyacinthus / Fondant L/Pink</v>
      </c>
      <c r="B28" s="9" t="str">
        <v>연핑크</v>
      </c>
      <c r="C28" s="10">
        <v>5</v>
      </c>
      <c r="D28" s="10" t="str">
        <v/>
      </c>
      <c r="E28" s="10" t="str">
        <v/>
      </c>
      <c r="F28" s="10" t="str">
        <v/>
      </c>
      <c r="G28" s="10" t="str">
        <v/>
      </c>
      <c r="H28" s="10" t="str">
        <v/>
      </c>
      <c r="I28" s="10" t="str">
        <v/>
      </c>
      <c r="J28" s="9" t="str">
        <v>Hyacinthus / Fondant L/Pink</v>
      </c>
      <c r="K28" s="10">
        <v>5</v>
      </c>
      <c r="L28" s="10" t="str">
        <v/>
      </c>
      <c r="M28" s="10" t="str">
        <v/>
      </c>
      <c r="N28" s="10" t="str">
        <v/>
      </c>
      <c r="O28" s="12">
        <f>SUM(B28:N28)</f>
        <v>10</v>
      </c>
      <c r="P28" s="12" t="str">
        <v/>
      </c>
      <c r="Q28" s="12" t="str">
        <v/>
      </c>
      <c r="R28" s="14">
        <f>SUM(P28)-SUM(O28)+SUM(Q28)</f>
        <v>-10</v>
      </c>
      <c r="S28" s="9" t="str">
        <v>Hyacinthus / Fondant L/Pink</v>
      </c>
    </row>
    <row r="29">
      <c r="A29" s="9" t="str">
        <v>Hyacinthus / Top White</v>
      </c>
      <c r="B29" s="9" t="str">
        <v>화이트</v>
      </c>
      <c r="C29" s="10">
        <v>5</v>
      </c>
      <c r="D29" s="10" t="str">
        <v/>
      </c>
      <c r="E29" s="10" t="str">
        <v/>
      </c>
      <c r="F29" s="10" t="str">
        <v/>
      </c>
      <c r="G29" s="10">
        <v>10</v>
      </c>
      <c r="H29" s="10" t="str">
        <v/>
      </c>
      <c r="I29" s="10" t="str">
        <v/>
      </c>
      <c r="J29" s="9" t="str">
        <v>Hyacinthus / Top White</v>
      </c>
      <c r="K29" s="10">
        <v>5</v>
      </c>
      <c r="L29" s="10" t="str">
        <v/>
      </c>
      <c r="M29" s="10" t="str">
        <v/>
      </c>
      <c r="N29" s="10" t="str">
        <v/>
      </c>
      <c r="O29" s="12">
        <f>SUM(B29:N29)</f>
        <v>20</v>
      </c>
      <c r="P29" s="12" t="str">
        <v/>
      </c>
      <c r="Q29" s="12" t="str">
        <v/>
      </c>
      <c r="R29" s="14">
        <f>SUM(P29)-SUM(O29)+SUM(Q29)</f>
        <v>-20</v>
      </c>
      <c r="S29" s="9" t="str">
        <v>Hyacinthus / Top White</v>
      </c>
    </row>
    <row r="30">
      <c r="A30" s="9" t="str">
        <v>Hyacinthus/ Sky Jacket</v>
      </c>
      <c r="B30" s="9" t="str">
        <v>라벤더</v>
      </c>
      <c r="C30" s="10">
        <v>5</v>
      </c>
      <c r="D30" s="10" t="str">
        <v/>
      </c>
      <c r="E30" s="10" t="str">
        <v/>
      </c>
      <c r="F30" s="10" t="str">
        <v/>
      </c>
      <c r="G30" s="10" t="str">
        <v/>
      </c>
      <c r="H30" s="10" t="str">
        <v/>
      </c>
      <c r="I30" s="10" t="str">
        <v/>
      </c>
      <c r="J30" s="9" t="str">
        <v>Hyacinthus/ Sky Jacket</v>
      </c>
      <c r="K30" s="10" t="str">
        <v/>
      </c>
      <c r="L30" s="10" t="str">
        <v/>
      </c>
      <c r="M30" s="10" t="str">
        <v/>
      </c>
      <c r="N30" s="10" t="str">
        <v/>
      </c>
      <c r="O30" s="12">
        <f>SUM(B30:N30)</f>
        <v>5</v>
      </c>
      <c r="P30" s="12" t="str">
        <v/>
      </c>
      <c r="Q30" s="12" t="str">
        <v/>
      </c>
      <c r="R30" s="14">
        <f>SUM(P30)-SUM(O30)+SUM(Q30)</f>
        <v>-5</v>
      </c>
      <c r="S30" s="9" t="str">
        <v>Hyacinthus/ Sky Jacket</v>
      </c>
    </row>
    <row r="31">
      <c r="A31" s="12" t="str">
        <v>합계</v>
      </c>
      <c r="B31" s="12" t="str">
        <v/>
      </c>
      <c r="C31" s="12">
        <f>SUM(C4:C30)</f>
        <v>515</v>
      </c>
      <c r="D31" s="12">
        <f>SUM(D4:D30)</f>
        <v>116</v>
      </c>
      <c r="E31" s="12">
        <f>SUM(E4:E30)</f>
        <v>1410</v>
      </c>
      <c r="F31" s="12">
        <f>SUM(F4:F30)</f>
        <v>110</v>
      </c>
      <c r="G31" s="12">
        <f>SUM(G4:G30)</f>
        <v>20</v>
      </c>
      <c r="H31" s="12">
        <f>SUM(H4:H30)</f>
        <v>20</v>
      </c>
      <c r="I31" s="12">
        <f>SUM(I4:I30)</f>
        <v>10</v>
      </c>
      <c r="J31" s="12" t="str">
        <v>합계</v>
      </c>
      <c r="K31" s="12">
        <f>SUM(K4:K30)</f>
        <v>230</v>
      </c>
      <c r="L31" s="12">
        <f>SUM(L4:L30)</f>
        <v>180</v>
      </c>
      <c r="M31" s="12">
        <f>SUM(M4:M30)</f>
        <v>5</v>
      </c>
      <c r="N31" s="12">
        <f>SUM(N4:N30)</f>
        <v>5</v>
      </c>
      <c r="O31" s="12">
        <f>SUM(O4:O30)</f>
        <v>2621</v>
      </c>
      <c r="P31" s="12" t="str">
        <v/>
      </c>
      <c r="Q31" s="12" t="str">
        <v/>
      </c>
      <c r="R31" s="14">
        <f>SUM(R4:R30)</f>
        <v>-2621</v>
      </c>
      <c r="S31" s="12" t="str">
        <v>합계</v>
      </c>
    </row>
  </sheetData>
  <ignoredErrors>
    <ignoredError numberStoredAsText="1" sqref="A1:S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s="2" t="str">
        <v>type</v>
      </c>
      <c r="B1" s="2" t="str">
        <v>sheet</v>
      </c>
      <c r="C1" s="2" t="str">
        <v>label</v>
      </c>
      <c r="D1" s="2" t="str">
        <v>key</v>
      </c>
    </row>
    <row r="2" xml:space="preserve">
      <c r="A2" s="2" t="str">
        <v>cust</v>
      </c>
      <c r="B2" s="2" t="str">
        <v>네덜란드</v>
      </c>
      <c r="C2" s="2" t="str" xml:space="preserve">
        <v xml:space="preserve">주광
CL2</v>
      </c>
      <c r="D2" s="2">
        <v>533</v>
      </c>
    </row>
    <row r="3" xml:space="preserve">
      <c r="A3" s="2" t="str">
        <v>cust</v>
      </c>
      <c r="B3" s="2" t="str">
        <v>네덜란드</v>
      </c>
      <c r="C3" s="2" t="str" xml:space="preserve">
        <v xml:space="preserve">늘봄
CL23</v>
      </c>
      <c r="D3" s="2">
        <v>335</v>
      </c>
    </row>
    <row r="4" xml:space="preserve">
      <c r="A4" s="2" t="str">
        <v>cust</v>
      </c>
      <c r="B4" s="2" t="str">
        <v>네덜란드</v>
      </c>
      <c r="C4" s="2" t="str" xml:space="preserve">
        <v xml:space="preserve">소재2호
CL3</v>
      </c>
      <c r="D4" s="2">
        <v>433</v>
      </c>
    </row>
    <row r="5" xml:space="preserve">
      <c r="A5" s="2" t="str">
        <v>cust</v>
      </c>
      <c r="B5" s="2" t="str">
        <v>네덜란드</v>
      </c>
      <c r="C5" s="2" t="str" xml:space="preserve">
        <v xml:space="preserve">뒷길꽃길※
CL6</v>
      </c>
      <c r="D5" s="2">
        <v>312</v>
      </c>
    </row>
    <row r="6" xml:space="preserve">
      <c r="A6" s="2" t="str">
        <v>cust</v>
      </c>
      <c r="B6" s="2" t="str">
        <v>네덜란드</v>
      </c>
      <c r="C6" s="2" t="str" xml:space="preserve">
        <v xml:space="preserve">북문-☆
CL22</v>
      </c>
      <c r="D6" s="2">
        <v>13</v>
      </c>
    </row>
    <row r="7" xml:space="preserve">
      <c r="A7" s="2" t="str">
        <v>cust</v>
      </c>
      <c r="B7" s="2" t="str">
        <v>네덜란드</v>
      </c>
      <c r="C7" s="2" t="str" xml:space="preserve">
        <v xml:space="preserve">남문플로르아름
CL72</v>
      </c>
      <c r="D7" s="2">
        <v>611</v>
      </c>
    </row>
    <row r="8" xml:space="preserve">
      <c r="A8" s="2" t="str">
        <v>cust</v>
      </c>
      <c r="B8" s="2" t="str">
        <v>네덜란드</v>
      </c>
      <c r="C8" s="2" t="str" xml:space="preserve">
        <v xml:space="preserve">뒷길알파(A)
CL10</v>
      </c>
      <c r="D8" s="2">
        <v>461</v>
      </c>
    </row>
    <row r="9" xml:space="preserve">
      <c r="A9" s="2" t="str">
        <v>cust</v>
      </c>
      <c r="B9" s="2" t="str">
        <v>네덜란드</v>
      </c>
      <c r="C9" s="2" t="str" xml:space="preserve">
        <v xml:space="preserve">로뎀
CL99</v>
      </c>
      <c r="D9" s="2">
        <v>681</v>
      </c>
    </row>
    <row r="10" xml:space="preserve">
      <c r="A10" s="2" t="str">
        <v>cust</v>
      </c>
      <c r="B10" s="2" t="str">
        <v>네덜란드</v>
      </c>
      <c r="C10" s="2" t="str" xml:space="preserve">
        <v xml:space="preserve">신라
CLS</v>
      </c>
      <c r="D10" s="2">
        <v>446</v>
      </c>
    </row>
    <row r="11" xml:space="preserve">
      <c r="A11" s="2" t="str">
        <v>cust</v>
      </c>
      <c r="B11" s="2" t="str">
        <v>네덜란드</v>
      </c>
      <c r="C11" s="2" t="str" xml:space="preserve">
        <v xml:space="preserve">친구5125
CL73</v>
      </c>
      <c r="D11" s="2">
        <v>659</v>
      </c>
    </row>
    <row r="12" xml:space="preserve">
      <c r="A12" s="2" t="str">
        <v>cust</v>
      </c>
      <c r="B12" s="2" t="str">
        <v>네덜란드</v>
      </c>
      <c r="C12" s="2" t="str" xml:space="preserve">
        <v xml:space="preserve">울산동산
CL21</v>
      </c>
      <c r="D12" s="2">
        <v>489</v>
      </c>
    </row>
    <row r="13">
      <c r="A13" s="2" t="str">
        <v>prod</v>
      </c>
      <c r="B13" s="2" t="str">
        <v>네덜란드</v>
      </c>
      <c r="C13" s="2" t="str">
        <v>Skimmia / Conf Kew Ger Green</v>
      </c>
      <c r="D13" s="2">
        <v>1733</v>
      </c>
    </row>
    <row r="14">
      <c r="A14" s="2" t="str">
        <v>prod</v>
      </c>
      <c r="B14" s="2" t="str">
        <v>네덜란드</v>
      </c>
      <c r="C14" s="2" t="str">
        <v>Agapanthus / Eyfori light blue</v>
      </c>
      <c r="D14" s="2">
        <v>2246</v>
      </c>
    </row>
    <row r="15">
      <c r="A15" s="2" t="str">
        <v>prod</v>
      </c>
      <c r="B15" s="2" t="str">
        <v>네덜란드</v>
      </c>
      <c r="C15" s="2" t="str">
        <v>Agapanthus / Eyfori White 70cm</v>
      </c>
      <c r="D15" s="2">
        <v>23</v>
      </c>
    </row>
    <row r="16">
      <c r="A16" s="2" t="str">
        <v>prod</v>
      </c>
      <c r="B16" s="2" t="str">
        <v>네덜란드</v>
      </c>
      <c r="C16" s="2" t="str">
        <v>Astilbe / Europa L/Pink</v>
      </c>
      <c r="D16" s="2">
        <v>228</v>
      </c>
    </row>
    <row r="17">
      <c r="A17" s="2" t="str">
        <v>prod</v>
      </c>
      <c r="B17" s="2" t="str">
        <v>네덜란드</v>
      </c>
      <c r="C17" s="2" t="str">
        <v>Astilbe / Washington White</v>
      </c>
      <c r="D17" s="2">
        <v>230</v>
      </c>
    </row>
    <row r="18">
      <c r="A18" s="2" t="str">
        <v>prod</v>
      </c>
      <c r="B18" s="2" t="str">
        <v>네덜란드</v>
      </c>
      <c r="C18" s="2" t="str">
        <v>Anthurium Graciosa 13cm</v>
      </c>
      <c r="D18" s="2">
        <v>2150</v>
      </c>
    </row>
    <row r="19">
      <c r="A19" s="2" t="str">
        <v>prod</v>
      </c>
      <c r="B19" s="2" t="str">
        <v>네덜란드</v>
      </c>
      <c r="C19" s="2" t="str">
        <v>Anthurium Graciosa 15cm</v>
      </c>
      <c r="D19" s="2">
        <v>181</v>
      </c>
    </row>
    <row r="20">
      <c r="A20" s="2" t="str">
        <v>prod</v>
      </c>
      <c r="B20" s="2" t="str">
        <v>네덜란드</v>
      </c>
      <c r="C20" s="2" t="str">
        <v>Anthurium Princess Alexia Bordeaux 11cm</v>
      </c>
      <c r="D20" s="2">
        <v>2555</v>
      </c>
    </row>
    <row r="21">
      <c r="A21" s="2" t="str">
        <v>prod</v>
      </c>
      <c r="B21" s="2" t="str">
        <v>네덜란드</v>
      </c>
      <c r="C21" s="2" t="str">
        <v>Allium / Gladiator</v>
      </c>
      <c r="D21" s="2">
        <v>39</v>
      </c>
    </row>
    <row r="22">
      <c r="A22" s="2" t="str">
        <v>prod</v>
      </c>
      <c r="B22" s="2" t="str">
        <v>네덜란드</v>
      </c>
      <c r="C22" s="2" t="str">
        <v>Allium / Mount Everest White</v>
      </c>
      <c r="D22" s="2">
        <v>35</v>
      </c>
    </row>
    <row r="23">
      <c r="A23" s="2" t="str">
        <v>prod</v>
      </c>
      <c r="B23" s="2" t="str">
        <v>네덜란드</v>
      </c>
      <c r="C23" s="2" t="str">
        <v>Allium / Rosy Bells</v>
      </c>
      <c r="D23" s="2">
        <v>3184</v>
      </c>
    </row>
    <row r="24">
      <c r="A24" s="2" t="str">
        <v>prod</v>
      </c>
      <c r="B24" s="2" t="str">
        <v>네덜란드</v>
      </c>
      <c r="C24" s="2" t="str">
        <v>Allium Globemaster</v>
      </c>
      <c r="D24" s="2">
        <v>3194</v>
      </c>
    </row>
    <row r="25">
      <c r="A25" s="2" t="str">
        <v>prod</v>
      </c>
      <c r="B25" s="2" t="str">
        <v>네덜란드</v>
      </c>
      <c r="C25" s="2" t="str">
        <v>Eryngium Orion Blue 60cm</v>
      </c>
      <c r="D25" s="2">
        <v>675</v>
      </c>
    </row>
    <row r="26">
      <c r="A26" s="2" t="str">
        <v>prod</v>
      </c>
      <c r="B26" s="2" t="str">
        <v>네덜란드</v>
      </c>
      <c r="C26" s="2" t="str">
        <v>Clematis Amazing Sofia 70cm</v>
      </c>
      <c r="D26" s="2">
        <v>2291</v>
      </c>
    </row>
    <row r="27">
      <c r="A27" s="2" t="str">
        <v>prod</v>
      </c>
      <c r="B27" s="2" t="str">
        <v>네덜란드</v>
      </c>
      <c r="C27" s="2" t="str">
        <v>Double Kantika Lavender</v>
      </c>
      <c r="D27" s="2">
        <v>1807</v>
      </c>
    </row>
    <row r="28">
      <c r="A28" s="2" t="str">
        <v>prod</v>
      </c>
      <c r="B28" s="2" t="str">
        <v>네덜란드</v>
      </c>
      <c r="C28" s="2" t="str">
        <v>Liberster White</v>
      </c>
      <c r="D28" s="2">
        <v>1857</v>
      </c>
    </row>
    <row r="29">
      <c r="A29" s="2" t="str">
        <v>prod</v>
      </c>
      <c r="B29" s="2" t="str">
        <v>네덜란드</v>
      </c>
      <c r="C29" s="2" t="str">
        <v>Single Antarctica</v>
      </c>
      <c r="D29" s="2">
        <v>1874</v>
      </c>
    </row>
    <row r="30">
      <c r="A30" s="2" t="str">
        <v>prod</v>
      </c>
      <c r="B30" s="2" t="str">
        <v>네덜란드</v>
      </c>
      <c r="C30" s="2" t="str">
        <v>Single Dynasty L/Pink</v>
      </c>
      <c r="D30" s="2">
        <v>1919</v>
      </c>
    </row>
    <row r="31">
      <c r="A31" s="2" t="str">
        <v>prod</v>
      </c>
      <c r="B31" s="2" t="str">
        <v>네덜란드</v>
      </c>
      <c r="C31" s="2" t="str">
        <v>Single First Class</v>
      </c>
      <c r="D31" s="2">
        <v>1923</v>
      </c>
    </row>
    <row r="32">
      <c r="A32" s="2" t="str">
        <v>prod</v>
      </c>
      <c r="B32" s="2" t="str">
        <v>네덜란드</v>
      </c>
      <c r="C32" s="2" t="str">
        <v>Single Orange Juice</v>
      </c>
      <c r="D32" s="2">
        <v>1959</v>
      </c>
    </row>
    <row r="33">
      <c r="A33" s="2" t="str">
        <v>prod</v>
      </c>
      <c r="B33" s="2" t="str">
        <v>네덜란드</v>
      </c>
      <c r="C33" s="2" t="str">
        <v>Single Royal Virgen White1</v>
      </c>
      <c r="D33" s="2">
        <v>1983</v>
      </c>
    </row>
    <row r="34">
      <c r="A34" s="2" t="str">
        <v>prod</v>
      </c>
      <c r="B34" s="2" t="str">
        <v>네덜란드</v>
      </c>
      <c r="C34" s="2" t="str">
        <v>Nutan / High Gold</v>
      </c>
      <c r="D34" s="2">
        <v>1122</v>
      </c>
    </row>
    <row r="35">
      <c r="A35" s="2" t="str">
        <v>prod</v>
      </c>
      <c r="B35" s="2" t="str">
        <v>네덜란드</v>
      </c>
      <c r="C35" s="2" t="str">
        <v>Nutan / Succession</v>
      </c>
      <c r="D35" s="2">
        <v>1121</v>
      </c>
    </row>
    <row r="36">
      <c r="A36" s="2" t="str">
        <v>prod</v>
      </c>
      <c r="B36" s="2" t="str">
        <v>네덜란드</v>
      </c>
      <c r="C36" s="2" t="str">
        <v>Nutan / Tango</v>
      </c>
      <c r="D36" s="2">
        <v>3197</v>
      </c>
    </row>
    <row r="37">
      <c r="A37" s="2" t="str">
        <v>prod</v>
      </c>
      <c r="B37" s="2" t="str">
        <v>네덜란드</v>
      </c>
      <c r="C37" s="2" t="str">
        <v>Hyacinthus / Fondant L/Pink</v>
      </c>
      <c r="D37" s="2">
        <v>851</v>
      </c>
    </row>
    <row r="38">
      <c r="A38" s="2" t="str">
        <v>prod</v>
      </c>
      <c r="B38" s="2" t="str">
        <v>네덜란드</v>
      </c>
      <c r="C38" s="2" t="str">
        <v>Hyacinthus / Top White</v>
      </c>
      <c r="D38" s="2">
        <v>858</v>
      </c>
    </row>
    <row r="39">
      <c r="A39" s="2" t="str">
        <v>prod</v>
      </c>
      <c r="B39" s="2" t="str">
        <v>네덜란드</v>
      </c>
      <c r="C39" s="2" t="str">
        <v>Hyacinthus/ Sky Jacket</v>
      </c>
      <c r="D39" s="2">
        <v>2459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네덜란드</vt:lpstr>
      <vt:lpstr>_keymap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