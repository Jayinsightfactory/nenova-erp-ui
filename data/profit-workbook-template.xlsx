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2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9"/>
  </bookViews>
  <sheets>
    <sheet sheetId="17" name="주차별 매출이익 보고서" state="visible" r:id="rId4"/>
    <sheet sheetId="14" name="재고잔량" state="visible" r:id="rId5"/>
    <sheet sheetId="21" name="그외통관비" state="visible" r:id="rId6"/>
    <sheet sheetId="24" name="구매현황" state="visible" r:id="rId7"/>
    <sheet sheetId="28" name="포워딩" state="visible" r:id="rId8"/>
    <sheet sheetId="3" name="판매현황" state="visible" r:id="rId9"/>
    <sheet sheetId="27" name="불량차감" state="visible" r:id="rId10"/>
    <sheet sheetId="32" name="그 외 매출액" state="visible" r:id="rId11"/>
    <sheet sheetId="25" name="콜롬비아 1차" state="visible" r:id="rId12"/>
    <sheet sheetId="26" name="콜롬비아 2차" state="visible" r:id="rId13"/>
    <sheet sheetId="33" name="품목리스트" state="visible" r:id="rId14"/>
  </sheets>
  <definedNames>
    <definedName name="_xlnm._FilterDatabase">'품목리스트'!$A$1:$I$3063</definedName>
    <definedName name="_xlnm.Print_Area" localSheetId="0">'주차별 매출이익 보고서'!$A1:$U32</definedName>
    <definedName name="_xlnm.Print_Area" localSheetId="1">'재고잔량'!$B1:$G57</definedName>
    <definedName name="_xlnm.Print_Area" localSheetId="6">'불량차감'!$A1:$M2</definedName>
  </definedNames>
  <calcPr calcId="171027"/>
</workbook>
</file>

<file path=xl/sharedStrings.xml><?xml version="1.0" encoding="utf-8"?>
<sst xmlns="http://schemas.openxmlformats.org/spreadsheetml/2006/main" count="19221" uniqueCount="6673">
  <si>
    <t>주차별 매출이익 보고서-28차</t>
  </si>
  <si>
    <t>경영지원부 강명훈</t>
  </si>
  <si>
    <t>(단위:원)</t>
  </si>
  <si>
    <t>품명</t>
  </si>
  <si>
    <t>매출액</t>
  </si>
  <si>
    <t>매출비율</t>
  </si>
  <si>
    <t>기초상품재고액</t>
  </si>
  <si>
    <t>기말상품재고액</t>
  </si>
  <si>
    <t>매입액(상품+포워딩)</t>
  </si>
  <si>
    <t>그외통관비</t>
  </si>
  <si>
    <t>매출원가</t>
  </si>
  <si>
    <t>매출이익</t>
  </si>
  <si>
    <t>이익률</t>
  </si>
  <si>
    <t>불량금액</t>
  </si>
  <si>
    <t>불량율</t>
  </si>
  <si>
    <t>그 외 매출액</t>
  </si>
  <si>
    <t>상품 금액(구매)</t>
  </si>
  <si>
    <t>구매금액</t>
  </si>
  <si>
    <t>환율</t>
  </si>
  <si>
    <t>포워딩비용(USD)</t>
  </si>
  <si>
    <t>포워딩 원화환산</t>
  </si>
  <si>
    <t>상품구매비율</t>
  </si>
  <si>
    <t>콜롬비아 수국</t>
  </si>
  <si>
    <t>콜롬비아 카네이션</t>
  </si>
  <si>
    <t>콜롬비아 장미</t>
  </si>
  <si>
    <t>콜롬비아 루스커스</t>
  </si>
  <si>
    <t>콜롬비아 알스트로</t>
  </si>
  <si>
    <t>네덜란드</t>
  </si>
  <si>
    <t>호주</t>
  </si>
  <si>
    <t>태국</t>
  </si>
  <si>
    <t>중국</t>
  </si>
  <si>
    <t>에콰도르</t>
  </si>
  <si>
    <t>미국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</si>
  <si>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</si>
  <si>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이스라엘</t>
  </si>
  <si>
    <t>뉴질랜드</t>
  </si>
  <si>
    <t>일본</t>
  </si>
  <si>
    <t>베트남</t>
  </si>
  <si>
    <t>국내</t>
  </si>
  <si>
    <t xml:space="preserve"> </t>
  </si>
  <si>
    <t>비고사항</t>
  </si>
  <si>
    <t>기초재고</t>
  </si>
  <si>
    <t>총합계</t>
  </si>
  <si>
    <t>기말재고</t>
  </si>
  <si>
    <t>수국</t>
  </si>
  <si>
    <t>품목</t>
  </si>
  <si>
    <t>박스</t>
  </si>
  <si>
    <t>박스당수량</t>
  </si>
  <si>
    <t>송이</t>
  </si>
  <si>
    <t>가격</t>
  </si>
  <si>
    <t>총계</t>
  </si>
  <si>
    <t>화이트</t>
  </si>
  <si>
    <t>블루</t>
  </si>
  <si>
    <t>연그린</t>
  </si>
  <si>
    <t>진그린</t>
  </si>
  <si>
    <t>S.PK</t>
  </si>
  <si>
    <t>스페셜핑크</t>
  </si>
  <si>
    <t>P.PK(BA)</t>
  </si>
  <si>
    <t>연핑크</t>
  </si>
  <si>
    <t>Abaricoque</t>
  </si>
  <si>
    <t>라벤다</t>
  </si>
  <si>
    <t>다크핑크(Dark pink)</t>
  </si>
  <si>
    <t>피치</t>
  </si>
  <si>
    <t>로즈우드</t>
  </si>
  <si>
    <t>골드피치</t>
  </si>
  <si>
    <t>신라 누락 건</t>
  </si>
  <si>
    <t>진라벤더</t>
  </si>
  <si>
    <t>모히또</t>
  </si>
  <si>
    <t>노랑</t>
  </si>
  <si>
    <t xml:space="preserve">연연핑크 </t>
  </si>
  <si>
    <t>카네이션</t>
  </si>
  <si>
    <t>단</t>
  </si>
  <si>
    <t>미니카네이션</t>
  </si>
  <si>
    <t>염색카네이션</t>
  </si>
  <si>
    <t>씨스타펀</t>
  </si>
  <si>
    <t>엄브렐러펀</t>
  </si>
  <si>
    <t>스틸그라스</t>
  </si>
  <si>
    <t>스테노카르푸스</t>
  </si>
  <si>
    <t>반커부쉬</t>
  </si>
  <si>
    <t>에뮤페더</t>
  </si>
  <si>
    <t>에뮤그라스</t>
  </si>
  <si>
    <t>구아나클라우</t>
  </si>
  <si>
    <t>딩고펀</t>
  </si>
  <si>
    <t>코알라펀</t>
  </si>
  <si>
    <t>copper glow</t>
  </si>
  <si>
    <t>woolly bush</t>
  </si>
  <si>
    <t>레인보우</t>
  </si>
  <si>
    <t>Thryptomene Calycina Natural White</t>
  </si>
  <si>
    <t>Thryptomene Calycina Natural pink</t>
  </si>
  <si>
    <t>레몬잎</t>
  </si>
  <si>
    <t>더글라스</t>
  </si>
  <si>
    <t>루스커스</t>
  </si>
  <si>
    <t>알스트로</t>
  </si>
  <si>
    <t>스팀</t>
  </si>
  <si>
    <t>휘슬러</t>
  </si>
  <si>
    <t>두바이</t>
  </si>
  <si>
    <t>피피버터플러스</t>
  </si>
  <si>
    <t>골디</t>
  </si>
  <si>
    <t>레드퀸</t>
  </si>
  <si>
    <t>노라</t>
  </si>
  <si>
    <t>라벤더</t>
  </si>
  <si>
    <t>품목(50cm)</t>
  </si>
  <si>
    <t>Be sweet</t>
  </si>
  <si>
    <t>Hirsutum White (10F)</t>
  </si>
  <si>
    <t>Hirsutum White (8F)</t>
  </si>
  <si>
    <t xml:space="preserve">그레빌레아 70cm </t>
  </si>
  <si>
    <t>유칼립투스</t>
  </si>
  <si>
    <t>Light Pink LL</t>
  </si>
  <si>
    <t>Crimson M</t>
  </si>
  <si>
    <t>예상가격, 확인 필요</t>
  </si>
  <si>
    <t>Lavender L</t>
  </si>
  <si>
    <t>그 외 품목</t>
  </si>
  <si>
    <t>중국 오션송 레드박스</t>
  </si>
  <si>
    <t>중국 안개꽃</t>
  </si>
  <si>
    <t>중국 시네신스 화이트</t>
  </si>
  <si>
    <t>중국 루어 샨</t>
  </si>
  <si>
    <t>솔리다고</t>
  </si>
  <si>
    <t>메두사</t>
  </si>
  <si>
    <t>줄맨드라미 생화 그린</t>
  </si>
  <si>
    <t>줄맨드라미 생화 레드</t>
  </si>
  <si>
    <t>유칼립투스 포퓰러스 시드, 다이브</t>
  </si>
  <si>
    <t>태국 jinda sweet L</t>
  </si>
  <si>
    <t>태국 Big white L</t>
  </si>
  <si>
    <t>태국 jinda sweet XL</t>
  </si>
  <si>
    <t>태국 안스리움 샘플</t>
  </si>
  <si>
    <t>태국 ARAN.Juling Red XL</t>
  </si>
  <si>
    <t>태국 Den. White born loose blooms</t>
  </si>
  <si>
    <t>Anthurium Princess Alexia Bordeaux 11cm</t>
  </si>
  <si>
    <t>오렌지주스</t>
  </si>
  <si>
    <t>아마릴리스</t>
  </si>
  <si>
    <t>베트남 퐁퐁 화이트</t>
  </si>
  <si>
    <t>베트남 퐁퐁 연핑크</t>
  </si>
  <si>
    <t xml:space="preserve">ORCHID VIETNAM / 호접란  화이트 8 (Party grade White 8) </t>
  </si>
  <si>
    <t xml:space="preserve">ORCHID VIETNAM / 호접란  화이트 7 (Party grade White 7) </t>
  </si>
  <si>
    <t>Ecuador Channel AS154</t>
  </si>
  <si>
    <t>Ecuador Electric MO AS295</t>
  </si>
  <si>
    <t>Ecuador Tinted Light Eucalyptus AS231</t>
  </si>
  <si>
    <t>Ecuador Tinted Dark Whisper AS033</t>
  </si>
  <si>
    <t>백상 창고료</t>
  </si>
  <si>
    <t>관세</t>
  </si>
  <si>
    <t>1차</t>
  </si>
  <si>
    <t>2차</t>
  </si>
  <si>
    <t>금액</t>
  </si>
  <si>
    <t>공급가액</t>
  </si>
  <si>
    <t>선율</t>
  </si>
  <si>
    <t>월드운송료</t>
  </si>
  <si>
    <t>운송비</t>
  </si>
  <si>
    <t>1t</t>
  </si>
  <si>
    <t>2.5t</t>
  </si>
  <si>
    <t>5t</t>
  </si>
  <si>
    <t>한국방역</t>
  </si>
  <si>
    <t>합계</t>
  </si>
  <si>
    <t>일자-No.</t>
  </si>
  <si>
    <t>거래처명</t>
  </si>
  <si>
    <t>품목명(규격)</t>
  </si>
  <si>
    <t>수량</t>
  </si>
  <si>
    <t>박스수량</t>
  </si>
  <si>
    <t>단가</t>
  </si>
  <si>
    <t>외화금액</t>
  </si>
  <si>
    <t>차수/품목</t>
  </si>
  <si>
    <t>인보이스넘버</t>
  </si>
  <si>
    <t>결제일</t>
  </si>
  <si>
    <t>2026/07/13 -66</t>
  </si>
  <si>
    <t>Yunnan Yunyan Flower Industry Development Company Limited</t>
  </si>
  <si>
    <t>SERVICE FEE</t>
  </si>
  <si>
    <t>28-1 중C</t>
  </si>
  <si>
    <t>93212383</t>
  </si>
  <si>
    <t>선 완</t>
  </si>
  <si>
    <t>2026/07/13 -67</t>
  </si>
  <si>
    <t>28-2 중C</t>
  </si>
  <si>
    <t>93212405</t>
  </si>
  <si>
    <t>2026/07/13 -72</t>
  </si>
  <si>
    <t>HOLEX FLOWER B.V.</t>
  </si>
  <si>
    <t>28-1 네H</t>
  </si>
  <si>
    <t>4311</t>
  </si>
  <si>
    <t>8/15</t>
  </si>
  <si>
    <t>28-2 콜수국</t>
  </si>
  <si>
    <t>28-1 콜수국</t>
  </si>
  <si>
    <t>28-1 태국</t>
  </si>
  <si>
    <t>28-1 에콰</t>
  </si>
  <si>
    <r>
      <rPr>
        <charset val="129"/>
        <family val="3"/>
        <sz val="11"/>
        <rFont val="맑은 고딕"/>
      </rPr>
      <t>거래처</t>
    </r>
  </si>
  <si>
    <t>품목별</t>
  </si>
  <si>
    <r>
      <rPr>
        <charset val="129"/>
        <family val="3"/>
        <sz val="11"/>
        <rFont val="맑은 고딕"/>
      </rPr>
      <t>수량</t>
    </r>
  </si>
  <si>
    <r>
      <rPr>
        <charset val="129"/>
        <family val="3"/>
        <sz val="11"/>
        <rFont val="맑은 고딕"/>
      </rPr>
      <t>단가</t>
    </r>
  </si>
  <si>
    <t>부가세</t>
  </si>
  <si>
    <r>
      <rPr>
        <charset val="129"/>
        <family val="2"/>
        <sz val="11"/>
        <rFont val="맑은 고딕"/>
      </rPr>
      <t>합계</t>
    </r>
  </si>
  <si>
    <t>7/13</t>
  </si>
  <si>
    <t>7/7 출고건 포함</t>
  </si>
  <si>
    <t>27차 추가분 - 1박스</t>
  </si>
  <si>
    <t>7/7출고건</t>
  </si>
  <si>
    <t>위탁판매건</t>
  </si>
  <si>
    <t>위탁판매요청</t>
  </si>
  <si>
    <t>품목명</t>
  </si>
  <si>
    <t>단가(vat포함)</t>
  </si>
  <si>
    <t>적요</t>
  </si>
  <si>
    <t>콜롬비아 사후원가 28-1차</t>
  </si>
  <si>
    <t xml:space="preserve">환율 </t>
  </si>
  <si>
    <t>대</t>
  </si>
  <si>
    <t xml:space="preserve"> 항공료 </t>
  </si>
  <si>
    <t>통관비 (DETAIL)</t>
  </si>
  <si>
    <t>창고비 (백상)</t>
  </si>
  <si>
    <t>Gross W</t>
  </si>
  <si>
    <t>차감 stems</t>
  </si>
  <si>
    <t>검역 차감액</t>
  </si>
  <si>
    <t>통관수수료 (선율)</t>
  </si>
  <si>
    <t>장미</t>
  </si>
  <si>
    <t>검역대행수수료 (선율)</t>
  </si>
  <si>
    <t>품목수</t>
  </si>
  <si>
    <t>운송비 (월드종합운수)</t>
  </si>
  <si>
    <t>관세료</t>
  </si>
  <si>
    <t>소독비용</t>
  </si>
  <si>
    <t>미니 장미</t>
  </si>
  <si>
    <t>검역비용</t>
  </si>
  <si>
    <t>루스쿠스</t>
  </si>
  <si>
    <t>TOTAL</t>
  </si>
  <si>
    <r>
      <rPr>
        <charset val="129"/>
        <color theme="1"/>
        <family val="3"/>
        <sz val="10"/>
        <rFont val="맑은 고딕 Semilight"/>
      </rPr>
      <t>농장</t>
    </r>
    <r>
      <rPr>
        <color theme="1"/>
        <family val="2"/>
        <sz val="10"/>
        <rFont val="Leelawadee UI Semilight"/>
      </rPr>
      <t xml:space="preserve"> </t>
    </r>
  </si>
  <si>
    <r>
      <rPr>
        <charset val="129"/>
        <color theme="1"/>
        <family val="3"/>
        <sz val="10"/>
        <rFont val="맑은 고딕 Semilight"/>
      </rPr>
      <t>총인보이스</t>
    </r>
    <r>
      <rPr>
        <color theme="1"/>
        <family val="2"/>
        <sz val="10"/>
        <rFont val="Leelawadee UI Semilight"/>
      </rPr>
      <t xml:space="preserve"> </t>
    </r>
    <r>
      <rPr>
        <charset val="129"/>
        <color theme="1"/>
        <family val="3"/>
        <sz val="10"/>
        <rFont val="맑은 고딕 Semilight"/>
      </rPr>
      <t>금액</t>
    </r>
  </si>
  <si>
    <t>항공료</t>
  </si>
  <si>
    <r>
      <rPr>
        <color theme="1"/>
        <family val="2"/>
        <sz val="10"/>
        <rFont val="Leelawadee UI Semilight"/>
      </rPr>
      <t xml:space="preserve">CNF </t>
    </r>
    <r>
      <rPr>
        <charset val="129"/>
        <color theme="1"/>
        <family val="3"/>
        <sz val="10"/>
        <rFont val="맑은 고딕 Semilight"/>
      </rPr>
      <t>원화</t>
    </r>
  </si>
  <si>
    <r>
      <rPr>
        <charset val="129"/>
        <color theme="1"/>
        <family val="3"/>
        <sz val="10"/>
        <rFont val="맑은 고딕 Semilight"/>
      </rPr>
      <t>그</t>
    </r>
    <r>
      <rPr>
        <color theme="1"/>
        <family val="2"/>
        <sz val="10"/>
        <rFont val="Leelawadee UI Semilight"/>
      </rPr>
      <t xml:space="preserve"> </t>
    </r>
    <r>
      <rPr>
        <charset val="129"/>
        <color theme="1"/>
        <family val="3"/>
        <sz val="10"/>
        <rFont val="맑은 고딕 Semilight"/>
      </rPr>
      <t>외</t>
    </r>
    <r>
      <rPr>
        <color theme="1"/>
        <family val="2"/>
        <sz val="10"/>
        <rFont val="Leelawadee UI Semilight"/>
      </rPr>
      <t xml:space="preserve"> </t>
    </r>
    <r>
      <rPr>
        <charset val="129"/>
        <color theme="1"/>
        <family val="3"/>
        <sz val="10"/>
        <rFont val="맑은 고딕 Semilight"/>
      </rPr>
      <t>통관비</t>
    </r>
    <r>
      <rPr>
        <color theme="1"/>
        <family val="2"/>
        <sz val="10"/>
        <rFont val="Leelawadee UI Semilight"/>
      </rPr>
      <t xml:space="preserve"> </t>
    </r>
  </si>
  <si>
    <r>
      <rPr>
        <charset val="129"/>
        <color theme="1"/>
        <family val="3"/>
        <sz val="10"/>
        <rFont val="맑은 고딕 Semilight"/>
      </rPr>
      <t>도착</t>
    </r>
    <r>
      <rPr>
        <color theme="1"/>
        <family val="2"/>
        <sz val="10"/>
        <rFont val="Leelawadee UI Semilight"/>
      </rPr>
      <t xml:space="preserve"> </t>
    </r>
    <r>
      <rPr>
        <charset val="129"/>
        <color theme="1"/>
        <family val="3"/>
        <sz val="10"/>
        <rFont val="맑은 고딕 Semilight"/>
      </rPr>
      <t>금액</t>
    </r>
  </si>
  <si>
    <t>판매금액</t>
  </si>
  <si>
    <r>
      <rPr>
        <charset val="129"/>
        <color theme="1"/>
        <family val="3"/>
        <sz val="10"/>
        <rFont val="맑은 고딕 Semilight"/>
      </rPr>
      <t>이익금</t>
    </r>
    <r>
      <rPr>
        <color theme="1"/>
        <family val="2"/>
        <sz val="10"/>
        <rFont val="Leelawadee UI Semilight"/>
      </rPr>
      <t xml:space="preserve"> </t>
    </r>
  </si>
  <si>
    <r>
      <rPr>
        <charset val="129"/>
        <color theme="1"/>
        <family val="3"/>
        <sz val="10"/>
        <rFont val="맑은 고딕 Semilight"/>
      </rPr>
      <t>이익률</t>
    </r>
    <r>
      <rPr>
        <color theme="1"/>
        <family val="2"/>
        <sz val="10"/>
        <rFont val="Leelawadee UI Semilight"/>
      </rPr>
      <t xml:space="preserve"> </t>
    </r>
  </si>
  <si>
    <t>CW</t>
  </si>
  <si>
    <t xml:space="preserve">알스토로 </t>
  </si>
  <si>
    <t>류스쿠스</t>
  </si>
  <si>
    <t>GW</t>
  </si>
  <si>
    <t>인보이스  총금액</t>
  </si>
  <si>
    <t>APOSENTOS</t>
  </si>
  <si>
    <t>운성비 풍목벽 분배 비율 계산</t>
  </si>
  <si>
    <t>AYURA</t>
  </si>
  <si>
    <t>GW==CW</t>
  </si>
  <si>
    <t>무게로 계산 될 때</t>
  </si>
  <si>
    <t>GW &lt;&lt; CW</t>
  </si>
  <si>
    <t>CBM으로 계산 될 때</t>
  </si>
  <si>
    <t>BENCHMARK</t>
  </si>
  <si>
    <t>CACTUS</t>
  </si>
  <si>
    <t>한공료 분배</t>
  </si>
  <si>
    <t>CIRCASIA</t>
  </si>
  <si>
    <t>박스당 무게</t>
  </si>
  <si>
    <t>박스 수량</t>
  </si>
  <si>
    <t>비율</t>
  </si>
  <si>
    <t>박스당 CBM</t>
  </si>
  <si>
    <t>COLIBRI</t>
  </si>
  <si>
    <t>CONSTRUNORTE</t>
  </si>
  <si>
    <t>DON EUSEBIO</t>
  </si>
  <si>
    <t>ESPERANCE</t>
  </si>
  <si>
    <t>루스코스</t>
  </si>
  <si>
    <t>FILCO</t>
  </si>
  <si>
    <t>FIORI</t>
  </si>
  <si>
    <t>FLORA</t>
  </si>
  <si>
    <t>FUNZA</t>
  </si>
  <si>
    <t>GAITANA</t>
  </si>
  <si>
    <t>GAMBUR</t>
  </si>
  <si>
    <t>INVERPALMAS</t>
  </si>
  <si>
    <t>INVOS</t>
  </si>
  <si>
    <t>MAXIFLORES</t>
  </si>
  <si>
    <t>MILAGRO</t>
  </si>
  <si>
    <t>MONIKA</t>
  </si>
  <si>
    <t>NATUR</t>
  </si>
  <si>
    <t>PONDEROZA</t>
  </si>
  <si>
    <t>PLAZOLETA</t>
  </si>
  <si>
    <t>PRESTIGE</t>
  </si>
  <si>
    <t>PRISMA</t>
  </si>
  <si>
    <t>REDIL</t>
  </si>
  <si>
    <t>SAN JUAN</t>
  </si>
  <si>
    <t>SERREZUELA</t>
  </si>
  <si>
    <t>TEUCALI</t>
  </si>
  <si>
    <t>THE GREEN GENIE</t>
  </si>
  <si>
    <t>TIBA</t>
  </si>
  <si>
    <t>TURFLOR</t>
  </si>
  <si>
    <t>UNIQUE</t>
  </si>
  <si>
    <t>VARIETTA</t>
  </si>
  <si>
    <t>VERDNATURA</t>
  </si>
  <si>
    <t>VUELVEN</t>
  </si>
  <si>
    <t>ZELECTA</t>
  </si>
  <si>
    <t>ZELECTA 2</t>
  </si>
  <si>
    <t>ZORRO</t>
  </si>
  <si>
    <t>콜롬비아 사후원가 28-2차</t>
  </si>
  <si>
    <t>AURORA</t>
  </si>
  <si>
    <t>DAFLOR</t>
  </si>
  <si>
    <t>SINGHA</t>
  </si>
  <si>
    <t>VIMASS</t>
  </si>
  <si>
    <t>품목번호</t>
  </si>
  <si>
    <t>품목코드</t>
  </si>
  <si>
    <t>꽃</t>
  </si>
  <si>
    <t>국가</t>
  </si>
  <si>
    <t>출고단가</t>
  </si>
  <si>
    <t>출고단위</t>
  </si>
  <si>
    <t>견적단위</t>
  </si>
  <si>
    <t>비고</t>
  </si>
  <si>
    <t>ACA01-NL0001</t>
  </si>
  <si>
    <t>Acasia / Chiara de Luna</t>
  </si>
  <si>
    <t>아카시아</t>
  </si>
  <si>
    <t>ACA01-NL0002</t>
  </si>
  <si>
    <t>Acasia / Denis Boden</t>
  </si>
  <si>
    <t>ACA01-NL0003</t>
  </si>
  <si>
    <t>Acasia / Hamburyana</t>
  </si>
  <si>
    <t>ACA01-NL0004</t>
  </si>
  <si>
    <t>Acasia / Luna Arg</t>
  </si>
  <si>
    <t>ACA01-NL0005</t>
  </si>
  <si>
    <t>Acasia / Mimosa Baileyana 500g</t>
  </si>
  <si>
    <t>ACA01-NL0006</t>
  </si>
  <si>
    <t>Acasia / Mimosa Floribunda 150g</t>
  </si>
  <si>
    <t>ACA01-NL0007</t>
  </si>
  <si>
    <t>Acasia / Mimosa Floribunda 400g</t>
  </si>
  <si>
    <t>ACA01-NL0008</t>
  </si>
  <si>
    <t>Acasia / Mimosa Mirandol 200g</t>
  </si>
  <si>
    <t>ACA01-NL0009</t>
  </si>
  <si>
    <t>Acasia / Mimosa Retinodes</t>
  </si>
  <si>
    <t>ACA01-NL0010</t>
  </si>
  <si>
    <t>Acasia / Mimosa Rups 200g</t>
  </si>
  <si>
    <t>ACA01-NL0011</t>
  </si>
  <si>
    <t>Acasia / Mimosa Rups 400g</t>
  </si>
  <si>
    <t>ACA01-NL0012</t>
  </si>
  <si>
    <t>Acasia / Mimosa Turner Green 250g</t>
  </si>
  <si>
    <t>ACA01-NL0013</t>
  </si>
  <si>
    <t>Acasia / Mimosa Turner Green 400g</t>
  </si>
  <si>
    <t>ACA01-NL0014</t>
  </si>
  <si>
    <t>Acasia / Mimosa Turner Red 250g</t>
  </si>
  <si>
    <t>ACA01-NL0015</t>
  </si>
  <si>
    <t>Acasia / Mixd</t>
  </si>
  <si>
    <t>ACA01-NL0016</t>
  </si>
  <si>
    <t>Acasia / Saint Elena</t>
  </si>
  <si>
    <t>ACA01-NL0017</t>
  </si>
  <si>
    <t>Acasia / Silver moon</t>
  </si>
  <si>
    <t>ACA01-NL0018</t>
  </si>
  <si>
    <t>Acasia / Per Bunch Mirandol</t>
  </si>
  <si>
    <t>AGA01-NL0001</t>
  </si>
  <si>
    <t>Agapanthus / Atlantic Ocean Blue 70cm</t>
  </si>
  <si>
    <t>아가판서스</t>
  </si>
  <si>
    <t>AGA01-NL0002</t>
  </si>
  <si>
    <t>Agapanthus / Swedish Blue</t>
  </si>
  <si>
    <t>AGA01-NL0003</t>
  </si>
  <si>
    <t>Agapanthus / Bianca Perla White 70cm</t>
  </si>
  <si>
    <t>AGA01-NL0004</t>
  </si>
  <si>
    <t>Agapanthus / Eyfori Blue 70cm</t>
  </si>
  <si>
    <t>블루/MoQ x20</t>
  </si>
  <si>
    <t>AGA01-NL0005</t>
  </si>
  <si>
    <t>Agapanthus / Eyfori White 70cm</t>
  </si>
  <si>
    <t>화이트／MoQ x20</t>
  </si>
  <si>
    <t>AGA01-NL0006</t>
  </si>
  <si>
    <t>Agapanthus / Eyfori White 90cm</t>
  </si>
  <si>
    <t>AGA01-NL0007</t>
  </si>
  <si>
    <t>Agapanthus / Gletsjer</t>
  </si>
  <si>
    <t>MoQ x20</t>
  </si>
  <si>
    <t>AGA01-NL0008</t>
  </si>
  <si>
    <t>Agapanthus / White Grace 80cm</t>
  </si>
  <si>
    <t>AGA01-NL0009</t>
  </si>
  <si>
    <t>Agapanthus / Susan 85cm</t>
  </si>
  <si>
    <t>AGA01-NL0010</t>
  </si>
  <si>
    <t>Agapanthus / White Barcelona 75cm</t>
  </si>
  <si>
    <t>AGA01-NL0011</t>
  </si>
  <si>
    <t>Agapanthus / Queen of the ocean 80cm</t>
  </si>
  <si>
    <t>AGA01-NL0012</t>
  </si>
  <si>
    <t>Agapanthus / Uri</t>
  </si>
  <si>
    <t>보라／MoQ x20</t>
  </si>
  <si>
    <t>ALL01-NL0001</t>
  </si>
  <si>
    <t>Allium / Ambassador</t>
  </si>
  <si>
    <t>알륨</t>
  </si>
  <si>
    <t>ALL01-NL0002</t>
  </si>
  <si>
    <t>Allium / Giganteum</t>
  </si>
  <si>
    <t>MoQ x30/보라/</t>
  </si>
  <si>
    <t>ALL01-NL0003</t>
  </si>
  <si>
    <t>Allium / Molly Yellow</t>
  </si>
  <si>
    <t>ALL01-NL0004</t>
  </si>
  <si>
    <t>Allium / Mount Everest Pink</t>
  </si>
  <si>
    <t>ALL01-NL0005</t>
  </si>
  <si>
    <t>Allium / Mount Everest White</t>
  </si>
  <si>
    <t xml:space="preserve">화이트／시즌 5월-7월 
MoQ  x20</t>
  </si>
  <si>
    <t>ALL01-NL0006</t>
  </si>
  <si>
    <t>Allium / Nectaroscordum Rosy Bells</t>
  </si>
  <si>
    <t>핑크/</t>
  </si>
  <si>
    <t>ALL01-NL0007</t>
  </si>
  <si>
    <t>Allium / Siculum Bulgar</t>
  </si>
  <si>
    <t>ALL01-NL0008</t>
  </si>
  <si>
    <t>Allium / White Giant</t>
  </si>
  <si>
    <t>MoQ  x10/화이트/</t>
  </si>
  <si>
    <t>ALL01-NL0009</t>
  </si>
  <si>
    <t>Allium / Gladiator</t>
  </si>
  <si>
    <t>보라／시즌 4월- 7월 MoQ  x20</t>
  </si>
  <si>
    <t>ALL01-NL0010</t>
  </si>
  <si>
    <t>Allium / Silverspring</t>
  </si>
  <si>
    <t>ALL01-NL0011</t>
  </si>
  <si>
    <t>Allium / Miami</t>
  </si>
  <si>
    <t>ALL01-NL0012</t>
  </si>
  <si>
    <t>Allium / Schubertii</t>
  </si>
  <si>
    <t>핑크／</t>
  </si>
  <si>
    <t>ALL01-NL0014</t>
  </si>
  <si>
    <t>Allium / Pink Jewel</t>
  </si>
  <si>
    <t>ALL01-NL0016</t>
  </si>
  <si>
    <t>Allium / Bullit</t>
  </si>
  <si>
    <t>ALS01-CO0001</t>
  </si>
  <si>
    <t>ALSTROMERIA ORANGE</t>
  </si>
  <si>
    <t>콜롬비아</t>
  </si>
  <si>
    <t>ALS01-CO0002</t>
  </si>
  <si>
    <t>ALSTROMERIA Pink</t>
  </si>
  <si>
    <t>ALS01-CO0003</t>
  </si>
  <si>
    <t xml:space="preserve">ALSTROMERIA WHITE </t>
  </si>
  <si>
    <t>ALS01-CO0004</t>
  </si>
  <si>
    <t>ALSTROMERIA YELLOW</t>
  </si>
  <si>
    <t>ALS01-CO0007</t>
  </si>
  <si>
    <t>ALSTROMERIA Whistler</t>
  </si>
  <si>
    <t>ALS01-CO0008</t>
  </si>
  <si>
    <t>ALSTROMERIA Dubai</t>
  </si>
  <si>
    <t>ALS01-CO0009</t>
  </si>
  <si>
    <t>ALSTROMERIA Prima Donna</t>
  </si>
  <si>
    <t>ALS01-CO0010</t>
  </si>
  <si>
    <t>ALSTROMERIA Costa</t>
  </si>
  <si>
    <t>ALS01-CO0011</t>
  </si>
  <si>
    <t>ALSTROMERIA Cheescake</t>
  </si>
  <si>
    <t>ALS01-CO0012</t>
  </si>
  <si>
    <t>ALSTROMERIA Cream</t>
  </si>
  <si>
    <t>ALS01-CO0013</t>
  </si>
  <si>
    <t xml:space="preserve">ALSTROMERIA Lavender </t>
  </si>
  <si>
    <t>ALS01-CO0014</t>
  </si>
  <si>
    <t>ALSTROMERIA Himalaya Select</t>
  </si>
  <si>
    <t>ALS01-CO0015</t>
  </si>
  <si>
    <t>ALSTROMERIA Voyager</t>
  </si>
  <si>
    <t>ALS01-CO0016</t>
  </si>
  <si>
    <t>ALSTROMERIA Virginia</t>
  </si>
  <si>
    <t>ALS01-CO0017</t>
  </si>
  <si>
    <t>ALSTROMERIA Bella Star</t>
  </si>
  <si>
    <t>ALS01-CO0018</t>
  </si>
  <si>
    <t>ALSTROMERIA Gold</t>
  </si>
  <si>
    <t>ALS01-CO0020</t>
  </si>
  <si>
    <t>ALSTROMERIA Orange Queen</t>
  </si>
  <si>
    <t>ALS01-CO0021</t>
  </si>
  <si>
    <t>ALSTROMERIA Red</t>
  </si>
  <si>
    <t>ALS01-CO0022</t>
  </si>
  <si>
    <t>ALSTROMERIA MIX BOX</t>
  </si>
  <si>
    <t>ALS01-CO0023</t>
  </si>
  <si>
    <t>ALSTROMERIA Fifi</t>
  </si>
  <si>
    <t>ALS01-CO0024</t>
  </si>
  <si>
    <t>ALSTROMERIA Astronova</t>
  </si>
  <si>
    <t>ALS01-CO0025</t>
  </si>
  <si>
    <t>ALSTROMERIA Canyon</t>
  </si>
  <si>
    <t>ALS01-CO0026</t>
  </si>
  <si>
    <t>ALSTROMERIA Secret</t>
  </si>
  <si>
    <t>ALS01-CO0027</t>
  </si>
  <si>
    <t>ALSTROMERIA Romance</t>
  </si>
  <si>
    <t>ALS01-CO0028</t>
  </si>
  <si>
    <t>ALSTROMERIA Jamaica</t>
  </si>
  <si>
    <t>ALS01-CO0029</t>
  </si>
  <si>
    <t>ALSTROMERIA Judy</t>
  </si>
  <si>
    <t>ALS01-CO0030</t>
  </si>
  <si>
    <t>ALSTROMERIA Winterfell</t>
  </si>
  <si>
    <t>ALS01-CO0031</t>
  </si>
  <si>
    <t>ALSTROMERIA Nora</t>
  </si>
  <si>
    <t>ALS01-CO0032</t>
  </si>
  <si>
    <t>ALSTROMERIA Seattle</t>
  </si>
  <si>
    <t>ALS01-CO0033</t>
  </si>
  <si>
    <t>ALSTROMERIA Pumori</t>
  </si>
  <si>
    <t>ALS01-CO0034</t>
  </si>
  <si>
    <t>ALSTROMERIA Shakira</t>
  </si>
  <si>
    <t>ALS01-CO0035</t>
  </si>
  <si>
    <t>ALSTROMERIA Bali</t>
  </si>
  <si>
    <t>ALS01-CO0036</t>
  </si>
  <si>
    <t>ALSTROMERIA Galaxy</t>
  </si>
  <si>
    <t>ALS01-CO0037</t>
  </si>
  <si>
    <t>ALSTROMERIA RD Queen</t>
  </si>
  <si>
    <t>ALS01-CO0038</t>
  </si>
  <si>
    <t>ALSTROMERIA Xanadu</t>
  </si>
  <si>
    <t>ALS01-CO0039</t>
  </si>
  <si>
    <t>ALSTROMERIA Gypsy</t>
  </si>
  <si>
    <t>ALS01-CO0040</t>
  </si>
  <si>
    <t>ALSTROMERIA Senna</t>
  </si>
  <si>
    <t>ALS01-CO0041</t>
  </si>
  <si>
    <t>ALSTROMERIA Kitty</t>
  </si>
  <si>
    <t>ALS01-CO0042</t>
  </si>
  <si>
    <t>ALSTROMERIA SunnyLday</t>
  </si>
  <si>
    <t>ALS01-CO0044</t>
  </si>
  <si>
    <t>ALSTROMERIA Mlla</t>
  </si>
  <si>
    <t>ALS01-CO0045</t>
  </si>
  <si>
    <t>ALSTROMERIA Intenz</t>
  </si>
  <si>
    <t>ALS01-CO0046</t>
  </si>
  <si>
    <t>ALSTROMERIA Arrone</t>
  </si>
  <si>
    <t>ALS01-CO0047</t>
  </si>
  <si>
    <t>ALSTROMERIA Lorena</t>
  </si>
  <si>
    <t>ALS01-CO0048</t>
  </si>
  <si>
    <t>ALSTROMERIA Helena</t>
  </si>
  <si>
    <t>ALS01-CO0049</t>
  </si>
  <si>
    <t>ALSTROMERIA Kodlak</t>
  </si>
  <si>
    <t>ALS01-CO0050</t>
  </si>
  <si>
    <t>ALSTROMERIA Himalaya</t>
  </si>
  <si>
    <t>ALS01-CO0051</t>
  </si>
  <si>
    <t>ALSTROMERIA Nadya</t>
  </si>
  <si>
    <t>ALS01-CO0052</t>
  </si>
  <si>
    <t>ALSTROMERIA Pacific</t>
  </si>
  <si>
    <t>ALS01-NL0001</t>
  </si>
  <si>
    <t>Alstromeria / Pink</t>
  </si>
  <si>
    <t>ALS01-NL0002</t>
  </si>
  <si>
    <t>Alstromeria / Nalani Yellow</t>
  </si>
  <si>
    <t>AMA01-NL0001</t>
  </si>
  <si>
    <t>Amaryliis / Amblance 12st</t>
  </si>
  <si>
    <t>AMA01-NL0002</t>
  </si>
  <si>
    <t>Amaryliis / Amblance 15st</t>
  </si>
  <si>
    <t>AMA01-NL0003</t>
  </si>
  <si>
    <t>Amaryllis / Apple Blosom 12st</t>
  </si>
  <si>
    <t>AMA01-NL0004</t>
  </si>
  <si>
    <t>Amaryllis / Bouquet 15st</t>
  </si>
  <si>
    <t>AMA01-NL0005</t>
  </si>
  <si>
    <t>Amaryllis / Britney</t>
  </si>
  <si>
    <t>AMA01-NL0006</t>
  </si>
  <si>
    <t>Amaryllis / Casablanca 12st White1</t>
  </si>
  <si>
    <t>시즌 10월중 - 07월중</t>
  </si>
  <si>
    <t>AMA01-NL0007</t>
  </si>
  <si>
    <t>Amaryllis / Casablanca 15st White2</t>
  </si>
  <si>
    <t>AMA01-NL0008</t>
  </si>
  <si>
    <t>Amaryllis / Darling</t>
  </si>
  <si>
    <t>AMA01-NL0009</t>
  </si>
  <si>
    <t>Amaryllis / Desire</t>
  </si>
  <si>
    <t>AMA01-NL0010</t>
  </si>
  <si>
    <t>Amaryllis / Ferrari</t>
  </si>
  <si>
    <t>AMA01-NL0011</t>
  </si>
  <si>
    <t>Amaryllis / Gold Medal</t>
  </si>
  <si>
    <t>AMA01-NL0012</t>
  </si>
  <si>
    <t>Amaryllis / Hercules</t>
  </si>
  <si>
    <t>AMA01-NL0013</t>
  </si>
  <si>
    <t>Amaryllis / Loyalty</t>
  </si>
  <si>
    <t>AMA01-NL0014</t>
  </si>
  <si>
    <t>Amaryllis / Mont Blanc 10st White1</t>
  </si>
  <si>
    <t>AMA01-NL0015</t>
  </si>
  <si>
    <t>Amaryllis / Mont Blanc 12st White</t>
  </si>
  <si>
    <t>화이트／시즌 10월중 - 07월중</t>
  </si>
  <si>
    <t>AMA01-NL0016</t>
  </si>
  <si>
    <t>Amaryllis / Naranja</t>
  </si>
  <si>
    <t>AMA01-NL0017</t>
  </si>
  <si>
    <t>Amaryllis / Red Lion12st</t>
  </si>
  <si>
    <t>시즌 10월중 - 02월중</t>
  </si>
  <si>
    <t>AMA01-NL0018</t>
  </si>
  <si>
    <t>Amaryllis / Rilona (Salmon) 12st</t>
  </si>
  <si>
    <t>AMA01-NL0019</t>
  </si>
  <si>
    <t>Amaryllis / Rilona 18st</t>
  </si>
  <si>
    <t>AMA01-NL0020</t>
  </si>
  <si>
    <t>Amaryllis / Van der Ende Orange</t>
  </si>
  <si>
    <t>AMA01-NL0021</t>
  </si>
  <si>
    <t>Amaryllis / Mont Blanc 15st White</t>
  </si>
  <si>
    <t>AMA01-NL0022</t>
  </si>
  <si>
    <t>Amaryllis / Rilona (Salmon) 15st</t>
  </si>
  <si>
    <t>AMA01-NL0023</t>
  </si>
  <si>
    <t>Amaryllis / Red Lion15st</t>
  </si>
  <si>
    <t>AMA01-NL0024</t>
  </si>
  <si>
    <t>Amaryllis / Wild Amazone</t>
  </si>
  <si>
    <t>AMA01-NL0025</t>
  </si>
  <si>
    <t>Amaryllis / Pink Amazone</t>
  </si>
  <si>
    <t>AMA01-NL0026</t>
  </si>
  <si>
    <t>Amaryllis / Casa Blanc 15st White</t>
  </si>
  <si>
    <t>AMA01-NL0027</t>
  </si>
  <si>
    <t>Amaryllis / Boquet 12st</t>
  </si>
  <si>
    <t>AMA01-NL0029</t>
  </si>
  <si>
    <t>Amaryllis / Red Liberty 12st</t>
  </si>
  <si>
    <t>AMA01-NL0030</t>
  </si>
  <si>
    <t>Amaryllis / Royal Velvet</t>
  </si>
  <si>
    <t>ANA01-CO0001</t>
  </si>
  <si>
    <t>Ananas</t>
  </si>
  <si>
    <t>아나나스</t>
  </si>
  <si>
    <t>ANA01-NL0001</t>
  </si>
  <si>
    <t>Ananas L Size</t>
  </si>
  <si>
    <t>ANA01-NL0002</t>
  </si>
  <si>
    <t>Ananas Mini Extra</t>
  </si>
  <si>
    <t>ANA01-NL0003</t>
  </si>
  <si>
    <t>Ananas Perfecto Brasil 50cm</t>
  </si>
  <si>
    <t>ANA01-NL0004</t>
  </si>
  <si>
    <t>Ananas Small Extra</t>
  </si>
  <si>
    <t>ANA01-NL0005</t>
  </si>
  <si>
    <t>Ananas XL Size</t>
  </si>
  <si>
    <t>ANE01-NL0001</t>
  </si>
  <si>
    <t>Anemone Marianne Panda</t>
  </si>
  <si>
    <t>아네모네</t>
  </si>
  <si>
    <t>ANT01-NL0001</t>
  </si>
  <si>
    <t>Anthurium Purple</t>
  </si>
  <si>
    <t>안시리움</t>
  </si>
  <si>
    <t>ANT01-NL0002</t>
  </si>
  <si>
    <t>Anthurium Red</t>
  </si>
  <si>
    <t>ANT01-NL0003</t>
  </si>
  <si>
    <t>Anthurium White</t>
  </si>
  <si>
    <t>ANT01-NL0004</t>
  </si>
  <si>
    <t>Anthurium Cheers 13cm</t>
  </si>
  <si>
    <t>ANT01-NL0005</t>
  </si>
  <si>
    <t>Anthurium Farao</t>
  </si>
  <si>
    <t>ANT01-NL0006</t>
  </si>
  <si>
    <t>Anthurium Marysia</t>
  </si>
  <si>
    <t>ANT01-NL0007</t>
  </si>
  <si>
    <t>Anthurium Grand Slam</t>
  </si>
  <si>
    <t>ANT01-NL0008</t>
  </si>
  <si>
    <t>Anthurium Pink Christina</t>
  </si>
  <si>
    <t>ANT01-NL0009</t>
  </si>
  <si>
    <t>Anthurium Safari 13cm</t>
  </si>
  <si>
    <t>ANT01-NL0010</t>
  </si>
  <si>
    <t>Anthurium Candy</t>
  </si>
  <si>
    <t>ANT01-NL0011</t>
  </si>
  <si>
    <t>Anthurium Holographic</t>
  </si>
  <si>
    <t>ANT01-NL0012</t>
  </si>
  <si>
    <t>Anthurium Choco</t>
  </si>
  <si>
    <t>ANT01-NL0013</t>
  </si>
  <si>
    <t>Anthurium Show time 15cm</t>
  </si>
  <si>
    <t>ANT01-NL0014</t>
  </si>
  <si>
    <t>Anthurium Narita</t>
  </si>
  <si>
    <t>ANT01-NL0015</t>
  </si>
  <si>
    <t>Anthurium Danielle</t>
  </si>
  <si>
    <t>ANT01-NL0016</t>
  </si>
  <si>
    <t>Anthurium Nunzia 13cm</t>
  </si>
  <si>
    <t>ANT01-NL0017</t>
  </si>
  <si>
    <t>Anthurium Cantello</t>
  </si>
  <si>
    <t>ANT01-NL0018</t>
  </si>
  <si>
    <t>Anthurium Latte</t>
  </si>
  <si>
    <t>ANT01-NL0019</t>
  </si>
  <si>
    <t>Anthurium Elixer</t>
  </si>
  <si>
    <t>ANT01-NL0020</t>
  </si>
  <si>
    <t>Anthurium Lovely Black Love 9cm</t>
  </si>
  <si>
    <t>ANT01-NL0021</t>
  </si>
  <si>
    <t>Anthurium Lovely Summer Love</t>
  </si>
  <si>
    <t>ANT01-NL0022</t>
  </si>
  <si>
    <t>Anthurium Tropical Red</t>
  </si>
  <si>
    <t>ANT01-NL0023</t>
  </si>
  <si>
    <t>Anthurium Singita</t>
  </si>
  <si>
    <t>ANT01-NL0024</t>
  </si>
  <si>
    <t>Anthurium Lovely Snowy 9cm</t>
  </si>
  <si>
    <t>ANT01-NL0025</t>
  </si>
  <si>
    <t>Anthurium Olivius</t>
  </si>
  <si>
    <t>ANT01-NL0026</t>
  </si>
  <si>
    <t>Anthurium Sanpre</t>
  </si>
  <si>
    <t>ANT01-NL0027</t>
  </si>
  <si>
    <t>maravilla13CM</t>
  </si>
  <si>
    <t>ANT01-NL0028</t>
  </si>
  <si>
    <t>Anthurium peachy</t>
  </si>
  <si>
    <t>ANT01-NL0051</t>
  </si>
  <si>
    <t>Anthurium moments</t>
  </si>
  <si>
    <t>ANT01-NL0052</t>
  </si>
  <si>
    <t>Anthurium Acropolis</t>
  </si>
  <si>
    <t>ANT01-NL0053</t>
  </si>
  <si>
    <t>Anthurium Tropical 13cm</t>
  </si>
  <si>
    <t>ANT01-NL0054</t>
  </si>
  <si>
    <t>Anthurium Reina 15cm</t>
  </si>
  <si>
    <t>ANT01-NL0055</t>
  </si>
  <si>
    <t>Anthurium Terrasol 13cm</t>
  </si>
  <si>
    <t>ANT01-NL0056</t>
  </si>
  <si>
    <t>Anthurium Extase 13cm</t>
  </si>
  <si>
    <t>ANT01-NL0057</t>
  </si>
  <si>
    <t>Anthurium Grace</t>
  </si>
  <si>
    <t>ANT01-NL0058</t>
  </si>
  <si>
    <t>Anthurium Zafira</t>
  </si>
  <si>
    <t>ANT01-NL0059</t>
  </si>
  <si>
    <t>Anthurium Prestige 13cm</t>
  </si>
  <si>
    <t>ANT01-NL0060</t>
  </si>
  <si>
    <t>Anthurium Midori Improved</t>
  </si>
  <si>
    <t>ANT01-NL0061</t>
  </si>
  <si>
    <t>Anthurium Gland Slam 13cm</t>
  </si>
  <si>
    <t>ANT01-NL0062</t>
  </si>
  <si>
    <t>Anthurium Gland Slam 9cm</t>
  </si>
  <si>
    <t>ANT01-NL0063</t>
  </si>
  <si>
    <t>Anthurium Gland Slam 11cm</t>
  </si>
  <si>
    <t>ANT01-NL0064</t>
  </si>
  <si>
    <t>Anthurium Graciosa 15cm</t>
  </si>
  <si>
    <t>화이트/</t>
  </si>
  <si>
    <t>ANT01-NL0065</t>
  </si>
  <si>
    <t>Anthurium Caribo 13cm</t>
  </si>
  <si>
    <t>ANT01-NL0066</t>
  </si>
  <si>
    <t>Anthurium Pink Jesolo 13cm</t>
  </si>
  <si>
    <t>ANT01-NL0067</t>
  </si>
  <si>
    <t>Anthurium Kaleo 13cm</t>
  </si>
  <si>
    <t>ANT01-NL0068</t>
  </si>
  <si>
    <t>Anthurium Lunette 13cm</t>
  </si>
  <si>
    <t>ANT01-NL0069</t>
  </si>
  <si>
    <t>Anthurium Sante Royal 11cm</t>
  </si>
  <si>
    <t>ANT01-NL0070</t>
  </si>
  <si>
    <t>Anthurium Marea 13cm</t>
  </si>
  <si>
    <t>ANT01-NL0071</t>
  </si>
  <si>
    <t>Anthurium Maxima Elegancia 13cm</t>
  </si>
  <si>
    <t>ANT01-NL0072</t>
  </si>
  <si>
    <t>Anthurium Calisto 13cm</t>
  </si>
  <si>
    <t>ANT01-NL0073</t>
  </si>
  <si>
    <t>Anthurium Tropical Night</t>
  </si>
  <si>
    <t>ANT01-NL0074</t>
  </si>
  <si>
    <t>Anthurium Lovely White Love 9cm</t>
  </si>
  <si>
    <t>ANT01-NL0075</t>
  </si>
  <si>
    <t>Anthurium Rambla 11cm</t>
  </si>
  <si>
    <t>ANT01-NL0076</t>
  </si>
  <si>
    <t>Anthurium nero 13cm</t>
  </si>
  <si>
    <t>ANT01-NL0077</t>
  </si>
  <si>
    <t>Anthurium Tequila 13cm</t>
  </si>
  <si>
    <t>ANTI1-NL0025</t>
  </si>
  <si>
    <t>Anthurium Connac 13cm</t>
  </si>
  <si>
    <t>ASP01-NL0001</t>
  </si>
  <si>
    <t>Asparagus / Dyed</t>
  </si>
  <si>
    <t>아스파라거스</t>
  </si>
  <si>
    <t>ASP01-NL0002</t>
  </si>
  <si>
    <t>Asparagus / Dyed Blue Ice</t>
  </si>
  <si>
    <t>ASP01-NL0003</t>
  </si>
  <si>
    <t>Asparagus / Dyed Antiquie</t>
  </si>
  <si>
    <t>ASP01-NL0004</t>
  </si>
  <si>
    <t>Asparagus / Dyed Apricot</t>
  </si>
  <si>
    <t>ASP01-NL0005</t>
  </si>
  <si>
    <t>Asparagus / Dyed Aubergine</t>
  </si>
  <si>
    <t>ASP01-NL0006</t>
  </si>
  <si>
    <t>Asparagus / Dyed Black</t>
  </si>
  <si>
    <t>ASP01-NL0007</t>
  </si>
  <si>
    <t>Asparagus / Dyed Bordeaus</t>
  </si>
  <si>
    <t>ASP01-NL0008</t>
  </si>
  <si>
    <t>Asparagus / Dyed Cerise</t>
  </si>
  <si>
    <t>ASP01-NL0009</t>
  </si>
  <si>
    <t>Asparagus / Dyed Cream</t>
  </si>
  <si>
    <t>ASP01-NL0010</t>
  </si>
  <si>
    <t>Asparagus / Dyed Dark Blue</t>
  </si>
  <si>
    <t>ASP01-NL0011</t>
  </si>
  <si>
    <t>Asparagus / Dyed Dark Violet</t>
  </si>
  <si>
    <t>ASP01-NL0012</t>
  </si>
  <si>
    <t>Asparagus / Dyed Grey</t>
  </si>
  <si>
    <t>ASP01-NL0013</t>
  </si>
  <si>
    <t>Asparagus / Dyed Light Blue</t>
  </si>
  <si>
    <t>ASP01-NL0014</t>
  </si>
  <si>
    <t>Asparagus / Dyed Light Pink</t>
  </si>
  <si>
    <t>ASP01-NL0015</t>
  </si>
  <si>
    <t>Asparagus / Dyed Lilac Dark</t>
  </si>
  <si>
    <t>ASP01-NL0016</t>
  </si>
  <si>
    <t>Asparagus / Dyed Metallic Pink</t>
  </si>
  <si>
    <t>ASP01-NL0017</t>
  </si>
  <si>
    <t>Asparagus / Dyed Mint</t>
  </si>
  <si>
    <t>ASP01-NL0018</t>
  </si>
  <si>
    <t>Asparagus / Dyed New Pink</t>
  </si>
  <si>
    <t>ASP01-NL0019</t>
  </si>
  <si>
    <t>Asparagus / Dyed Orange</t>
  </si>
  <si>
    <t>ASP01-NL0020</t>
  </si>
  <si>
    <t>Asparagus / Dyed Platina</t>
  </si>
  <si>
    <t>ASP01-NL0021</t>
  </si>
  <si>
    <t>Asparagus / Dyed Red</t>
  </si>
  <si>
    <t>ASP01-NL0022</t>
  </si>
  <si>
    <t>Asparagus / Dyed Turquoise</t>
  </si>
  <si>
    <t>ASP01-NL0023</t>
  </si>
  <si>
    <t>Asparagus / Dyed White</t>
  </si>
  <si>
    <t>ASP01-NL0024</t>
  </si>
  <si>
    <t>Asparagus / Dyed Yellow</t>
  </si>
  <si>
    <t>ASP01-NL0025</t>
  </si>
  <si>
    <t>Asparagus Setaceus / Dyed Brown</t>
  </si>
  <si>
    <t>ASP01-NL0026</t>
  </si>
  <si>
    <t>Asparagus Setaceus / Dyed Champagne</t>
  </si>
  <si>
    <t>ASP01-NL0027</t>
  </si>
  <si>
    <t>Asparagus Setaceus / Dyed Copper</t>
  </si>
  <si>
    <t>ASP01-NL0028</t>
  </si>
  <si>
    <t>Asparagus Setaceus / Dyed Gold</t>
  </si>
  <si>
    <t>ASP01-NL0029</t>
  </si>
  <si>
    <t>Asparagus / Dyed New Rose</t>
  </si>
  <si>
    <t>AST01-NL0001</t>
  </si>
  <si>
    <t>Astilbe / Arendsii Paul Gaarder</t>
  </si>
  <si>
    <t>아스틸베</t>
  </si>
  <si>
    <t>(1단/10st)</t>
  </si>
  <si>
    <t>AST01-NL0002</t>
  </si>
  <si>
    <t>Astilbe / Else Schluck H/Pink</t>
  </si>
  <si>
    <t>AST01-NL0003</t>
  </si>
  <si>
    <t>Astilbe / Europa L/Pink</t>
  </si>
  <si>
    <t>연핑크/(1단/10st)</t>
  </si>
  <si>
    <t>AST01-NL0005</t>
  </si>
  <si>
    <t>Astilbe / Washington White</t>
  </si>
  <si>
    <t>화이트/(1단/10st)</t>
  </si>
  <si>
    <t>AST01-NL0006</t>
  </si>
  <si>
    <t>Astilbe / Erika</t>
  </si>
  <si>
    <t>ATR01-NL0001</t>
  </si>
  <si>
    <t>Astrantia / Claret 60cm</t>
  </si>
  <si>
    <t>아스트란시아</t>
  </si>
  <si>
    <t>ATR01-NL0002</t>
  </si>
  <si>
    <t>Astrantia / Million star</t>
  </si>
  <si>
    <t>ATR01-NL0003</t>
  </si>
  <si>
    <t>Astrantia / Millionstar White 60cm</t>
  </si>
  <si>
    <t>ATR01-NL0004</t>
  </si>
  <si>
    <t>Astrantia / Roma Pink 75cm</t>
  </si>
  <si>
    <t>ATR01-NL0005</t>
  </si>
  <si>
    <t>Astrantia / Rosita Pink 60cm</t>
  </si>
  <si>
    <t>ATR01-NL0006</t>
  </si>
  <si>
    <t>Astrantia / Shaggy White 75cm</t>
  </si>
  <si>
    <t>ATR01-NL0007</t>
  </si>
  <si>
    <t>Astrantia / Star of Africa</t>
  </si>
  <si>
    <t>ATR01-NL0008</t>
  </si>
  <si>
    <t>Astrantia / Star of Fire Wine 60cm</t>
  </si>
  <si>
    <t>ATR01-NL0009</t>
  </si>
  <si>
    <t>Astrantia / Star of Love</t>
  </si>
  <si>
    <t>ATR01-NL0010</t>
  </si>
  <si>
    <t>Astrantia / Billion Star 60cm</t>
  </si>
  <si>
    <t>BOV01-NL0001</t>
  </si>
  <si>
    <t>Bouvardia Diamond Prince</t>
  </si>
  <si>
    <t>부바르디아</t>
  </si>
  <si>
    <t>BOV01-NL0002</t>
  </si>
  <si>
    <t>Bouvardia Double Diamond Sparkles</t>
  </si>
  <si>
    <t>BOV01-NL0003</t>
  </si>
  <si>
    <t>Bouvardia Double Salmon</t>
  </si>
  <si>
    <t>BOV01-NL0004</t>
  </si>
  <si>
    <t>Bouvardia Single Royal Naomi Lavender</t>
  </si>
  <si>
    <t>BOV01-NL0005</t>
  </si>
  <si>
    <t>Bouvardia Single Royal Twotone Pink</t>
  </si>
  <si>
    <t>BOV01-NL0006</t>
  </si>
  <si>
    <t>Bouvardia Single Royal Verde White</t>
  </si>
  <si>
    <t>BOV01-NL0007</t>
  </si>
  <si>
    <t>Bouvardia Single Sweet Roza L/Pink</t>
  </si>
  <si>
    <t>BUS01-AU0001</t>
  </si>
  <si>
    <t>Banker Bush</t>
  </si>
  <si>
    <t>부쉬</t>
  </si>
  <si>
    <t>BUS01-AU0002</t>
  </si>
  <si>
    <t>Sapphire Bush</t>
  </si>
  <si>
    <t>BUS01-AU0003</t>
  </si>
  <si>
    <t>Smoke Bush</t>
  </si>
  <si>
    <t>BUS01-AU0004</t>
  </si>
  <si>
    <t>Wolly Bush</t>
  </si>
  <si>
    <t>CAL01-NL0001</t>
  </si>
  <si>
    <t>Calla / Aspen White 60</t>
  </si>
  <si>
    <t>카라</t>
  </si>
  <si>
    <t>CAL01-NL0002</t>
  </si>
  <si>
    <t>Calla / Auckland 80cm L/pink</t>
  </si>
  <si>
    <t>CAL01-NL0003</t>
  </si>
  <si>
    <t>Calla / Black Diamond</t>
  </si>
  <si>
    <t>CAL01-NL0004</t>
  </si>
  <si>
    <t>Calla / Candy Dream Pink</t>
  </si>
  <si>
    <t>CAL01-NL0005</t>
  </si>
  <si>
    <t>Calla / Cantor Black</t>
  </si>
  <si>
    <t>CAL01-NL0006</t>
  </si>
  <si>
    <t>Calla / Capt Violet L/Lavender 60cm</t>
  </si>
  <si>
    <t>CAL01-NL0007</t>
  </si>
  <si>
    <t>Calla / Captain Maestro</t>
  </si>
  <si>
    <t>CAL01-NL0008</t>
  </si>
  <si>
    <t>Calla / Captain Mario Pink</t>
  </si>
  <si>
    <t>CAL01-NL0009</t>
  </si>
  <si>
    <t>Calla / Captain Marrero L/Pink</t>
  </si>
  <si>
    <t>CAL01-NL0010</t>
  </si>
  <si>
    <t>Calla / Captain Melrose W/Pinksh</t>
  </si>
  <si>
    <t>CAL01-NL0011</t>
  </si>
  <si>
    <t>Calla / Captain Odeon Orange 80cm</t>
  </si>
  <si>
    <t>CAL01-NL0012</t>
  </si>
  <si>
    <t>Calla / Captain Promise Wine</t>
  </si>
  <si>
    <t>CAL01-NL0013</t>
  </si>
  <si>
    <t>Calla / Captain Romen L/Pink</t>
  </si>
  <si>
    <t>CAL01-NL0014</t>
  </si>
  <si>
    <t>Calla / Captain Roset L/Pink2 70cm</t>
  </si>
  <si>
    <t>CAL01-NL0015</t>
  </si>
  <si>
    <t>Calla / Captain Solo Yellow</t>
  </si>
  <si>
    <t>CAL01-NL0016</t>
  </si>
  <si>
    <t>Calla / Captain Trinity Orange 60cm</t>
  </si>
  <si>
    <t>CAL01-NL0017</t>
  </si>
  <si>
    <t>Calla / Captain Tulsa Wine 60cm</t>
  </si>
  <si>
    <t>CAL01-NL0018</t>
  </si>
  <si>
    <t>Calla / Captain Violetta</t>
  </si>
  <si>
    <t>CAL01-NL0019</t>
  </si>
  <si>
    <t>Calla / Captian Odeon Orange 70cm</t>
  </si>
  <si>
    <t>CAL01-NL0020</t>
  </si>
  <si>
    <t>Calla / Cheerrio Dark Pink</t>
  </si>
  <si>
    <t>CAL01-NL0021</t>
  </si>
  <si>
    <t>Calla / Cheery kiss Dark Pink</t>
  </si>
  <si>
    <t>CAL01-NL0022</t>
  </si>
  <si>
    <t>Calla / Crystal Blush White</t>
  </si>
  <si>
    <t>CAL01-NL0023</t>
  </si>
  <si>
    <t>Calla / Denver</t>
  </si>
  <si>
    <t>CAL01-NL0024</t>
  </si>
  <si>
    <t>Calla / Eveline Wine 70cm</t>
  </si>
  <si>
    <t>CAL01-NL0025</t>
  </si>
  <si>
    <t>Calla / Fantasia L/pink</t>
  </si>
  <si>
    <t>CAL01-NL0026</t>
  </si>
  <si>
    <t>Calla / Filipino Dark Pink</t>
  </si>
  <si>
    <t>CAL01-NL0027</t>
  </si>
  <si>
    <t>Calla / Garnet Glow</t>
  </si>
  <si>
    <t>CAL01-NL0028</t>
  </si>
  <si>
    <t>Calla / Gold Cup</t>
  </si>
  <si>
    <t>CAL01-NL0029</t>
  </si>
  <si>
    <t>Calla / Gold Medal</t>
  </si>
  <si>
    <t>CAL01-NL0030</t>
  </si>
  <si>
    <t>Calla / Havana</t>
  </si>
  <si>
    <t>CAL01-NL0031</t>
  </si>
  <si>
    <t>Calla / Honeymoon Peach</t>
  </si>
  <si>
    <t>CAL01-NL0032</t>
  </si>
  <si>
    <t>Calla / Honeymoon Pink</t>
  </si>
  <si>
    <t>CAL01-NL0033</t>
  </si>
  <si>
    <t>Calla / Jewel Pink</t>
  </si>
  <si>
    <t>CAL01-NL0034</t>
  </si>
  <si>
    <t>Calla / Majestic Red 60cm</t>
  </si>
  <si>
    <t>CAL01-NL0035</t>
  </si>
  <si>
    <t>Calla / Mango Orange 60cm</t>
  </si>
  <si>
    <t>CAL01-NL0036</t>
  </si>
  <si>
    <t>Calla / Mango Orange 70cm</t>
  </si>
  <si>
    <t>CAL01-NL0037</t>
  </si>
  <si>
    <t>Calla / Mi Amore Pink 70cm</t>
  </si>
  <si>
    <t>CAL01-NL0038</t>
  </si>
  <si>
    <t>Calla / Mini Cantor 70cm</t>
  </si>
  <si>
    <t>CAL01-NL0039</t>
  </si>
  <si>
    <t>Calla / Mini L/pink 50cm</t>
  </si>
  <si>
    <t>CAL01-NL0040</t>
  </si>
  <si>
    <t>Calla / Mini Sun Rise 50cm</t>
  </si>
  <si>
    <t>CAL01-NL0041</t>
  </si>
  <si>
    <t>Calla / Odessa 60cm Decorum White</t>
  </si>
  <si>
    <t>CAL01-NL0042</t>
  </si>
  <si>
    <t>Calla / Ouckland Peach</t>
  </si>
  <si>
    <t>CAL01-NL0043</t>
  </si>
  <si>
    <t>Calla / Paco Lavender 70cm</t>
  </si>
  <si>
    <t>CAL01-NL0044</t>
  </si>
  <si>
    <t>Calla / Panther Pink</t>
  </si>
  <si>
    <t>CAL01-NL0045</t>
  </si>
  <si>
    <t>Calla / Pink Jewel</t>
  </si>
  <si>
    <t>CAL01-NL0046</t>
  </si>
  <si>
    <t>Calla / Pink Melody</t>
  </si>
  <si>
    <t>CAL01-NL0047</t>
  </si>
  <si>
    <t>Calla / Puppy Dark Pink</t>
  </si>
  <si>
    <t>CAL01-NL0048</t>
  </si>
  <si>
    <t>Calla / Red Alert Red</t>
  </si>
  <si>
    <t>CAL01-NL0049</t>
  </si>
  <si>
    <t>Calla / Red Cham Burgundy</t>
  </si>
  <si>
    <t>CAL01-NL0050</t>
  </si>
  <si>
    <t>Calla / Red Cham Dark Red 70cm</t>
  </si>
  <si>
    <t>CAL01-NL0051</t>
  </si>
  <si>
    <t>Calla / Red Dragon 60cm</t>
  </si>
  <si>
    <t>CAL01-NL0052</t>
  </si>
  <si>
    <t>Calla / Red Sunrise 60cm</t>
  </si>
  <si>
    <t>CAL01-NL0053</t>
  </si>
  <si>
    <t>Calla / Romance</t>
  </si>
  <si>
    <t>CAL01-NL0054</t>
  </si>
  <si>
    <t>Calla / Rosette Pink</t>
  </si>
  <si>
    <t>CAL01-NL0055</t>
  </si>
  <si>
    <t>Calla / Rudolph</t>
  </si>
  <si>
    <t>CAL01-NL0056</t>
  </si>
  <si>
    <t>Calla / Safari Orange</t>
  </si>
  <si>
    <t>CAL01-NL0057</t>
  </si>
  <si>
    <t>Calla / Samba L/Pink</t>
  </si>
  <si>
    <t>CAL01-NL0058</t>
  </si>
  <si>
    <t>Calla / Sapporo White 60cm</t>
  </si>
  <si>
    <t>CAL01-NL0059</t>
  </si>
  <si>
    <t>Calla / Sorbinne L/Pink</t>
  </si>
  <si>
    <t>CAL01-NL0060</t>
  </si>
  <si>
    <t>Calla / Sumatra Purple</t>
  </si>
  <si>
    <t>CAL01-NL0061</t>
  </si>
  <si>
    <t>Calla / Sumatra Wine 60cm</t>
  </si>
  <si>
    <t>CAL01-NL0062</t>
  </si>
  <si>
    <t>Calla / Sweet Art L/Pink</t>
  </si>
  <si>
    <t>CAL01-NL0063</t>
  </si>
  <si>
    <t>Calla / Sweet Misty Pink</t>
  </si>
  <si>
    <t>CAL01-NL0064</t>
  </si>
  <si>
    <t>Calla / Ventura White</t>
  </si>
  <si>
    <t>CAL01-NL0065</t>
  </si>
  <si>
    <t>Calla / Zazu Pink</t>
  </si>
  <si>
    <t>CAL01-NL0066</t>
  </si>
  <si>
    <t>Calla / Zazu White</t>
  </si>
  <si>
    <t>CAL01-NL0067</t>
  </si>
  <si>
    <t>Calla / Odessa 60cm Zandvoort White</t>
  </si>
  <si>
    <t>CAL01-NL0068</t>
  </si>
  <si>
    <t>Calla / Odessa 60cm Future White</t>
  </si>
  <si>
    <t>CAL01-NL0069</t>
  </si>
  <si>
    <t>Calla / Odessa 60cm Decorum Black</t>
  </si>
  <si>
    <t>CAL01-NL0070</t>
  </si>
  <si>
    <t>Calla / Odessa 60cm Zandvoort Black</t>
  </si>
  <si>
    <t>CAL01-NL0071</t>
  </si>
  <si>
    <t>Calla / Odessa 60cm Future Amore</t>
  </si>
  <si>
    <t>CAL01-NL0072</t>
  </si>
  <si>
    <t>Calla / Odeon 55cm</t>
  </si>
  <si>
    <t>CAL01-NL0075</t>
  </si>
  <si>
    <t>Calla / Odessa 70cm Decorum Black</t>
  </si>
  <si>
    <t>CAL01-NL0080</t>
  </si>
  <si>
    <t>Calla / Odessa 65cm Decorum Black</t>
  </si>
  <si>
    <t>CAL01-NL0081</t>
  </si>
  <si>
    <t>Calla / Monte Carlo</t>
  </si>
  <si>
    <t>CAL01-NL0082</t>
  </si>
  <si>
    <t>Calla / White Art</t>
  </si>
  <si>
    <t>CAL01-NL0083</t>
  </si>
  <si>
    <t>Calla / Ivory Art 60cm</t>
  </si>
  <si>
    <t>CAL01-NL0084</t>
  </si>
  <si>
    <t>Calla / Thrinity</t>
  </si>
  <si>
    <t>CAL01-NL0085</t>
  </si>
  <si>
    <t>Calla / Callister</t>
  </si>
  <si>
    <t>CAM01-NL0001</t>
  </si>
  <si>
    <t>Campanula / Medium Champion White</t>
  </si>
  <si>
    <t>깜바눌라</t>
  </si>
  <si>
    <t>CAM01-NL0002</t>
  </si>
  <si>
    <t>Campanula / Medium Lavender</t>
  </si>
  <si>
    <t>라벤더/</t>
  </si>
  <si>
    <t>CAR01-CO0001</t>
  </si>
  <si>
    <t>CARNATION Alhambra</t>
  </si>
  <si>
    <t>CAR01-CO0002</t>
  </si>
  <si>
    <t>CARNATION Alibaba</t>
  </si>
  <si>
    <t>CAR01-CO0003</t>
  </si>
  <si>
    <t>CARNATION Amico</t>
  </si>
  <si>
    <t>CAR01-CO0004</t>
  </si>
  <si>
    <t>CARNATION Amico Lavender</t>
  </si>
  <si>
    <t>CAR01-CO0005</t>
  </si>
  <si>
    <t>CARNATION Anastasia</t>
  </si>
  <si>
    <t>CAR01-CO0006</t>
  </si>
  <si>
    <t>CARNATION Andrea</t>
  </si>
  <si>
    <t>CAR01-CO0007</t>
  </si>
  <si>
    <t>CARNATION Antigua</t>
  </si>
  <si>
    <t>CAR01-CO0008</t>
  </si>
  <si>
    <t>CARNATION Apple Tea</t>
  </si>
  <si>
    <t>CAR01-CO0009</t>
  </si>
  <si>
    <t>CARNATION Apsu</t>
  </si>
  <si>
    <t>CAR01-CO0010</t>
  </si>
  <si>
    <t>CARNATION Babylon</t>
  </si>
  <si>
    <t>CAR01-CO0011</t>
  </si>
  <si>
    <t>CARNATION Belle Epoque</t>
  </si>
  <si>
    <t>CAR01-CO0012</t>
  </si>
  <si>
    <t>CARNATION Bellisima</t>
  </si>
  <si>
    <t>CAR01-CO0013</t>
  </si>
  <si>
    <t>CARNATION Bernard</t>
  </si>
  <si>
    <t>CAR01-CO0014</t>
  </si>
  <si>
    <t>CARNATION Betsy</t>
  </si>
  <si>
    <t>CAR01-CO0015</t>
  </si>
  <si>
    <t>CARNATION BEVERLY HILLS</t>
  </si>
  <si>
    <t>CAR01-CO0016</t>
  </si>
  <si>
    <t>CARNATION Bic Purple Sky</t>
  </si>
  <si>
    <t>CAR01-CO0017</t>
  </si>
  <si>
    <t>CARNATION Birmania</t>
  </si>
  <si>
    <t>CAR01-CO0018</t>
  </si>
  <si>
    <t>CARNATION Bizet</t>
  </si>
  <si>
    <t>CAR01-CO0019</t>
  </si>
  <si>
    <t>CARNATION Boheme</t>
  </si>
  <si>
    <t>CAR01-CO0020</t>
  </si>
  <si>
    <t>CARNATION Boiro</t>
  </si>
  <si>
    <t>CAR01-CO0022</t>
  </si>
  <si>
    <t>CARNATION Brut</t>
  </si>
  <si>
    <t>CAR01-CO0023</t>
  </si>
  <si>
    <t>CARNATION Bublicius(Pink)</t>
  </si>
  <si>
    <t>CAR01-CO0024</t>
  </si>
  <si>
    <t>CARNATION Budapest</t>
  </si>
  <si>
    <t>CAR01-CO0026</t>
  </si>
  <si>
    <t>CARNATION Caramel</t>
  </si>
  <si>
    <t xml:space="preserve">아주라
</t>
  </si>
  <si>
    <t>CAR01-CO0027</t>
  </si>
  <si>
    <t>CARNATION Caroline</t>
  </si>
  <si>
    <t>CAR01-CO0028</t>
  </si>
  <si>
    <t>CARNATION Caroline Gold</t>
  </si>
  <si>
    <t>CAR01-CO0029</t>
  </si>
  <si>
    <t>CARNATION Carrie</t>
  </si>
  <si>
    <t>CAR01-CO0030</t>
  </si>
  <si>
    <t>CARNATION Cerisier</t>
  </si>
  <si>
    <t>CAR01-CO0031</t>
  </si>
  <si>
    <t>CARNATION Cherrio</t>
  </si>
  <si>
    <t>CAR01-CO0032</t>
  </si>
  <si>
    <t>CARNATION Chiquita</t>
  </si>
  <si>
    <t>CAR01-CO0033</t>
  </si>
  <si>
    <t>CARNATION Cimabue</t>
  </si>
  <si>
    <t>CAR01-CO0034</t>
  </si>
  <si>
    <t>CARNATION Cinabro</t>
  </si>
  <si>
    <t>CAR01-CO0035</t>
  </si>
  <si>
    <t>CARNATION Cinderella</t>
  </si>
  <si>
    <t>CAR01-CO0036</t>
  </si>
  <si>
    <t>CARNATION Clorophilla</t>
  </si>
  <si>
    <t>CAR01-CO0037</t>
  </si>
  <si>
    <t>CARNATION Copacavana</t>
  </si>
  <si>
    <t>CAR01-CO0038</t>
  </si>
  <si>
    <t>CARNATION Copper Extasis</t>
  </si>
  <si>
    <t>CAR01-CO0039</t>
  </si>
  <si>
    <t>CARNATION Cover</t>
  </si>
  <si>
    <t>CAR01-CO0040</t>
  </si>
  <si>
    <t>CARNATION Cowboy</t>
  </si>
  <si>
    <t>CAR01-CO0041</t>
  </si>
  <si>
    <t>CARNATION Creola</t>
  </si>
  <si>
    <t>CAR01-CO0043</t>
  </si>
  <si>
    <t>CARNATION Crimea</t>
  </si>
  <si>
    <t>CAR01-CO0044</t>
  </si>
  <si>
    <t>CARNATION Crimson Tempo</t>
  </si>
  <si>
    <t>CAR01-CO0045</t>
  </si>
  <si>
    <t>CARNATION Cute</t>
  </si>
  <si>
    <t>CAR01-CO0046</t>
  </si>
  <si>
    <t>CARNATION Damina</t>
  </si>
  <si>
    <t>CAR01-CO0047</t>
  </si>
  <si>
    <t>CARNATION Daniko</t>
  </si>
  <si>
    <t>CAR01-CO0048</t>
  </si>
  <si>
    <t>CARNATION Danzica</t>
  </si>
  <si>
    <t>CAR01-CO0049</t>
  </si>
  <si>
    <t>CARNATION Diletta Cream</t>
  </si>
  <si>
    <t>CAR01-CO0050</t>
  </si>
  <si>
    <t>CARNATION Diletta (Yellow)</t>
  </si>
  <si>
    <t>CAR01-CO0051</t>
  </si>
  <si>
    <t>CARNATION Divino</t>
  </si>
  <si>
    <t>CAR01-CO0052</t>
  </si>
  <si>
    <t>CARNATION Doncel</t>
  </si>
  <si>
    <t>CAR01-CO0053</t>
  </si>
  <si>
    <t>CARNATION Don pedro (Red)</t>
  </si>
  <si>
    <t>CAR01-CO0054</t>
  </si>
  <si>
    <t>CARNATION Edmond</t>
  </si>
  <si>
    <t>CAR01-CO0055</t>
  </si>
  <si>
    <t>CARNATION Extasis</t>
  </si>
  <si>
    <t>CAR01-CO0056</t>
  </si>
  <si>
    <t>CARNATION Fabulous</t>
  </si>
  <si>
    <t>CAR01-CO0057</t>
  </si>
  <si>
    <t>CARNATION Faith</t>
  </si>
  <si>
    <t>CAR01-CO0058</t>
  </si>
  <si>
    <t>CARNATION Farida</t>
  </si>
  <si>
    <t>CAR01-CO0059</t>
  </si>
  <si>
    <t>CARNATION Farieta</t>
  </si>
  <si>
    <t>CAR01-CO0060</t>
  </si>
  <si>
    <t>CARNATION Fiona</t>
  </si>
  <si>
    <t>CAR01-CO0061</t>
  </si>
  <si>
    <t>CARNATION Forattini</t>
  </si>
  <si>
    <t>CAR01-CO0062</t>
  </si>
  <si>
    <t>CARNATION Francine</t>
  </si>
  <si>
    <t>CAR01-CO0063</t>
  </si>
  <si>
    <t>CARNATION Francine Scuro</t>
  </si>
  <si>
    <t>CAR01-CO0064</t>
  </si>
  <si>
    <t>CARNATION Gioele Crema</t>
  </si>
  <si>
    <t>CAR01-CO0065</t>
  </si>
  <si>
    <t>CARNATION Gobi</t>
  </si>
  <si>
    <t>CAR01-CO0066</t>
  </si>
  <si>
    <t>CARNATION Goblin</t>
  </si>
  <si>
    <t>CAR01-CO0067</t>
  </si>
  <si>
    <t>CARNATION Golem</t>
  </si>
  <si>
    <t>CAR01-CO0068</t>
  </si>
  <si>
    <t>CARNATION Gransole(Red)</t>
  </si>
  <si>
    <t>CAR01-CO0069</t>
  </si>
  <si>
    <t>CARNATION Halley</t>
  </si>
  <si>
    <t>CAR01-CO0070</t>
  </si>
  <si>
    <t>CARNATION Happy Golem</t>
  </si>
  <si>
    <t>CAR01-CO0071</t>
  </si>
  <si>
    <t>CARNATION Hermes</t>
  </si>
  <si>
    <t>CAR01-CO0072</t>
  </si>
  <si>
    <t>CARNATION Hermes Orange</t>
  </si>
  <si>
    <t>CAR01-CO0073</t>
  </si>
  <si>
    <t>CARNATION Hypnosis</t>
  </si>
  <si>
    <t>CAR01-CO0074</t>
  </si>
  <si>
    <t>CARNATION Ikebana</t>
  </si>
  <si>
    <t>Kaori. Veronika pink JOashua</t>
  </si>
  <si>
    <t>CAR01-CO0075</t>
  </si>
  <si>
    <t>CARNATION Indiana</t>
  </si>
  <si>
    <t>CAR01-CO0076</t>
  </si>
  <si>
    <t>CARNATION Jodie</t>
  </si>
  <si>
    <t>CAR01-CO0077</t>
  </si>
  <si>
    <t>CARNATION Joshua</t>
  </si>
  <si>
    <t>Kaori, Veronika Pink, Ikebana.</t>
  </si>
  <si>
    <t>CAR01-CO0078</t>
  </si>
  <si>
    <t>CARNATION Jubilee</t>
  </si>
  <si>
    <t>CAR01-CO0079</t>
  </si>
  <si>
    <t>CARNATION Jun</t>
  </si>
  <si>
    <t>CAR01-CO0080</t>
  </si>
  <si>
    <t>CARNATION Kaori</t>
  </si>
  <si>
    <t>CAR01-CO0081</t>
  </si>
  <si>
    <t>CARNATION Kerem</t>
  </si>
  <si>
    <t>CAR01-CO0082</t>
  </si>
  <si>
    <t>CARNATION Kilimanjaro</t>
  </si>
  <si>
    <t>CAR01-CO0083</t>
  </si>
  <si>
    <t>CARNATION Komachi</t>
  </si>
  <si>
    <t>CAR01-CO0084</t>
  </si>
  <si>
    <t>CARNATION Komachi Fiesta</t>
  </si>
  <si>
    <t>CAR01-CO0085</t>
  </si>
  <si>
    <t>CARNATION lady Amiga</t>
  </si>
  <si>
    <t>CAR01-CO0086</t>
  </si>
  <si>
    <t>CARNATION Clear Water</t>
  </si>
  <si>
    <t>CAR01-CO0087</t>
  </si>
  <si>
    <t>CARNATION Lege Marrone</t>
  </si>
  <si>
    <t>CAR01-CO0088</t>
  </si>
  <si>
    <t>CARNATION Lege Pink</t>
  </si>
  <si>
    <t>CAR01-CO0089</t>
  </si>
  <si>
    <t>CARNATION Lege Sport</t>
  </si>
  <si>
    <t>CAR01-CO0090</t>
  </si>
  <si>
    <t>CARNATION Lege Verde</t>
  </si>
  <si>
    <t>CAR01-CO0091</t>
  </si>
  <si>
    <t>CARNATION Light Pink Candy</t>
  </si>
  <si>
    <t>CAR01-CO0092</t>
  </si>
  <si>
    <t>CARNATION Lion King</t>
  </si>
  <si>
    <t>CAR01-CO0093</t>
  </si>
  <si>
    <t>CARNATION Lizzy</t>
  </si>
  <si>
    <t>CAR01-CO0094</t>
  </si>
  <si>
    <t>CARNATION Majesta</t>
  </si>
  <si>
    <t>CAR01-CO0095</t>
  </si>
  <si>
    <t>CARNATION Malabar</t>
  </si>
  <si>
    <t>CAR01-CO0096</t>
  </si>
  <si>
    <t>CARNATION Mandalay</t>
  </si>
  <si>
    <t>CAR01-CO0097</t>
  </si>
  <si>
    <t>CARNATION Mandarin</t>
  </si>
  <si>
    <t>CAR01-CO0098</t>
  </si>
  <si>
    <t>CARNATION Mariposa</t>
  </si>
  <si>
    <t>CAR01-CO0099</t>
  </si>
  <si>
    <t>CARNATION Maruchi</t>
  </si>
  <si>
    <t>CAR01-CO0100</t>
  </si>
  <si>
    <t>CARNATION Marvellous</t>
  </si>
  <si>
    <t>CAR01-CO0101</t>
  </si>
  <si>
    <t>CARNATION Merletto Cherry</t>
  </si>
  <si>
    <t>CAR01-CO0102</t>
  </si>
  <si>
    <t>CARNATION Metalica</t>
  </si>
  <si>
    <t>CAR01-CO0103</t>
  </si>
  <si>
    <t>CARNATION Milonga Orange</t>
  </si>
  <si>
    <t>CAR01-CO0104</t>
  </si>
  <si>
    <t>CARNATION Minerva</t>
  </si>
  <si>
    <t>CAR01-CO0105</t>
  </si>
  <si>
    <t>CARNATION Mix box</t>
  </si>
  <si>
    <t>CAR01-CO0106</t>
  </si>
  <si>
    <t>CARNATION Miyabi</t>
  </si>
  <si>
    <t>CAR01-CO0107</t>
  </si>
  <si>
    <t>CARNATION Mizuki</t>
  </si>
  <si>
    <t>CAR01-CO0108</t>
  </si>
  <si>
    <t>CARNATION Monsenor</t>
  </si>
  <si>
    <t>CAR01-CO0109</t>
  </si>
  <si>
    <t>CARNATION Moon Golem</t>
  </si>
  <si>
    <t>CAR01-CO0110</t>
  </si>
  <si>
    <t>CARNATION Moon Light</t>
  </si>
  <si>
    <t>CAR01-CO0111</t>
  </si>
  <si>
    <t>CARNATION Moselle</t>
  </si>
  <si>
    <t>CAR01-CO0112</t>
  </si>
  <si>
    <t>CARNATION Mustard</t>
  </si>
  <si>
    <t>CAR01-CO0113</t>
  </si>
  <si>
    <t>CARNATION Nahema</t>
  </si>
  <si>
    <t>CAR01-CO0114</t>
  </si>
  <si>
    <t>CARNATION Napoleon</t>
  </si>
  <si>
    <t>CAR01-CO0115</t>
  </si>
  <si>
    <t>CARNATION Natalia(Yellow)</t>
  </si>
  <si>
    <t>CAR01-CO0116</t>
  </si>
  <si>
    <t>CARNATION Neon</t>
  </si>
  <si>
    <t>CAR01-CO0117</t>
  </si>
  <si>
    <t>CARNATION Nobbio Burgundy</t>
  </si>
  <si>
    <t>CAR01-CO0118</t>
  </si>
  <si>
    <t>CARNATION Nobbio Violet</t>
  </si>
  <si>
    <t>CAR01-CO0119</t>
  </si>
  <si>
    <t>CARNATION Novia</t>
  </si>
  <si>
    <t>CAR01-CO0120</t>
  </si>
  <si>
    <t>CARNATION Nowo</t>
  </si>
  <si>
    <t>CAR01-CO0121</t>
  </si>
  <si>
    <t>CARNATION Oasis</t>
  </si>
  <si>
    <t>CAR01-CO0122</t>
  </si>
  <si>
    <t>CARNATION Ocean Song</t>
  </si>
  <si>
    <t>CAR01-CO0123</t>
  </si>
  <si>
    <t>CARNATION Oliva</t>
  </si>
  <si>
    <t>CAR01-CO0124</t>
  </si>
  <si>
    <t>CARNATION Orion</t>
  </si>
  <si>
    <t>CAR01-CO0125</t>
  </si>
  <si>
    <t>CARNATION Pascoli</t>
  </si>
  <si>
    <t>CAR01-CO0126</t>
  </si>
  <si>
    <t>CARNATION Pax</t>
  </si>
  <si>
    <t>CAR01-CO0127</t>
  </si>
  <si>
    <t>CARNATION Peach Mambo</t>
  </si>
  <si>
    <t>CAR01-CO0128</t>
  </si>
  <si>
    <t>CARNATION Piet</t>
  </si>
  <si>
    <t>CAR01-CO0129</t>
  </si>
  <si>
    <t>CARNATION dollar</t>
  </si>
  <si>
    <t>CAR01-CO0130</t>
  </si>
  <si>
    <t>CARNATION Polimnia</t>
  </si>
  <si>
    <t>CAR01-CO0131</t>
  </si>
  <si>
    <t>CARNATION Pomarosa</t>
  </si>
  <si>
    <t>CAR01-CO0132</t>
  </si>
  <si>
    <t>CARNATION Porto</t>
  </si>
  <si>
    <t>CAR01-CO0133</t>
  </si>
  <si>
    <t>CARNATION Prado Mint</t>
  </si>
  <si>
    <t>CAR01-CO0134</t>
  </si>
  <si>
    <t>CARNATION Red Frontera</t>
  </si>
  <si>
    <t>CAR01-CO0135</t>
  </si>
  <si>
    <t>CARNATION Red Magic</t>
  </si>
  <si>
    <t>CAR01-CO0136</t>
  </si>
  <si>
    <t>CARNATION Rex</t>
  </si>
  <si>
    <t>CAR01-CO0137</t>
  </si>
  <si>
    <t>CARNATION Rhapsody</t>
  </si>
  <si>
    <t>CAR01-CO0138</t>
  </si>
  <si>
    <t>CARNATION Rioja</t>
  </si>
  <si>
    <t>CAR01-CO0139</t>
  </si>
  <si>
    <t>CARNATION rodas</t>
  </si>
  <si>
    <t>CAR01-CO0141</t>
  </si>
  <si>
    <t>CARNATION Selva</t>
  </si>
  <si>
    <t>CAR01-CO0142</t>
  </si>
  <si>
    <t>CARNATION Sensation</t>
  </si>
  <si>
    <t>CAR01-CO0143</t>
  </si>
  <si>
    <t>CARNATION Sinai</t>
  </si>
  <si>
    <t>CAR01-CO0144</t>
  </si>
  <si>
    <t>CARNATION Solex</t>
  </si>
  <si>
    <t>CAR01-CO0145</t>
  </si>
  <si>
    <t>CARNATION Spritz</t>
  </si>
  <si>
    <t>CAR01-CO0146</t>
  </si>
  <si>
    <t>CARNATION Sunny Komachi</t>
  </si>
  <si>
    <t>CAR01-CO0147</t>
  </si>
  <si>
    <t>CARNATION Tenderly</t>
  </si>
  <si>
    <t>CAR01-CO0148</t>
  </si>
  <si>
    <t>CARNATION Terracotta Fabulous</t>
  </si>
  <si>
    <t>CAR01-CO0149</t>
  </si>
  <si>
    <t>CARNATION Thalia</t>
  </si>
  <si>
    <t>CAR01-CO0150</t>
  </si>
  <si>
    <t>CARNATION Tiepolo Fucsia</t>
  </si>
  <si>
    <t>CAR01-CO0151</t>
  </si>
  <si>
    <t>CARNATION Tinted Blue</t>
  </si>
  <si>
    <t>CAR01-CO0152</t>
  </si>
  <si>
    <t>CARNATION Tinted Green</t>
  </si>
  <si>
    <t>CAR01-CO0153</t>
  </si>
  <si>
    <t>CARNATION Tonic Golem</t>
  </si>
  <si>
    <t>CAR01-CO0154</t>
  </si>
  <si>
    <t>CARNATION True Love</t>
  </si>
  <si>
    <t>CAR01-CO0155</t>
  </si>
  <si>
    <t>CARNATION Trueno Orange</t>
  </si>
  <si>
    <t>CAR01-CO0156</t>
  </si>
  <si>
    <t>CARNATION Verona</t>
  </si>
  <si>
    <t>CAR01-CO0157</t>
  </si>
  <si>
    <t>CARNATION Vicky</t>
  </si>
  <si>
    <t>CAR01-CO0158</t>
  </si>
  <si>
    <t>CARNATION Viper Wine</t>
  </si>
  <si>
    <t>CAR01-CO0159</t>
  </si>
  <si>
    <t>CARNATION Vortex</t>
  </si>
  <si>
    <t>CAR01-CO0160</t>
  </si>
  <si>
    <t>CARNATION Walker</t>
  </si>
  <si>
    <t>CAR01-CO0161</t>
  </si>
  <si>
    <t>CARNATION Wine Cover</t>
  </si>
  <si>
    <t>CAR01-CO0162</t>
  </si>
  <si>
    <t>CARNATION Yellow</t>
  </si>
  <si>
    <t>CAR01-CO0163</t>
  </si>
  <si>
    <t>CARNATION Yukari Oscuro</t>
  </si>
  <si>
    <t>CAR01-CO0165</t>
  </si>
  <si>
    <t>CARNATION Yukari Cherry</t>
  </si>
  <si>
    <t>CAR01-CO0166</t>
  </si>
  <si>
    <t>CARNATION Zulu</t>
  </si>
  <si>
    <t>CAR01-CO0167</t>
  </si>
  <si>
    <t>CARNATION Zurigo</t>
  </si>
  <si>
    <t>CAR01-CO0170</t>
  </si>
  <si>
    <t>CARNATION Spritz Sport</t>
  </si>
  <si>
    <t>CAR01-CO0171</t>
  </si>
  <si>
    <t>CARNATION Pink Corvette</t>
  </si>
  <si>
    <t>CAR01-CO0172</t>
  </si>
  <si>
    <t>CARNATION Tinted VTG. BLUE</t>
  </si>
  <si>
    <t>CAR01-CO0173</t>
  </si>
  <si>
    <t>CARNATION Tinted ELEC. PURPLE</t>
  </si>
  <si>
    <t>CAR01-CO0174</t>
  </si>
  <si>
    <t>CARNATION Wedding</t>
  </si>
  <si>
    <t>CAR01-CO0175</t>
  </si>
  <si>
    <t>CARNATION Zeppelin</t>
  </si>
  <si>
    <t>CAR01-CO0176</t>
  </si>
  <si>
    <t>CARNATION Ness</t>
  </si>
  <si>
    <t>CAR01-CO0178</t>
  </si>
  <si>
    <t>CARNATION Ilusion</t>
  </si>
  <si>
    <t>CAR01-CO0179</t>
  </si>
  <si>
    <t>CARNATION damascus</t>
  </si>
  <si>
    <t>CAR01-CO0180</t>
  </si>
  <si>
    <t>CARNATION Electric Purple</t>
  </si>
  <si>
    <t>CAR01-CO0181</t>
  </si>
  <si>
    <t>CARNATION Giogia</t>
  </si>
  <si>
    <t>CAR01-CO0182</t>
  </si>
  <si>
    <t>CARNATION Cerceta</t>
  </si>
  <si>
    <t>CAR01-CO0183</t>
  </si>
  <si>
    <t>CARNATION Grizzly</t>
  </si>
  <si>
    <t>CAR01-CO0184</t>
  </si>
  <si>
    <t>CARNATION Polar Route</t>
  </si>
  <si>
    <t>CAR01-CO0186</t>
  </si>
  <si>
    <t>CARNATION Megan</t>
  </si>
  <si>
    <t>CAR01-CO0187</t>
  </si>
  <si>
    <t>CARNATION Virgilio</t>
  </si>
  <si>
    <t>CAR01-CO0188</t>
  </si>
  <si>
    <t>CARNATION Emma</t>
  </si>
  <si>
    <t>CAR01-CO0189</t>
  </si>
  <si>
    <t>CARNATION Goldi</t>
  </si>
  <si>
    <t>CAR01-CO0190</t>
  </si>
  <si>
    <t>CARNATION Joker</t>
  </si>
  <si>
    <t>CAR01-CO0191</t>
  </si>
  <si>
    <t>CARNATION Charisma</t>
  </si>
  <si>
    <t>CAR01-CO0192</t>
  </si>
  <si>
    <t>CARNATION Tinted Mix</t>
  </si>
  <si>
    <t>CAR01-CO0193</t>
  </si>
  <si>
    <t>CARNATION Violte Pixel</t>
  </si>
  <si>
    <t>CAR01-CO0194</t>
  </si>
  <si>
    <t>CARNATION Ray</t>
  </si>
  <si>
    <t>CAR01-CO0196</t>
  </si>
  <si>
    <t>CARNATION Cherry Jubilee</t>
  </si>
  <si>
    <t>CAR01-CO0197</t>
  </si>
  <si>
    <t>CARNATION Lavender Pixel</t>
  </si>
  <si>
    <t>CAR01-CO0198</t>
  </si>
  <si>
    <t>CARNATION Pink Pixel</t>
  </si>
  <si>
    <t>CAR01-CO0199</t>
  </si>
  <si>
    <t>CARNATION Burgundy Pixel</t>
  </si>
  <si>
    <t>CAR01-CO0200</t>
  </si>
  <si>
    <t>CARNATION Nobbio Frenzy</t>
  </si>
  <si>
    <t>CAR01-CO0201</t>
  </si>
  <si>
    <t>CARNATION Nobbio Babel</t>
  </si>
  <si>
    <t>CAR01-CO0203</t>
  </si>
  <si>
    <t>CARNATION Nobbi Circus</t>
  </si>
  <si>
    <t>CAR01-CO0204</t>
  </si>
  <si>
    <t>CARNATION Nobbi Crochet</t>
  </si>
  <si>
    <t>CAR01-CO0205</t>
  </si>
  <si>
    <t>CARNATION Nobbi Violte</t>
  </si>
  <si>
    <t>CAR01-CO0206</t>
  </si>
  <si>
    <t>CARNATION Lipsstic</t>
  </si>
  <si>
    <t>CAR01-CO0207</t>
  </si>
  <si>
    <t>CARNATION Rainbow</t>
  </si>
  <si>
    <t>CAR01-CO0208</t>
  </si>
  <si>
    <t>CARNATION Turron</t>
  </si>
  <si>
    <t>CAR01-CO0209</t>
  </si>
  <si>
    <t>CARNATION Bacarat</t>
  </si>
  <si>
    <t>CAR01-CO0210</t>
  </si>
  <si>
    <t>CARNATION Holmes</t>
  </si>
  <si>
    <t>CAR01-CO0211</t>
  </si>
  <si>
    <t>CARNATION Noel</t>
  </si>
  <si>
    <t>CAR01-CO0212</t>
  </si>
  <si>
    <t>CARNATION Cappuccino</t>
  </si>
  <si>
    <t>CAR01-CO0214</t>
  </si>
  <si>
    <t>CARNATION maracuya</t>
  </si>
  <si>
    <t>CAR01-CO0215</t>
  </si>
  <si>
    <t>CARNATION Verona Pink</t>
  </si>
  <si>
    <t>CGB01-NL00001</t>
  </si>
  <si>
    <t>Cupres AR Glauca Blue Ice 50cm</t>
  </si>
  <si>
    <t>블루아이스</t>
  </si>
  <si>
    <t xml:space="preserve">시즌  10-12월 (40-48차)
1단 &gt; 5 stems
MOQ: 12박스 </t>
  </si>
  <si>
    <t>CLA01-AU0001</t>
  </si>
  <si>
    <t>Goanna Claw</t>
  </si>
  <si>
    <t>클라우</t>
  </si>
  <si>
    <t>CLE01-NL0001</t>
  </si>
  <si>
    <t>Clematis Amazing Havana</t>
  </si>
  <si>
    <t>클레마티스</t>
  </si>
  <si>
    <t>CLE01-NL0002</t>
  </si>
  <si>
    <t>Clematis Amazing Kibo</t>
  </si>
  <si>
    <t>CLE01-NL0003</t>
  </si>
  <si>
    <t>Clematis Amazing Kyiv 60cm</t>
  </si>
  <si>
    <t>CLE01-NL0004</t>
  </si>
  <si>
    <t>Clematis Amazing London</t>
  </si>
  <si>
    <t>CLE01-NL0005</t>
  </si>
  <si>
    <t>Clematis Amazing Rome</t>
  </si>
  <si>
    <t>CLE01-NL0006</t>
  </si>
  <si>
    <t>Clematis Blue Pirouette</t>
  </si>
  <si>
    <t>CLE01-NL0007</t>
  </si>
  <si>
    <t>Clematis Inspiration</t>
  </si>
  <si>
    <t>CLE01-NL0008</t>
  </si>
  <si>
    <t>Clematis Oslo</t>
  </si>
  <si>
    <t>CLE01-NL0009</t>
  </si>
  <si>
    <t>Clematis Star River 50cm</t>
  </si>
  <si>
    <t>CLE01-NL0010</t>
  </si>
  <si>
    <t>Clematis Star River 60cm</t>
  </si>
  <si>
    <t>CLE01-NL0011</t>
  </si>
  <si>
    <t>Clematis Amazing Maiami</t>
  </si>
  <si>
    <t>CLE01-NL0012</t>
  </si>
  <si>
    <t>Clematis Amazing Kansas</t>
  </si>
  <si>
    <t>COC01-CO0001</t>
  </si>
  <si>
    <t>COCCULUS</t>
  </si>
  <si>
    <t>코쿨루스</t>
  </si>
  <si>
    <t>CON01-NL0001</t>
  </si>
  <si>
    <t>Convallaria White</t>
  </si>
  <si>
    <t>은방울꽃</t>
  </si>
  <si>
    <t>COT01-NL0001</t>
  </si>
  <si>
    <t>Cotton / 6Bloom 75cm</t>
  </si>
  <si>
    <t>목화</t>
  </si>
  <si>
    <t>COT01-NL0002</t>
  </si>
  <si>
    <t>Cotton / 7Bloom 75cm</t>
  </si>
  <si>
    <t>COT01-NL0003</t>
  </si>
  <si>
    <t>Cotton / 8Bloom 75cm</t>
  </si>
  <si>
    <t>CTD01-NL0001</t>
  </si>
  <si>
    <t>Cartadria Evita</t>
  </si>
  <si>
    <t>팜파스</t>
  </si>
  <si>
    <t>CTI01-NL0001</t>
  </si>
  <si>
    <t>Continus Royal Purple</t>
  </si>
  <si>
    <t>콘티누스</t>
  </si>
  <si>
    <t>CYM01-NL0001</t>
  </si>
  <si>
    <t>Cymbidium / Alice Anderson 80cm</t>
  </si>
  <si>
    <t>심비디움</t>
  </si>
  <si>
    <t>CYM01-NL0002</t>
  </si>
  <si>
    <t>Cymbidium / Charly Brown 60cm</t>
  </si>
  <si>
    <t>CYM01-NL0003</t>
  </si>
  <si>
    <t>Cymbidium / Green 60cm</t>
  </si>
  <si>
    <t>CYM01-NL0004</t>
  </si>
  <si>
    <t>Cymbidium / Pink 60cm</t>
  </si>
  <si>
    <t>CYM01-NL0005</t>
  </si>
  <si>
    <t>Cymbidium / White 60cm</t>
  </si>
  <si>
    <t>CYM01-NL0006</t>
  </si>
  <si>
    <t>Cymbidium / Noha</t>
  </si>
  <si>
    <t>CYM01-NL0007</t>
  </si>
  <si>
    <t>Cymbidium / Tamara Green</t>
  </si>
  <si>
    <t>CYM01-NL0008</t>
  </si>
  <si>
    <t>Cymbidium / Bear Time</t>
  </si>
  <si>
    <t>DEL01-NL0001</t>
  </si>
  <si>
    <t>Delphinium / Centurion White</t>
  </si>
  <si>
    <t>델피늄</t>
  </si>
  <si>
    <t>DEL01-NL0002</t>
  </si>
  <si>
    <t>Delphinium / Delphis Blue Power</t>
  </si>
  <si>
    <t>DEL01-NL0003</t>
  </si>
  <si>
    <t>Delphinium / Delphis Emerald</t>
  </si>
  <si>
    <t>DEL01-NL0004</t>
  </si>
  <si>
    <t>Delphinium / Dewi Pink Floyd</t>
  </si>
  <si>
    <t>DEL01-NL0005</t>
  </si>
  <si>
    <t>Delphinium / Dewi Spijker</t>
  </si>
  <si>
    <t>DEL01-NL0006</t>
  </si>
  <si>
    <t>Delphinium / EN L/Blue</t>
  </si>
  <si>
    <t>DEL01-NL0007</t>
  </si>
  <si>
    <t>Delphinium / Magic Lavender</t>
  </si>
  <si>
    <t>DEL01-NL0008</t>
  </si>
  <si>
    <t>Delphinium / Anastasia</t>
  </si>
  <si>
    <t>DEL01-NL0009</t>
  </si>
  <si>
    <t>Delphinium / Impressive Lavender</t>
  </si>
  <si>
    <t>DEL01-NL0010</t>
  </si>
  <si>
    <t>Delphinium / Boy</t>
  </si>
  <si>
    <t>DEL01-NL0011</t>
  </si>
  <si>
    <t>Delphinium / Kissi Blush Milka Lavender</t>
  </si>
  <si>
    <t>DEL01-NL0012</t>
  </si>
  <si>
    <t>Delphinium / Belladonna Donna</t>
  </si>
  <si>
    <t>DEL01-NL0013</t>
  </si>
  <si>
    <t>Delphinium / Dewi Boy</t>
  </si>
  <si>
    <t>DEL01-NL0014</t>
  </si>
  <si>
    <t>Delphinium / Esmerald</t>
  </si>
  <si>
    <t>DEL01-NL0015</t>
  </si>
  <si>
    <t>Delphinium / Lavender Smile</t>
  </si>
  <si>
    <t>DEL01-NL0016</t>
  </si>
  <si>
    <t>Delphinium / Blue star</t>
  </si>
  <si>
    <t>DEL01-NL0017</t>
  </si>
  <si>
    <t>Delphinium / Belladonna Ballkleid</t>
  </si>
  <si>
    <t>DEL01-NL0018</t>
  </si>
  <si>
    <t>Delphinium / Navy Blue</t>
  </si>
  <si>
    <t>DEL01-NL0019</t>
  </si>
  <si>
    <t>Delphinium / Double Dev Mojo Magenta</t>
  </si>
  <si>
    <t>DEL01-NL0020</t>
  </si>
  <si>
    <t>Delphinium / Double Dewi White Smile</t>
  </si>
  <si>
    <t>DEL01-NL0021</t>
  </si>
  <si>
    <t>Delphinium / Centrion Sky Blue</t>
  </si>
  <si>
    <t>DEL01-NL0022</t>
  </si>
  <si>
    <t>Delphinium / Moonlight (Lavender)</t>
  </si>
  <si>
    <t>DEL01-NL0023</t>
  </si>
  <si>
    <t>Delphinium / Light Blue</t>
  </si>
  <si>
    <t>DEN01-TH0001</t>
  </si>
  <si>
    <t>덴파레 샘플</t>
  </si>
  <si>
    <t>덴드륨</t>
  </si>
  <si>
    <t>DEN01-TH0002</t>
  </si>
  <si>
    <t>Den. White Bom (화이트) M</t>
  </si>
  <si>
    <t>화이트붐</t>
  </si>
  <si>
    <t>DEN01-TH0003</t>
  </si>
  <si>
    <t>Den. Jinda Sweet (피치) XL</t>
  </si>
  <si>
    <t>진다스윗트</t>
  </si>
  <si>
    <t>DEN01-TH0004</t>
  </si>
  <si>
    <t>Den. Big White (화이트) M</t>
  </si>
  <si>
    <t>빅화이트</t>
  </si>
  <si>
    <t>DEN01-TH0005</t>
  </si>
  <si>
    <t>Den. Sonia M</t>
  </si>
  <si>
    <t>DEN01-TH0006</t>
  </si>
  <si>
    <t>Den. Sonia L</t>
  </si>
  <si>
    <t>DEN01-TH0007</t>
  </si>
  <si>
    <t>Den. Peachy</t>
  </si>
  <si>
    <t>DEN01-TH0008</t>
  </si>
  <si>
    <t>Den. sanan white</t>
  </si>
  <si>
    <t>DEN01-TH0009</t>
  </si>
  <si>
    <t>Den. Srinakarin</t>
  </si>
  <si>
    <t>DEN01-TH0010</t>
  </si>
  <si>
    <t>Den. Miss Orchid</t>
  </si>
  <si>
    <t>미스오키드</t>
  </si>
  <si>
    <t>DEN01-TH0011</t>
  </si>
  <si>
    <t>Den. Red Bull(레드불)</t>
  </si>
  <si>
    <t>레드불</t>
  </si>
  <si>
    <t>DEN01-TH0012</t>
  </si>
  <si>
    <t>Den. White Bom (화이트) XL</t>
  </si>
  <si>
    <t>DEN01-TH0013</t>
  </si>
  <si>
    <t>Den. Jinda Sweet (피치) L</t>
  </si>
  <si>
    <t>DEN01-TH0014</t>
  </si>
  <si>
    <t>Den. Areedung Green</t>
  </si>
  <si>
    <t>아리둥그린</t>
  </si>
  <si>
    <t>DEN01-TH0015</t>
  </si>
  <si>
    <t>Den. Violet</t>
  </si>
  <si>
    <t>바이올렛</t>
  </si>
  <si>
    <t>DEN01-TH0016</t>
  </si>
  <si>
    <t>Den. Burana Jade (그린) XL</t>
  </si>
  <si>
    <t>부라나제이드</t>
  </si>
  <si>
    <t>DEN01-TH0017</t>
  </si>
  <si>
    <t>MOK Orange Peach M</t>
  </si>
  <si>
    <t>모카라</t>
  </si>
  <si>
    <t>DEN01-TH0017-1</t>
  </si>
  <si>
    <t>MOK Orange Peach L</t>
  </si>
  <si>
    <t>DEN01-TH0017-2</t>
  </si>
  <si>
    <t>MOK Orange Peach XL</t>
  </si>
  <si>
    <t>DEN01-TH0018</t>
  </si>
  <si>
    <t>Den. Lucky White</t>
  </si>
  <si>
    <t>DEN01-TH0019</t>
  </si>
  <si>
    <t>ARAN.Juling Red XL</t>
  </si>
  <si>
    <t>아란</t>
  </si>
  <si>
    <t>DEN01-TH0020</t>
  </si>
  <si>
    <t>Phalaenopsis</t>
  </si>
  <si>
    <t>DEN01-TH0021</t>
  </si>
  <si>
    <t>MOK Kittilo Red XL</t>
  </si>
  <si>
    <t>DEN01-TH0022</t>
  </si>
  <si>
    <t>Den. white bom loose blooms</t>
  </si>
  <si>
    <t>DEN01-TH0023</t>
  </si>
  <si>
    <t>Den. White Bom (화이트) L</t>
  </si>
  <si>
    <t>DEN01-TH0024</t>
  </si>
  <si>
    <t>Den. White 5N (화이트) M</t>
  </si>
  <si>
    <t>DEN01-TH0025</t>
  </si>
  <si>
    <t>Den. White 5N (화이트) L</t>
  </si>
  <si>
    <t>DEN01-TH0026</t>
  </si>
  <si>
    <t>Den. White 5N (화이트) XL</t>
  </si>
  <si>
    <t>DEN01-TH0027</t>
  </si>
  <si>
    <t>MOK Calipso Pink XL</t>
  </si>
  <si>
    <t>DEN01-TH0028</t>
  </si>
  <si>
    <t>Den. Jinda Sweet (피치) M</t>
  </si>
  <si>
    <t>DEN01-TH0029</t>
  </si>
  <si>
    <t>MOK Jitti</t>
  </si>
  <si>
    <t>DEN01-TH0030</t>
  </si>
  <si>
    <t>ARAN Azima</t>
  </si>
  <si>
    <t>DEN01-TH0031</t>
  </si>
  <si>
    <t>Den. White Single Lei</t>
  </si>
  <si>
    <t>DEN01-TH0032</t>
  </si>
  <si>
    <t>Den. Big White (화이트) XL</t>
  </si>
  <si>
    <t>DEN01-TH0033</t>
  </si>
  <si>
    <t>MOK Nora blue XL</t>
  </si>
  <si>
    <t>DEN01-TH0034</t>
  </si>
  <si>
    <t>Den. Peach Neck</t>
  </si>
  <si>
    <t>개</t>
  </si>
  <si>
    <t>DEN01-TH0035</t>
  </si>
  <si>
    <t>Den. Pink Neck</t>
  </si>
  <si>
    <t>DEN01-TH0036</t>
  </si>
  <si>
    <t>Den. Banda Yellow M</t>
  </si>
  <si>
    <t>DEN01-TH0037</t>
  </si>
  <si>
    <t>Den. jinda sweet loose blooms</t>
  </si>
  <si>
    <t>DEN01-TH0038</t>
  </si>
  <si>
    <t>Den. lovely pink loose blooms</t>
  </si>
  <si>
    <t>봉지</t>
  </si>
  <si>
    <t>DEN01-TH0039</t>
  </si>
  <si>
    <t>Den. Anthurium White M</t>
  </si>
  <si>
    <t>DEN01-TH0040</t>
  </si>
  <si>
    <t>Den. Anthurium Green L</t>
  </si>
  <si>
    <t>DEN01-TH0041</t>
  </si>
  <si>
    <t>Den. Banda Pachara Blue L</t>
  </si>
  <si>
    <t>DEN01-TH0042</t>
  </si>
  <si>
    <t>Den. Banda Blue</t>
  </si>
  <si>
    <t>DEN01-TH0043</t>
  </si>
  <si>
    <t>MOK Jairak Blue (보라) M</t>
  </si>
  <si>
    <t>DEN01-TH0044</t>
  </si>
  <si>
    <t>MOK Jairak Blue (보라) L</t>
  </si>
  <si>
    <t>DEN01-TH0045</t>
  </si>
  <si>
    <t>Oncidium Golden Shower</t>
  </si>
  <si>
    <t>온시디움</t>
  </si>
  <si>
    <t>DEN01-TH0046</t>
  </si>
  <si>
    <t>MOK Jairak Blue (보라) XL</t>
  </si>
  <si>
    <t>DEN01-TH0047</t>
  </si>
  <si>
    <t>MOK Isabell Peach L</t>
  </si>
  <si>
    <t>DEN01-TH0048</t>
  </si>
  <si>
    <t>Oncidium Grower Ramsey XL</t>
  </si>
  <si>
    <t>DEN01-TH0049</t>
  </si>
  <si>
    <t>Den. Banda Dark Pink M</t>
  </si>
  <si>
    <t>DEN01-TH0050</t>
  </si>
  <si>
    <t>Den. Juree Red(쥬리 레드)보라 XL</t>
  </si>
  <si>
    <t>DEN01-TH0051</t>
  </si>
  <si>
    <t>Den. Pennama Splash L</t>
  </si>
  <si>
    <t>DEN01-TH0052</t>
  </si>
  <si>
    <t>ARAN Anny Back</t>
  </si>
  <si>
    <t>DEN01-TH0053</t>
  </si>
  <si>
    <t>Den. White Double Lei</t>
  </si>
  <si>
    <t>DEN01-TH0054</t>
  </si>
  <si>
    <t>Den. Sonia XL</t>
  </si>
  <si>
    <t>DEN01-TH0055</t>
  </si>
  <si>
    <t>ARAN REENA Red</t>
  </si>
  <si>
    <t>DEN01-TH0056</t>
  </si>
  <si>
    <t>Den. Hatsaya pink [M]</t>
  </si>
  <si>
    <t>햇사야</t>
  </si>
  <si>
    <t>DEN01-TH0057</t>
  </si>
  <si>
    <t>Den. Hatsaya pink [L]</t>
  </si>
  <si>
    <t>DEN01-TH0058</t>
  </si>
  <si>
    <t>Den. Hatsaya pink [XL]</t>
  </si>
  <si>
    <t>DEN01-TH0059</t>
  </si>
  <si>
    <t>Den. Big White (화이트) L</t>
  </si>
  <si>
    <t>DEN01-TH0060</t>
  </si>
  <si>
    <t>MOK Kittilo Red M</t>
  </si>
  <si>
    <t>DEN01-TH0061</t>
  </si>
  <si>
    <t>ARAN.Juling Red B</t>
  </si>
  <si>
    <t>DOU01-US0001</t>
  </si>
  <si>
    <t>Douglas Fir</t>
  </si>
  <si>
    <t>ERY01-NL0001</t>
  </si>
  <si>
    <t>Eryngium Alpinum</t>
  </si>
  <si>
    <t>에린지움</t>
  </si>
  <si>
    <t>ERY01-NL0002</t>
  </si>
  <si>
    <t>Eryngium Aquarius Questar</t>
  </si>
  <si>
    <t>ERY01-NL0003</t>
  </si>
  <si>
    <t>Eryngium Blue Dynamite</t>
  </si>
  <si>
    <t>ERY01-NL0004</t>
  </si>
  <si>
    <t>Eryngium Magnetar Questar</t>
  </si>
  <si>
    <t>ERY01-NL0006</t>
  </si>
  <si>
    <t>Eryngium Orion Blue 60cm</t>
  </si>
  <si>
    <t>오리온블루/</t>
  </si>
  <si>
    <t>ERY01-NL0007</t>
  </si>
  <si>
    <t>Eryngium Sirius Questar White</t>
  </si>
  <si>
    <t>ERY01-NL0008</t>
  </si>
  <si>
    <t>Eryngium Supernova Blue</t>
  </si>
  <si>
    <t>EUC01-NL0001</t>
  </si>
  <si>
    <t>Eucalyptus / Cinerea</t>
  </si>
  <si>
    <t>EUC01-NL0002</t>
  </si>
  <si>
    <t>Eucalyptus / Cinerea Copper</t>
  </si>
  <si>
    <t>EUC01-NL0003</t>
  </si>
  <si>
    <t>Eucalyptus / Cinerea Gold</t>
  </si>
  <si>
    <t>EUC01-NL0004</t>
  </si>
  <si>
    <t>Eucalyptus / Cinerea Silver</t>
  </si>
  <si>
    <t>EUC01-NL0005</t>
  </si>
  <si>
    <t>Eucalyptus / Domenichina</t>
  </si>
  <si>
    <t>EUC01-NL0006</t>
  </si>
  <si>
    <t>Eucalyptus / Gompho</t>
  </si>
  <si>
    <t>EUC01-NL0007</t>
  </si>
  <si>
    <t>Eucalyptus / Grevillea</t>
  </si>
  <si>
    <t>EUC01-NL0008</t>
  </si>
  <si>
    <t>Eucalyptus / Lancet stem</t>
  </si>
  <si>
    <t>EUC01-NL0009</t>
  </si>
  <si>
    <t>Eucalyptus / Nicholii</t>
  </si>
  <si>
    <t>EUC01-NL0010</t>
  </si>
  <si>
    <t>Eucalyptus / Parvifolia</t>
  </si>
  <si>
    <t>EUC01-NL0011</t>
  </si>
  <si>
    <t>Eucalyptus / Pistacia</t>
  </si>
  <si>
    <t>EUC01-NL0012</t>
  </si>
  <si>
    <t>Eucalyptus / Populus Berry Gold</t>
  </si>
  <si>
    <t>EUC01-NL0013</t>
  </si>
  <si>
    <t>Eucalyptus / Populus Berry Green 300g</t>
  </si>
  <si>
    <t>EUC01-NL0014</t>
  </si>
  <si>
    <t>Eucalyptus / Populus Berry Green 400gr</t>
  </si>
  <si>
    <t>EUC01-NL0015</t>
  </si>
  <si>
    <t>Eucalyptus / Populus Berry Red</t>
  </si>
  <si>
    <t>EUC01-NL0016</t>
  </si>
  <si>
    <t>Eucalyptus / Populus Berry Silver</t>
  </si>
  <si>
    <t>EUC01-NL0017</t>
  </si>
  <si>
    <t>Eucalyptus / Populus Berry Tinted Gold</t>
  </si>
  <si>
    <t>EUC01-NL0018</t>
  </si>
  <si>
    <t>Eucalyptus / Populus Berry Tinted Silver</t>
  </si>
  <si>
    <t>EUC01-NL0019</t>
  </si>
  <si>
    <t>Eucalyptus / Populus Populifolia</t>
  </si>
  <si>
    <t>EUC01-NL0020</t>
  </si>
  <si>
    <t>Eucalyptus / Robusta</t>
  </si>
  <si>
    <t>EUC01-NL0021</t>
  </si>
  <si>
    <t>Eucalyptus / Stuartiana Autumn</t>
  </si>
  <si>
    <t>EUC01-NL0022</t>
  </si>
  <si>
    <t>Eucalyptus / Stuartiana Autunno 400g</t>
  </si>
  <si>
    <t>EUC01-NL0023</t>
  </si>
  <si>
    <t>Eucalyptus / Stuartiana preserved</t>
  </si>
  <si>
    <t>EUS01-NL0001</t>
  </si>
  <si>
    <t>Eustoma / Botanic Blue</t>
  </si>
  <si>
    <t>유스토마</t>
  </si>
  <si>
    <t>EUS01-NL0002</t>
  </si>
  <si>
    <t>Eustoma / Botanic Pink</t>
  </si>
  <si>
    <t>EUS01-NL0003</t>
  </si>
  <si>
    <t>Eustoma / Dyed Double Heavenly Peach</t>
  </si>
  <si>
    <t>EUS01-NL0004</t>
  </si>
  <si>
    <t>Eustoma / Dyed Double Lovely Red</t>
  </si>
  <si>
    <t>EUS01-NL0005</t>
  </si>
  <si>
    <t>Eustoma / Botanic White</t>
  </si>
  <si>
    <t>EYP01-NL0001</t>
  </si>
  <si>
    <t>Eyphorbia / Fulgens Orange</t>
  </si>
  <si>
    <t>유포르비아</t>
  </si>
  <si>
    <t>EYP01-NL0002</t>
  </si>
  <si>
    <t>Eyphorbia / Fulgens Salmon</t>
  </si>
  <si>
    <t>EYP01-NL0003</t>
  </si>
  <si>
    <t>Eyphorbia / Fulgens White</t>
  </si>
  <si>
    <t>EYP01-NL0004</t>
  </si>
  <si>
    <t>Eyphorbia / Fulgens Yellow</t>
  </si>
  <si>
    <t>EYP01-NL0005</t>
  </si>
  <si>
    <t>Eyphorbia / Marinii Green 65cm</t>
  </si>
  <si>
    <t>EYP01-NL0006</t>
  </si>
  <si>
    <t>Eyphorbia / Spray Orange</t>
  </si>
  <si>
    <t>EYP01-NL0007</t>
  </si>
  <si>
    <t>Euphorbia / Fulgens Spray Pink Baron</t>
  </si>
  <si>
    <t xml:space="preserve">시즌  09-12월
MOQ: x20 (Box x120)
길이: 80cm</t>
  </si>
  <si>
    <t>EYP01-NL0008</t>
  </si>
  <si>
    <t>Eyphorbia / Spray Quicksilver</t>
  </si>
  <si>
    <t>EYP01-NL0009</t>
  </si>
  <si>
    <t>Eyphorbia / Spray Red Surprise</t>
  </si>
  <si>
    <t>EYP01-NL0010</t>
  </si>
  <si>
    <t>Eyphorbia / Spray Sunstream</t>
  </si>
  <si>
    <t>EYP01-NL0011</t>
  </si>
  <si>
    <t>Eyphorbia / Spray Queen Of Orange</t>
  </si>
  <si>
    <t>FEA01-AU0001</t>
  </si>
  <si>
    <t>Emu Feather</t>
  </si>
  <si>
    <t>페더</t>
  </si>
  <si>
    <t>FER01-AU0001</t>
  </si>
  <si>
    <t>Dingo Fern</t>
  </si>
  <si>
    <t>펀</t>
  </si>
  <si>
    <t>FER01-AU0002</t>
  </si>
  <si>
    <t>Koala Fern</t>
  </si>
  <si>
    <t>FER01-AU0003</t>
  </si>
  <si>
    <t>Fern Rainbow</t>
  </si>
  <si>
    <t>FER01-AU0004</t>
  </si>
  <si>
    <t>Fern Sea Star</t>
  </si>
  <si>
    <t>FER01-AU0005</t>
  </si>
  <si>
    <t>Star Fern</t>
  </si>
  <si>
    <t>FER01-AU0006</t>
  </si>
  <si>
    <t>Fern Umbrella</t>
  </si>
  <si>
    <t>FRI01-NL0001</t>
  </si>
  <si>
    <t>Fritillaria / Black</t>
  </si>
  <si>
    <t>프리티라리아</t>
  </si>
  <si>
    <t>FRI01-NL0002</t>
  </si>
  <si>
    <t>Fritillaria / Check Purple</t>
  </si>
  <si>
    <t>FRI01-NL0003</t>
  </si>
  <si>
    <t>Fritillaria / Elwesii Black</t>
  </si>
  <si>
    <t>FRI01-NL0004</t>
  </si>
  <si>
    <t>Fritillaria / Hermo Ssp 35cm</t>
  </si>
  <si>
    <t>FRI01-NL0005</t>
  </si>
  <si>
    <t>Fritillaria / Ivory 60cm</t>
  </si>
  <si>
    <t>FRI01-NL0006</t>
  </si>
  <si>
    <t>Fritillaria / Lutea Yellow 60cm</t>
  </si>
  <si>
    <t>FRI01-NL0007</t>
  </si>
  <si>
    <t>Fritillaria / Meleagris Alba White 27cm</t>
  </si>
  <si>
    <t>FRI01-NL0008</t>
  </si>
  <si>
    <t>Fritillaria / Meleagris Lavender 27cm</t>
  </si>
  <si>
    <t>FRI01-NL0009</t>
  </si>
  <si>
    <t>Fritillaria / Orange Beauty 70cm</t>
  </si>
  <si>
    <t>FRI01-NL0010</t>
  </si>
  <si>
    <t>Fritillaria / Paulida Green</t>
  </si>
  <si>
    <t>FRI01-NL0011</t>
  </si>
  <si>
    <t>Fritillaria / Persica 75cm</t>
  </si>
  <si>
    <t>FRI01-NL0012</t>
  </si>
  <si>
    <t>Fritillaria / Uva-vulpis Lavender 50cm</t>
  </si>
  <si>
    <t>GAL01-NL0001</t>
  </si>
  <si>
    <t>Galaxi</t>
  </si>
  <si>
    <t>갈락시</t>
  </si>
  <si>
    <t>GEN01-NL0001</t>
  </si>
  <si>
    <t>Gentiana Blue Sky</t>
  </si>
  <si>
    <t>젠티아나</t>
  </si>
  <si>
    <t>GEN01-NL0002</t>
  </si>
  <si>
    <t>Gentiana Lavender Sky</t>
  </si>
  <si>
    <t>GEN01-NL0003</t>
  </si>
  <si>
    <t>Gentiana Pink Sky</t>
  </si>
  <si>
    <t>GEN01-NL0004</t>
  </si>
  <si>
    <t>Gentiana White Sky 80cm</t>
  </si>
  <si>
    <t>GER01-NL0001</t>
  </si>
  <si>
    <t>Gerbera Burgundy</t>
  </si>
  <si>
    <t>거베라</t>
  </si>
  <si>
    <t>GER01-NL0002</t>
  </si>
  <si>
    <t>Gerbera Kiara</t>
  </si>
  <si>
    <t>GER01-NL0003</t>
  </si>
  <si>
    <t>Gerbera Mango</t>
  </si>
  <si>
    <t>GER01-NL0004</t>
  </si>
  <si>
    <t>Gerbera Mini Albino</t>
  </si>
  <si>
    <t>GER01-NL0005</t>
  </si>
  <si>
    <t>Gerbera Mini Bizar</t>
  </si>
  <si>
    <t>GER01-NL0006</t>
  </si>
  <si>
    <t>Gerbera Mini Cafe</t>
  </si>
  <si>
    <t>GER01-NL0007</t>
  </si>
  <si>
    <t>Gerbera Mini Cookie and Cream</t>
  </si>
  <si>
    <t>GER01-NL0008</t>
  </si>
  <si>
    <t>Gerbera Mini Coolio</t>
  </si>
  <si>
    <t>GER01-NL0009</t>
  </si>
  <si>
    <t>Gerbera Mini Dusty</t>
  </si>
  <si>
    <t>GER01-NL0010</t>
  </si>
  <si>
    <t>Gerbera Mini Honeymoon</t>
  </si>
  <si>
    <t>GER01-NL0011</t>
  </si>
  <si>
    <t>Gerbera Mini Lemon Ice</t>
  </si>
  <si>
    <t>GER01-NL0012</t>
  </si>
  <si>
    <t>Gerbera Mini Maria</t>
  </si>
  <si>
    <t>GER01-NL0013</t>
  </si>
  <si>
    <t>Gerbera Mini Mickey</t>
  </si>
  <si>
    <t>GER01-NL0014</t>
  </si>
  <si>
    <t>Gerbera Mini Mineon</t>
  </si>
  <si>
    <t>GER01-NL0015</t>
  </si>
  <si>
    <t>Gerbera Mini Moet</t>
  </si>
  <si>
    <t>GER01-NL0016</t>
  </si>
  <si>
    <t>Gerbera Mini Punki Humba</t>
  </si>
  <si>
    <t>GER01-NL0017</t>
  </si>
  <si>
    <t>Gerbera Mini Purple Wonder</t>
  </si>
  <si>
    <t>GER01-NL0018</t>
  </si>
  <si>
    <t>Gerbera Mini Spider Brocade</t>
  </si>
  <si>
    <t>GER01-NL0019</t>
  </si>
  <si>
    <t>Gerbera Mini Surfer</t>
  </si>
  <si>
    <t>GER01-NL0020</t>
  </si>
  <si>
    <t>Gerbera Pasta Carbonara</t>
  </si>
  <si>
    <t>GER01-NL0021</t>
  </si>
  <si>
    <t>Gerbera Pasta Rosata Salmon</t>
  </si>
  <si>
    <t>GER01-NL0022</t>
  </si>
  <si>
    <t>Gerbera Pasta Toscana</t>
  </si>
  <si>
    <t>GER01-NL0023</t>
  </si>
  <si>
    <t>Gerbera Picolini Pianosa</t>
  </si>
  <si>
    <t>GER01-NL0024</t>
  </si>
  <si>
    <t>Gerbera Picolrini Molara</t>
  </si>
  <si>
    <t>GER01-NL0025</t>
  </si>
  <si>
    <t>Gerbera Picolrini white</t>
  </si>
  <si>
    <t>GER01-NL0026</t>
  </si>
  <si>
    <t>Gerbera PomPom Bebob</t>
  </si>
  <si>
    <t>GER01-NL0027</t>
  </si>
  <si>
    <t>Gerbera PomPom Belfi</t>
  </si>
  <si>
    <t>GER01-NL0028</t>
  </si>
  <si>
    <t>Gerbera PomPom Bokito</t>
  </si>
  <si>
    <t>GER01-NL0029</t>
  </si>
  <si>
    <t>Gerbera PomPom Jayjay</t>
  </si>
  <si>
    <t>GER01-NL0030</t>
  </si>
  <si>
    <t>Gerbera PomPom Kermit</t>
  </si>
  <si>
    <t>GER01-NL0031</t>
  </si>
  <si>
    <t>Gerbera PomPoni Black Pearl</t>
  </si>
  <si>
    <t>GER01-NL0032</t>
  </si>
  <si>
    <t>Gerbera PomPoni Fanta</t>
  </si>
  <si>
    <t>GER01-NL0033</t>
  </si>
  <si>
    <t>Gerbera PomPoni Jive</t>
  </si>
  <si>
    <t>GER01-NL0034</t>
  </si>
  <si>
    <t>Gerbera Spider Emotion</t>
  </si>
  <si>
    <t>GER01-NL0035</t>
  </si>
  <si>
    <t>Gerbera Spider Garden Ghost</t>
  </si>
  <si>
    <t>GER01-NL0036</t>
  </si>
  <si>
    <t>Gerbera Spider Laudrup Pink</t>
  </si>
  <si>
    <t>GER01-NL0037</t>
  </si>
  <si>
    <t>Gerbera Spider Phanton White</t>
  </si>
  <si>
    <t>GER01-NL0038</t>
  </si>
  <si>
    <t>Gerbera Terra Maga</t>
  </si>
  <si>
    <t>GER01-NL0039</t>
  </si>
  <si>
    <t>Gerbera Mini Spectacle</t>
  </si>
  <si>
    <t>GER01-NL0040</t>
  </si>
  <si>
    <t>Gerbera Spider Harmony</t>
  </si>
  <si>
    <t>GER01-NL0041</t>
  </si>
  <si>
    <t>Gerbera Spider Firecracker</t>
  </si>
  <si>
    <t>GER01-NL0042</t>
  </si>
  <si>
    <t>Gerbera Spider Hypnotica</t>
  </si>
  <si>
    <t>GER01-NL0044</t>
  </si>
  <si>
    <t>Gerbera Gerspider Premier</t>
  </si>
  <si>
    <t>GER01-NL0045</t>
  </si>
  <si>
    <t>Gerbera Pasta Foxy</t>
  </si>
  <si>
    <t>GER01-NL0046</t>
  </si>
  <si>
    <t>Gerbera Special smeagol</t>
  </si>
  <si>
    <t>GER01-NL0047</t>
  </si>
  <si>
    <t>Gerbera Spider Sensini</t>
  </si>
  <si>
    <t>GER01-NL0048</t>
  </si>
  <si>
    <t>Gerbera Pasta Blondie</t>
  </si>
  <si>
    <t>GER01-NL0050</t>
  </si>
  <si>
    <t>Gerbera Gerspider Fantasia</t>
  </si>
  <si>
    <t>GER01-NL0051</t>
  </si>
  <si>
    <t>Gerbera GerPasta scott</t>
  </si>
  <si>
    <t>GER01-NL0052</t>
  </si>
  <si>
    <t>Gerbera Gerpasta flash</t>
  </si>
  <si>
    <t>MoQ x50</t>
  </si>
  <si>
    <t>GER01-NL0053</t>
  </si>
  <si>
    <t>Gerbera Germini spider fairytale</t>
  </si>
  <si>
    <t>GER01-NL0054</t>
  </si>
  <si>
    <t>Gerbera Spider Larsson</t>
  </si>
  <si>
    <t>GER01-NL0055</t>
  </si>
  <si>
    <t>Gerbera Spider Suri</t>
  </si>
  <si>
    <t>GER01-NL0056</t>
  </si>
  <si>
    <t>Gerbera Spider PomPoni Louen</t>
  </si>
  <si>
    <t>GER01-NL0057</t>
  </si>
  <si>
    <t>Gerbera Spider Nirvana</t>
  </si>
  <si>
    <t>GER01-NL0058</t>
  </si>
  <si>
    <t>Gerbera Mini Suri</t>
  </si>
  <si>
    <t>GER01-NL0059</t>
  </si>
  <si>
    <t>Gerbera Spider airplay</t>
  </si>
  <si>
    <t>GLA01-NL0001</t>
  </si>
  <si>
    <t>Gladiolus / Alba White</t>
  </si>
  <si>
    <t>글라디오루스</t>
  </si>
  <si>
    <t>GLA01-NL0002</t>
  </si>
  <si>
    <t>Gladiolus / Carine</t>
  </si>
  <si>
    <t>GLA01-NL0003</t>
  </si>
  <si>
    <t>Gladiolus / Charming Beauty</t>
  </si>
  <si>
    <t>GLA01-NL0004</t>
  </si>
  <si>
    <t>Gladiolus / Charming Lady</t>
  </si>
  <si>
    <t>GLA01-NL0005</t>
  </si>
  <si>
    <t>Gladiolus / Elvira</t>
  </si>
  <si>
    <t>GLA01-NL0006</t>
  </si>
  <si>
    <t>Gladiolus / Large White</t>
  </si>
  <si>
    <t>GLA01-NL0007</t>
  </si>
  <si>
    <t>Gladiolus / Milka</t>
  </si>
  <si>
    <t>GLA01-NL0008</t>
  </si>
  <si>
    <t>Gladiolus / Nova Zembla 115cm</t>
  </si>
  <si>
    <t>GLA01-NL0009</t>
  </si>
  <si>
    <t>Gladiolus / Nymph</t>
  </si>
  <si>
    <t>GLA01-NL0010</t>
  </si>
  <si>
    <t>Gladiolus / Sugar Babe</t>
  </si>
  <si>
    <t>GLA01-NL0011</t>
  </si>
  <si>
    <t>Gladiolus / T-Cham</t>
  </si>
  <si>
    <t>GLA01-NL0012</t>
  </si>
  <si>
    <t>Gladiolus / Vulcano</t>
  </si>
  <si>
    <t>GLA01-NL0013</t>
  </si>
  <si>
    <t>Gladiolus / Summer Love</t>
  </si>
  <si>
    <t>GLA01-NL0014</t>
  </si>
  <si>
    <t>Gladiolus / Adrenalin</t>
  </si>
  <si>
    <t>GLA01-NL0015</t>
  </si>
  <si>
    <t>Gladiolus / Ocaso</t>
  </si>
  <si>
    <t>GLA01-NL0017</t>
  </si>
  <si>
    <t>Gladiolus / Lady</t>
  </si>
  <si>
    <t>GLA01-NL0018</t>
  </si>
  <si>
    <t>Gladiolus / Robinetta</t>
  </si>
  <si>
    <t>GLA01-NL0019</t>
  </si>
  <si>
    <t>Gladiolus / Summer Bride</t>
  </si>
  <si>
    <t>GLA01-NL0020</t>
  </si>
  <si>
    <t>Gladiolus / Fat Boy</t>
  </si>
  <si>
    <t>GLA01-NL0021</t>
  </si>
  <si>
    <t>Gladiolus / Kio</t>
  </si>
  <si>
    <t>GLA01-NL0022</t>
  </si>
  <si>
    <t>Gladiolus / Careless</t>
  </si>
  <si>
    <t>GLA01-NL0023</t>
  </si>
  <si>
    <t>Gladiolus / Red Balance</t>
  </si>
  <si>
    <t>GLO01-NL00001</t>
  </si>
  <si>
    <t>Gloriosa / Red long</t>
  </si>
  <si>
    <t>글로리오사</t>
  </si>
  <si>
    <t>GOS01-ISL00001</t>
  </si>
  <si>
    <t>GOS HIRSUTUM</t>
  </si>
  <si>
    <t>GRA01-AU0001</t>
  </si>
  <si>
    <t>Emu Grass</t>
  </si>
  <si>
    <t>그라스</t>
  </si>
  <si>
    <t>GRA01-AU0002</t>
  </si>
  <si>
    <t>Steel Grass</t>
  </si>
  <si>
    <t>GRE01-NL0001</t>
  </si>
  <si>
    <t>Grevillea</t>
  </si>
  <si>
    <t>그레비</t>
  </si>
  <si>
    <t>GRE01-NL0002</t>
  </si>
  <si>
    <t>Grevillea / Ivanhoe</t>
  </si>
  <si>
    <t>GTA01-NL0001</t>
  </si>
  <si>
    <t>Genista / Painted Pink</t>
  </si>
  <si>
    <t>제니스터</t>
  </si>
  <si>
    <t>GTA01-NL0002</t>
  </si>
  <si>
    <t>Genista / Painted White</t>
  </si>
  <si>
    <t>GTA01-NL0003</t>
  </si>
  <si>
    <t>Genista / Painted Yellow</t>
  </si>
  <si>
    <t>HEL01-NL0001</t>
  </si>
  <si>
    <t>Helleborus / Argutifolius Green 75cm</t>
  </si>
  <si>
    <t>헬레보루스</t>
  </si>
  <si>
    <t>HEL01-NL0002</t>
  </si>
  <si>
    <t>Helleborus / Christmas Glory D/White</t>
  </si>
  <si>
    <t>HEL01-NL0003</t>
  </si>
  <si>
    <t>Helleborus / Double Ellen Pink D/pink</t>
  </si>
  <si>
    <t>HEL01-NL0004</t>
  </si>
  <si>
    <t>Helleborus / Double Ellen Red D/Red</t>
  </si>
  <si>
    <t>HEL01-NL0005</t>
  </si>
  <si>
    <t>Helleborus / Double Ellen White</t>
  </si>
  <si>
    <t>HEL01-NL0006</t>
  </si>
  <si>
    <t>Helleborus / Magnificent Bell</t>
  </si>
  <si>
    <t>HEL01-NL0007</t>
  </si>
  <si>
    <t>Helleborus / Niger White</t>
  </si>
  <si>
    <t>HEL01-NL0008</t>
  </si>
  <si>
    <t>Helleborus / Qeens Picote Pink 35cm</t>
  </si>
  <si>
    <t>HEL01-NL0009</t>
  </si>
  <si>
    <t>Helleborus / Queens Red</t>
  </si>
  <si>
    <t>HEL01-NL0010</t>
  </si>
  <si>
    <t>Helleborus / Queens White</t>
  </si>
  <si>
    <t>HEL01-NL0011</t>
  </si>
  <si>
    <t>Helleborus / White Lady Spotted 50cm</t>
  </si>
  <si>
    <t>HEL01-NL0012</t>
  </si>
  <si>
    <t>Helleborus / Winter Fashion White</t>
  </si>
  <si>
    <t>HEL01-NL0013</t>
  </si>
  <si>
    <t>Helloeborus / Molly White Green</t>
  </si>
  <si>
    <t>HEL01-NL0014</t>
  </si>
  <si>
    <t>Helloeborus / Winter bells</t>
  </si>
  <si>
    <t>HYA01-NL0001</t>
  </si>
  <si>
    <t>Hyacinthus / Anna Marie</t>
  </si>
  <si>
    <t>히아신스</t>
  </si>
  <si>
    <t>HYA01-NL0002</t>
  </si>
  <si>
    <t>Hyacinthus / Atlantic</t>
  </si>
  <si>
    <t>HYA01-NL0003</t>
  </si>
  <si>
    <t>Hyacinthus / Dark Dimension</t>
  </si>
  <si>
    <t>HYA01-NL0004</t>
  </si>
  <si>
    <t>Hyacinthus / Deep Purple</t>
  </si>
  <si>
    <t>HYA01-NL0005</t>
  </si>
  <si>
    <t>Hyacinthus / Gipsy Queen</t>
  </si>
  <si>
    <t>HYA01-NL0006</t>
  </si>
  <si>
    <t>Hyacinthus / H/Pink</t>
  </si>
  <si>
    <t>HYA01-NL0007</t>
  </si>
  <si>
    <t>Hyacinthus / Johanna</t>
  </si>
  <si>
    <t>HYA01-NL0008</t>
  </si>
  <si>
    <t>Hyacinthus / Fondant L/Pink</t>
  </si>
  <si>
    <t>연핑크/</t>
  </si>
  <si>
    <t>HYA01-NL0009</t>
  </si>
  <si>
    <t>Hyacinthus / Lavender</t>
  </si>
  <si>
    <t>HYA01-NL0010</t>
  </si>
  <si>
    <t>Hyacinthus / Orange</t>
  </si>
  <si>
    <t>HYA01-NL0011</t>
  </si>
  <si>
    <t>Hyacinthus / Peach</t>
  </si>
  <si>
    <t>HYA01-NL0012</t>
  </si>
  <si>
    <t>Hyacinthus / Purple Voice</t>
  </si>
  <si>
    <t>HYA01-NL0013</t>
  </si>
  <si>
    <t>Hyacinthus / Splendid Comelia</t>
  </si>
  <si>
    <t>HYA01-NL0014</t>
  </si>
  <si>
    <t>Hyacinthus / Sweet Invitation</t>
  </si>
  <si>
    <t>HYA01-NL0015</t>
  </si>
  <si>
    <t>Hyacinthus / Top White</t>
  </si>
  <si>
    <t>HYA01-NL0016</t>
  </si>
  <si>
    <t>Hyacinthus / Yellow Queen</t>
  </si>
  <si>
    <t>HYA01-NL0017</t>
  </si>
  <si>
    <t>Hyacinthus / deep blue</t>
  </si>
  <si>
    <t>HYA01-NL0018</t>
  </si>
  <si>
    <t>Hyacinthus / PEACH</t>
  </si>
  <si>
    <t>HYA01-NL0019</t>
  </si>
  <si>
    <t>Hyacinthus / Blue Star</t>
  </si>
  <si>
    <t>HYA01-NL0020</t>
  </si>
  <si>
    <t>Hyacinthus / Blue Jeans</t>
  </si>
  <si>
    <t>HYA01-NL0099</t>
  </si>
  <si>
    <t>Hyacinthus / Anna Liza</t>
  </si>
  <si>
    <t>HYA01-NL0100</t>
  </si>
  <si>
    <t>Hyacinthus / minos</t>
  </si>
  <si>
    <t>시즌 9월 ~10월부터 4월~5월까지</t>
  </si>
  <si>
    <t>HYD01-CO0001</t>
  </si>
  <si>
    <t>Hydrangea Blue (블루）</t>
  </si>
  <si>
    <t>HYD01-CO0002</t>
  </si>
  <si>
    <t>Hydrangea Bridal Pink</t>
  </si>
  <si>
    <t>HYD01-CO0003</t>
  </si>
  <si>
    <t>Hydrangea Dark Pink (진핑크)</t>
  </si>
  <si>
    <t>HYD01-CO0004</t>
  </si>
  <si>
    <t>Hydrangea G/ Esmeral (진그린)</t>
  </si>
  <si>
    <t>HYD01-CO0005</t>
  </si>
  <si>
    <t>Hydrangea Green</t>
  </si>
  <si>
    <t>HYD01-CO0006</t>
  </si>
  <si>
    <t>Hydrangea Lavender (라벤더)</t>
  </si>
  <si>
    <t>HYD01-CO0007</t>
  </si>
  <si>
    <t>Hydrangea Mauve Mist</t>
  </si>
  <si>
    <t>HYD01-CO0008</t>
  </si>
  <si>
    <t>Hydrangea M/ GREEN (BG) Mojito (미니 그린 베이스)</t>
  </si>
  <si>
    <t>HYD01-CO0008-1</t>
  </si>
  <si>
    <t>Hydrangea M/ GREEN (BW) Mini green (미니 그린 화이트 베이스)</t>
  </si>
  <si>
    <t>HYD01-CO0009</t>
  </si>
  <si>
    <t>Hydrangea Orange</t>
  </si>
  <si>
    <t>HYD01-CO0010</t>
  </si>
  <si>
    <t>Hydrangea Paint LIGHT PINK (AMERICAN)</t>
  </si>
  <si>
    <t>HYD01-CO0011</t>
  </si>
  <si>
    <t>Hydrangea Paint LIGHT PINK (FLORENTINA)</t>
  </si>
  <si>
    <t>HYD01-CO0012</t>
  </si>
  <si>
    <t>Hydrangea P.PK (BA) (연핑크)</t>
  </si>
  <si>
    <t>HYD01-CO0013</t>
  </si>
  <si>
    <t>Hydrangea Peach (Florentina) 피치</t>
  </si>
  <si>
    <t>HYD01-CO0014</t>
  </si>
  <si>
    <t>Hydrangea Purple</t>
  </si>
  <si>
    <t>HYD01-CO0015</t>
  </si>
  <si>
    <t>Hydrangea Rosewood (BA) (로즈우드)</t>
  </si>
  <si>
    <t>HYD01-CO0016</t>
  </si>
  <si>
    <t>Hydrangea Salmon</t>
  </si>
  <si>
    <t>HYD01-CO0017</t>
  </si>
  <si>
    <t>Hydrangea S/GN (연그린)</t>
  </si>
  <si>
    <t>HYD01-CO0018</t>
  </si>
  <si>
    <t>Hydrangea Shocking Blue</t>
  </si>
  <si>
    <t>HYD01-CO0019</t>
  </si>
  <si>
    <t>Hydrangea Sorbet</t>
  </si>
  <si>
    <t>HYD01-CO0020</t>
  </si>
  <si>
    <t>Hydrangea Terracota(FLORENTINA)</t>
  </si>
  <si>
    <t>HYD01-CO0021</t>
  </si>
  <si>
    <t>Hydrangea Albari coque (알바리코케)</t>
  </si>
  <si>
    <t>HYD01-CO0022</t>
  </si>
  <si>
    <t>Hydrangea tinted Lavender</t>
  </si>
  <si>
    <t>HYD01-CO0023</t>
  </si>
  <si>
    <t>Hydrangea White (화이트)</t>
  </si>
  <si>
    <t>HYD01-CO0024</t>
  </si>
  <si>
    <t>Hydrangea GOLD PEACH (F) (골드피치)</t>
  </si>
  <si>
    <t>HYD01-CO0025</t>
  </si>
  <si>
    <t>Hydrangea Yellow</t>
  </si>
  <si>
    <t>HYD01-CO0026</t>
  </si>
  <si>
    <t>폼폼이 화이트</t>
  </si>
  <si>
    <t>HYD01-CO0027</t>
  </si>
  <si>
    <t>Hydrangea S.PK (P) (스페셜 핑크)</t>
  </si>
  <si>
    <t>HYD01-CO0028</t>
  </si>
  <si>
    <t>Hydrangea L.Peach (BA) (연피치)</t>
  </si>
  <si>
    <t>HYD01-CO0029</t>
  </si>
  <si>
    <t>Hydrangea Jumbo White</t>
  </si>
  <si>
    <t>HYD01-CO020</t>
  </si>
  <si>
    <t>HYDRANGEA</t>
  </si>
  <si>
    <t>HYD01-NL0001</t>
  </si>
  <si>
    <t>Hydrangea / Amazing Force L/Pink</t>
  </si>
  <si>
    <t>HYD01-NL0002</t>
  </si>
  <si>
    <t>Hydrangea / Aphrodite Light Blue</t>
  </si>
  <si>
    <t>HYD01-NL0003</t>
  </si>
  <si>
    <t>Hydrangea / Beau Luxor</t>
  </si>
  <si>
    <t>HYD01-NL0004</t>
  </si>
  <si>
    <t>Hydrangea / Bela Classic 60cm</t>
  </si>
  <si>
    <t>HYD01-NL0005</t>
  </si>
  <si>
    <t>Hydrangea / Bodensee Classic Green</t>
  </si>
  <si>
    <t>HYD01-NL0006</t>
  </si>
  <si>
    <t>Hydrangea / Candy Floss Milka 60cm</t>
  </si>
  <si>
    <t>HYD01-NL0007</t>
  </si>
  <si>
    <t>Hydrangea / Candy Moment Calssic</t>
  </si>
  <si>
    <t>HYD01-NL0008</t>
  </si>
  <si>
    <t>Hydrangea / Casanova</t>
  </si>
  <si>
    <t>HYD01-NL0009</t>
  </si>
  <si>
    <t>Hydrangea / Cinderella Lavender</t>
  </si>
  <si>
    <t>HYD01-NL0010</t>
  </si>
  <si>
    <t>Hydrangea / Dark Ruby Classic</t>
  </si>
  <si>
    <t xml:space="preserve"> 시즌 9월말- 12월초</t>
  </si>
  <si>
    <t>HYD01-NL0011</t>
  </si>
  <si>
    <t>Hydrangea / Dyed Verena Browny</t>
  </si>
  <si>
    <t>HYD01-NL0012</t>
  </si>
  <si>
    <t>Hydrangea / Elbtal Blue Calssic</t>
  </si>
  <si>
    <t>HYD01-NL0013</t>
  </si>
  <si>
    <t>Hydrangea / Elbtal Blue</t>
  </si>
  <si>
    <t>HYD01-NL0014</t>
  </si>
  <si>
    <t>Hydrangea / Elbtal CL</t>
  </si>
  <si>
    <t>HYD01-NL0015</t>
  </si>
  <si>
    <t>Hydrangea / Esperance</t>
  </si>
  <si>
    <t>HYD01-NL0016</t>
  </si>
  <si>
    <t>Hydrangea / Galaxy Purple</t>
  </si>
  <si>
    <t>HYD01-NL0017</t>
  </si>
  <si>
    <t>Hydrangea / Glowing Alps Classic</t>
  </si>
  <si>
    <t>HYD01-NL0018</t>
  </si>
  <si>
    <t>Hydrangea / Glowing Alps Pink</t>
  </si>
  <si>
    <t>단색 시즌 05-10 월</t>
  </si>
  <si>
    <t>HYD01-NL0019</t>
  </si>
  <si>
    <t>Hydrangea / Glowing Alps Purple</t>
  </si>
  <si>
    <t>HYD01-NL0020</t>
  </si>
  <si>
    <t>Hydrangea / Glowing Alps Purple Classic</t>
  </si>
  <si>
    <t>HYD01-NL0021</t>
  </si>
  <si>
    <t>Hydrangea / Glowing Alps roze Classic Antiq Pink</t>
  </si>
  <si>
    <t>HYD01-NL0022</t>
  </si>
  <si>
    <t>Hydrangea / Glowing Pink Classic</t>
  </si>
  <si>
    <t>HYD01-NL0023</t>
  </si>
  <si>
    <t>Hydrangea / Hilde Moorhof Classic L/Blue</t>
  </si>
  <si>
    <t>HYD01-NL0024</t>
  </si>
  <si>
    <t>Hydrangea / Magical Adora Classic Lavender</t>
  </si>
  <si>
    <t>HYD01-NL0025</t>
  </si>
  <si>
    <t>Hydrangea / Magical Dark Ruby Red</t>
  </si>
  <si>
    <t>HYD01-NL0026</t>
  </si>
  <si>
    <t>Hydrangea / Magical Emerald L/Pink2</t>
  </si>
  <si>
    <t>HYD01-NL0027</t>
  </si>
  <si>
    <t>Hydrangea / Mammoet</t>
  </si>
  <si>
    <t>HYD01-NL0028</t>
  </si>
  <si>
    <t>Hydrangea / Margarita Blue</t>
  </si>
  <si>
    <t>HYD01-NL0029</t>
  </si>
  <si>
    <t>Hydrangea / Margarita Pink</t>
  </si>
  <si>
    <t>HYD01-NL0030</t>
  </si>
  <si>
    <t>Hydrangea / Marsepein Milka M.Lavender</t>
  </si>
  <si>
    <t>HYD01-NL0031</t>
  </si>
  <si>
    <t>Hydrangea / Mix Box</t>
  </si>
  <si>
    <t>HYD01-NL0032</t>
  </si>
  <si>
    <t>Hydrangea / Mon Amour Purple</t>
  </si>
  <si>
    <t>HYD01-NL0033</t>
  </si>
  <si>
    <t>Hydrangea / Navy Classic Blue</t>
  </si>
  <si>
    <t>HYD01-NL0034</t>
  </si>
  <si>
    <t>Hydrangea / Opal Blue</t>
  </si>
  <si>
    <t>HYD01-NL0035</t>
  </si>
  <si>
    <t>Hydrangea / Classic Pimpurnel Aubergine</t>
  </si>
  <si>
    <t>HYD01-NL0036</t>
  </si>
  <si>
    <t>Hydrangea / Classic Pimpurnel Blue</t>
  </si>
  <si>
    <t>HYD01-NL0037</t>
  </si>
  <si>
    <t>Hydrangea / Pimpurnel Deep Blue</t>
  </si>
  <si>
    <t>HYD01-NL0038</t>
  </si>
  <si>
    <t>Hydrangea / Pimpurnel Purple</t>
  </si>
  <si>
    <t>HYD01-NL0039</t>
  </si>
  <si>
    <t>Hydrangea / Rodeo Classic Cerise</t>
  </si>
  <si>
    <t>HYD01-NL0040</t>
  </si>
  <si>
    <t>Hydrangea / Rodeo Classic Deep Pink</t>
  </si>
  <si>
    <t>HYD01-NL0041</t>
  </si>
  <si>
    <t>Hydrangea / Rodeo Classic Fantasy</t>
  </si>
  <si>
    <t>HYD01-NL0042</t>
  </si>
  <si>
    <t>Hydrangea / Rodeo Classic Fiesta</t>
  </si>
  <si>
    <t>HYD01-NL0043</t>
  </si>
  <si>
    <t>Hydrangea / Rodeo Classic Metallic/Copper</t>
  </si>
  <si>
    <t>HYD01-NL0044</t>
  </si>
  <si>
    <t>Hydrangea / Classic Rodeo Pink</t>
  </si>
  <si>
    <t>HYD01-NL0045</t>
  </si>
  <si>
    <t>Hydrangea / Rodeo Pink</t>
  </si>
  <si>
    <t>HYD01-NL0046</t>
  </si>
  <si>
    <t>Hydrangea / Rodeo Purple</t>
  </si>
  <si>
    <t>HYD01-NL0047</t>
  </si>
  <si>
    <t>Hydrangea / Rodeo Purple Classic</t>
  </si>
  <si>
    <t>HYD01-NL0048</t>
  </si>
  <si>
    <t>Hydrangea / Rodeo Purple Classic Picasso</t>
  </si>
  <si>
    <t>HYD01-NL0049</t>
  </si>
  <si>
    <t>Hydrangea / Royal Anne</t>
  </si>
  <si>
    <t>HYD01-NL0050</t>
  </si>
  <si>
    <t>Hydrangea / Royal Benefit Milka Lavender</t>
  </si>
  <si>
    <t>HYD01-NL0051</t>
  </si>
  <si>
    <t>Hydrangea / Royal Benefit</t>
  </si>
  <si>
    <t>HYD01-NL0052</t>
  </si>
  <si>
    <t>Hydrangea / Royal Kiss H/Pink</t>
  </si>
  <si>
    <t>HYD01-NL0053</t>
  </si>
  <si>
    <t>Hydrangea / Royal Navy</t>
  </si>
  <si>
    <t>HYD01-NL0054</t>
  </si>
  <si>
    <t>Hydrangea / Royal Opera</t>
  </si>
  <si>
    <t>HYD01-NL0055</t>
  </si>
  <si>
    <t>Hydrangea / Royal Parade</t>
  </si>
  <si>
    <t>HYD01-NL0056</t>
  </si>
  <si>
    <t>Hydrangea / Royal Surprise</t>
  </si>
  <si>
    <t>HYD01-NL0057</t>
  </si>
  <si>
    <t>Hydrangea / Ruby Bordeaux Classic</t>
  </si>
  <si>
    <t>HYD01-NL0058</t>
  </si>
  <si>
    <t>Hydrangea / Ruby Burgundy Classic</t>
  </si>
  <si>
    <t>HYD01-NL0059</t>
  </si>
  <si>
    <t>Hydrangea / Ruby Chocolate Classic</t>
  </si>
  <si>
    <t>HYD01-NL0060</t>
  </si>
  <si>
    <t>Hydrangea / Ruby Classic Antiq D/Purple</t>
  </si>
  <si>
    <t>HYD01-NL0061</t>
  </si>
  <si>
    <t>Hydrangea / Ruby Pink Classic</t>
  </si>
  <si>
    <t>HYD01-NL0062</t>
  </si>
  <si>
    <t>Hydrangea / Ruby Purple</t>
  </si>
  <si>
    <t>HYD01-NL0063</t>
  </si>
  <si>
    <t>Hydrangea / Ruby Purple Classic</t>
  </si>
  <si>
    <t>HYD01-NL0064</t>
  </si>
  <si>
    <t>Hydrangea / Magical Ruby Red</t>
  </si>
  <si>
    <t>HYD01-NL0065</t>
  </si>
  <si>
    <t>Hydrangea / Classic Magical Ruby Red</t>
  </si>
  <si>
    <t>HYD01-NL0066</t>
  </si>
  <si>
    <t>Hydrangea / Schneeball</t>
  </si>
  <si>
    <t>HYD01-NL0067</t>
  </si>
  <si>
    <t>Hydrangea / Sibila Purple Classic</t>
  </si>
  <si>
    <t>HYD01-NL0068</t>
  </si>
  <si>
    <t>Hydrangea / Snow Ball White</t>
  </si>
  <si>
    <t>HYD01-NL0069</t>
  </si>
  <si>
    <t>Hydrangea / Trophy Red</t>
  </si>
  <si>
    <t>HYD01-NL0070</t>
  </si>
  <si>
    <t>Hydrangea / Verena Blue Classic</t>
  </si>
  <si>
    <t>HYD01-NL0071</t>
  </si>
  <si>
    <t>Hydrangea / Verena Blue L/Blue</t>
  </si>
  <si>
    <t>HYD01-NL0072</t>
  </si>
  <si>
    <t>Hydrangea / Verena L/Pink</t>
  </si>
  <si>
    <t>HYD01-NL0073</t>
  </si>
  <si>
    <t>Hydrangea / Verena Milka Lavender</t>
  </si>
  <si>
    <t>HYD01-NL0074</t>
  </si>
  <si>
    <t>Hydrangea / Pimpurnel Blue</t>
  </si>
  <si>
    <t>HYD01-NL0075</t>
  </si>
  <si>
    <t>Hydrangea / Magical Ruby Red - Purple</t>
  </si>
  <si>
    <t>HYD01-NL0076</t>
  </si>
  <si>
    <t>[EZ] Hydrangea / Glowing Alps Pink</t>
  </si>
  <si>
    <t>HYD01-NL0077</t>
  </si>
  <si>
    <t>Hydrangea / Fabulous anne</t>
  </si>
  <si>
    <t>HYD01-NL0078</t>
  </si>
  <si>
    <t>Hydrangea / Magical Dark Ruby</t>
  </si>
  <si>
    <t>HYD01-NL0079</t>
  </si>
  <si>
    <t>Hydrangea / Glowing Dark Pink</t>
  </si>
  <si>
    <t>HYD01-NL0080</t>
  </si>
  <si>
    <t>Hydrangea / Ponpidou</t>
  </si>
  <si>
    <t>HYD01-NL0081</t>
  </si>
  <si>
    <t>Hydrangea / My Terracota</t>
  </si>
  <si>
    <t>HYD01-NL0082</t>
  </si>
  <si>
    <t>Hydrangea / Royal King</t>
  </si>
  <si>
    <t>HYD01-NL0083</t>
  </si>
  <si>
    <t>Hydrangea / Classic Magical Sweet Ruby</t>
  </si>
  <si>
    <t>HYD01-NL0084</t>
  </si>
  <si>
    <t>Hydrangea / Classic Venice</t>
  </si>
  <si>
    <t>HYD01-NL0085</t>
  </si>
  <si>
    <t>Hydrangea / Ruby Red Purple</t>
  </si>
  <si>
    <t>HYD01-NL0086</t>
  </si>
  <si>
    <t>Hydrangea / Sunsation Pink</t>
  </si>
  <si>
    <t>HYD01-NL0087</t>
  </si>
  <si>
    <t>Hydrangea / Magical Linn Purple</t>
  </si>
  <si>
    <t>HYD01-NL0088</t>
  </si>
  <si>
    <t>Hydrangea / Verena Pink Classic</t>
  </si>
  <si>
    <t>HYD01-NL0089</t>
  </si>
  <si>
    <t>Hydrangea / Verena Light Green</t>
  </si>
  <si>
    <t>HYD01-NL0090</t>
  </si>
  <si>
    <t>Hydrangea / Verena White</t>
  </si>
  <si>
    <t>HYD01-NL0091</t>
  </si>
  <si>
    <t>Hydrangea / Sunsation Purple</t>
  </si>
  <si>
    <t>HYD01-NL0092</t>
  </si>
  <si>
    <t>Hydrangea / Magical Linn Pink</t>
  </si>
  <si>
    <t>HYD01-NL0093</t>
  </si>
  <si>
    <t>Hydrangea / Emerald Green</t>
  </si>
  <si>
    <t>HYD01-NL0094</t>
  </si>
  <si>
    <t>Hydrangea / Royal Palace Pink</t>
  </si>
  <si>
    <t>HYD01-NL0095</t>
  </si>
  <si>
    <t>Hydrangea / Classic Elbtal</t>
  </si>
  <si>
    <t>HYD01-NL0096</t>
  </si>
  <si>
    <t>Hydrangea / Classic Opal Red-Green</t>
  </si>
  <si>
    <t>HYD01-NL0097</t>
  </si>
  <si>
    <t>Hydrangea / Classic Magical Ruby Pink</t>
  </si>
  <si>
    <t>HYD01-NL0098</t>
  </si>
  <si>
    <t>Hydrangea / Vienna Champagne</t>
  </si>
  <si>
    <t>HYD01-NL0099</t>
  </si>
  <si>
    <t>Hydrangea / Rodeo Lavender</t>
  </si>
  <si>
    <t>HYD01-NL0100</t>
  </si>
  <si>
    <t>Hydrangea / Classic Adora Green-Purple</t>
  </si>
  <si>
    <t>HYD01-NL0101</t>
  </si>
  <si>
    <t>Hydrangea / Royal Venice</t>
  </si>
  <si>
    <t>HYD01-NZ0001</t>
  </si>
  <si>
    <t>Hydrangea Masja (Purple)</t>
  </si>
  <si>
    <t>HYD01-NZ0002</t>
  </si>
  <si>
    <t>Hydrangea Masja (Hot Pink)</t>
  </si>
  <si>
    <t>HYD01-NZ0003</t>
  </si>
  <si>
    <t>Hydrangea Merveille Sanguine Aubergine</t>
  </si>
  <si>
    <t>HYD01-NZ0004</t>
  </si>
  <si>
    <t>Hydrangea Peach Pink</t>
  </si>
  <si>
    <t>IRIS01-NL0001</t>
  </si>
  <si>
    <t>Iris Casa Blanca</t>
  </si>
  <si>
    <t>아이리스</t>
  </si>
  <si>
    <t>JAS01-NL0001</t>
  </si>
  <si>
    <t>Jasmine Snowbelle White</t>
  </si>
  <si>
    <t>자스민</t>
  </si>
  <si>
    <t>JAS01-NL0002</t>
  </si>
  <si>
    <t>Jasmine / Rank Wit Per Tak White</t>
  </si>
  <si>
    <t>JAS01-NL0003</t>
  </si>
  <si>
    <t>Jasmine / White</t>
  </si>
  <si>
    <t>JAS01-NL0004</t>
  </si>
  <si>
    <t>Jasminum Per Bunch Pink/White</t>
  </si>
  <si>
    <t>KNI01-NL0001</t>
  </si>
  <si>
    <t>Kniphofia/ Alcazar</t>
  </si>
  <si>
    <t>니포피아</t>
  </si>
  <si>
    <t>KOC01-NL0001</t>
  </si>
  <si>
    <t>Kochia 50cm</t>
  </si>
  <si>
    <t>코치아</t>
  </si>
  <si>
    <t>KOC01-NL0002</t>
  </si>
  <si>
    <t>Kochia Scoparia</t>
  </si>
  <si>
    <t>LCT01-NL0001</t>
  </si>
  <si>
    <t>Leucothoe Tinted Red</t>
  </si>
  <si>
    <t>레우코취</t>
  </si>
  <si>
    <t>LCT01-NL0002</t>
  </si>
  <si>
    <t>Leucothoe Rainbow</t>
  </si>
  <si>
    <t>LCT01-NL0003</t>
  </si>
  <si>
    <t>Leucothoe Walteri Red</t>
  </si>
  <si>
    <t>LCT01-NL0004</t>
  </si>
  <si>
    <t>Leucothoe Absorbed red</t>
  </si>
  <si>
    <t>LEU01-NL0001</t>
  </si>
  <si>
    <t>Leucadendron Argenteum Silver leaf</t>
  </si>
  <si>
    <t>핀쿠션</t>
  </si>
  <si>
    <t>LEU01-NL0002</t>
  </si>
  <si>
    <t>Leucospermum / Ayoba Red</t>
  </si>
  <si>
    <t>LEU01-NL0003</t>
  </si>
  <si>
    <t>Leucospermum / Dyed Tango</t>
  </si>
  <si>
    <t>LEU01-NL0004</t>
  </si>
  <si>
    <t>Leucospermum / High Gold Yellow</t>
  </si>
  <si>
    <t>LEU01-NL0005</t>
  </si>
  <si>
    <t>Leucospermum / Nutan Nikki Umali</t>
  </si>
  <si>
    <t>LEU01-NL0006</t>
  </si>
  <si>
    <t>Leucospermum / Soleil Orange</t>
  </si>
  <si>
    <t>LEU01-NL0007</t>
  </si>
  <si>
    <t>Leucospermum / Succession Orange</t>
  </si>
  <si>
    <t>LIL01-NL0001</t>
  </si>
  <si>
    <t>Lilium / Double Roselily Anouska</t>
  </si>
  <si>
    <t>릴리</t>
  </si>
  <si>
    <t>LIL01-NL0002</t>
  </si>
  <si>
    <t>Lilium / Roselily Isabell</t>
  </si>
  <si>
    <t>LIM01-CO0001</t>
  </si>
  <si>
    <t>LIMONIUM Coral</t>
  </si>
  <si>
    <t>리모니움</t>
  </si>
  <si>
    <t>LIM01-CO0002</t>
  </si>
  <si>
    <t>LIMONIUM Lavander</t>
  </si>
  <si>
    <t>LIM01-CO0003</t>
  </si>
  <si>
    <t>LIMONIUM Pink</t>
  </si>
  <si>
    <t>LIM01-CO0004</t>
  </si>
  <si>
    <t>LIMONIUM White</t>
  </si>
  <si>
    <t>LIM01-CO0005</t>
  </si>
  <si>
    <t>LIMONIUM Yellow</t>
  </si>
  <si>
    <t>LIM01-CO0006</t>
  </si>
  <si>
    <t>STATICE Lavander</t>
  </si>
  <si>
    <t>LIM01-CO0007</t>
  </si>
  <si>
    <t>STATICE Pink</t>
  </si>
  <si>
    <t>LIM01-CO0008</t>
  </si>
  <si>
    <t>STATICE Purple</t>
  </si>
  <si>
    <t>LIM01-CO0009</t>
  </si>
  <si>
    <t>STATICE White</t>
  </si>
  <si>
    <t>LIS01-NL0001</t>
  </si>
  <si>
    <t>Lisianthus Botanic White</t>
  </si>
  <si>
    <t>리시안서스</t>
  </si>
  <si>
    <t>LIS01-NL0002</t>
  </si>
  <si>
    <t>Lisianthus Botanic Pink</t>
  </si>
  <si>
    <t>LON01-NL0001</t>
  </si>
  <si>
    <t>Lily Longiflorum Watch Up 3+</t>
  </si>
  <si>
    <t>백합</t>
  </si>
  <si>
    <t>LON01-NL0002</t>
  </si>
  <si>
    <t>Lily Longiflorum Watch Up 2+</t>
  </si>
  <si>
    <t>LON01-NL0003</t>
  </si>
  <si>
    <t>Lily Longiflorum Watch Up 1 HD</t>
  </si>
  <si>
    <t>LON01-NL0004</t>
  </si>
  <si>
    <t>Lily la tintoretto</t>
  </si>
  <si>
    <t>LON01-NL0005</t>
  </si>
  <si>
    <t>Lily la Ducati</t>
  </si>
  <si>
    <t>LON01-NL0006</t>
  </si>
  <si>
    <t>Lily Lasting Love</t>
  </si>
  <si>
    <t>MAT01-NL0002</t>
  </si>
  <si>
    <t>Matricaria Cameron White 60cm</t>
  </si>
  <si>
    <t>마트리카리아</t>
  </si>
  <si>
    <t>MoQ  x25</t>
  </si>
  <si>
    <t>MIN01-CO0001</t>
  </si>
  <si>
    <t>Minicarnation Aragon(레드)</t>
  </si>
  <si>
    <t>MIN01-CO0002</t>
  </si>
  <si>
    <t>Minicarnation Bolero</t>
  </si>
  <si>
    <t>MIN01-CO0003</t>
  </si>
  <si>
    <t>Minicarnation Brocoli</t>
  </si>
  <si>
    <t>MIN01-CO0004</t>
  </si>
  <si>
    <t>Minicarnation caesar/ILias(노랑)</t>
  </si>
  <si>
    <t>MIN01-CO0005</t>
  </si>
  <si>
    <t>Minicarnation Chateau</t>
  </si>
  <si>
    <t>MIN01-CO0006</t>
  </si>
  <si>
    <t>Minicarnation Cosmocherry</t>
  </si>
  <si>
    <t>MIN01-CO0007</t>
  </si>
  <si>
    <t>Minicarnation Mimo</t>
  </si>
  <si>
    <t>MIN01-CO0008</t>
  </si>
  <si>
    <t>Minicarnation Rosemary</t>
  </si>
  <si>
    <t>MIN01-CO0009</t>
  </si>
  <si>
    <t>Minicarnation Rosita</t>
  </si>
  <si>
    <t>MIN01-CO0010</t>
  </si>
  <si>
    <t>Minicarnation Scarlete</t>
  </si>
  <si>
    <t>MIN01-CO0011</t>
  </si>
  <si>
    <t>Minicarnation Trendy tessino(보라복색)</t>
  </si>
  <si>
    <t>MIN01-CO0012</t>
  </si>
  <si>
    <t>Minicarnation Tango</t>
  </si>
  <si>
    <t>MIN01-CO0013</t>
  </si>
  <si>
    <t>Minicarnation Dune(오렌지)</t>
  </si>
  <si>
    <t>MIN01-CO0014</t>
  </si>
  <si>
    <t>Spary Carnation Nimbus</t>
  </si>
  <si>
    <t>MIN01-CO0015</t>
  </si>
  <si>
    <t>Spary Carnation Jane</t>
  </si>
  <si>
    <t>MIN01-CO0016</t>
  </si>
  <si>
    <t>Spary Carnation Skyline</t>
  </si>
  <si>
    <t>MIN01-CO0017</t>
  </si>
  <si>
    <t>Spary Carnation Ekeko</t>
  </si>
  <si>
    <t>MIN01-CO0018</t>
  </si>
  <si>
    <t>MiniCarnation 피치(HAMADA)</t>
  </si>
  <si>
    <t>MIN01-CO0019</t>
  </si>
  <si>
    <t>MiniCarnation Artic/Ibis(화이트)</t>
  </si>
  <si>
    <t>MIN01-CO0020</t>
  </si>
  <si>
    <t>MiniCarnation White</t>
  </si>
  <si>
    <t>MIN01-CO0022</t>
  </si>
  <si>
    <t>MiniCarnation 크림(Cream/Tayrona)</t>
  </si>
  <si>
    <t>MIN01-CO0023</t>
  </si>
  <si>
    <t>MiniCarnation Athena/Jane/Zagara(연핑크)</t>
  </si>
  <si>
    <t>MIN01-CO0025</t>
  </si>
  <si>
    <t>MiniCarnation Electric</t>
  </si>
  <si>
    <t>MIN01-CO0030</t>
  </si>
  <si>
    <t>Minicarnation Jade</t>
  </si>
  <si>
    <t>MIN01-CO0032</t>
  </si>
  <si>
    <t>Minicarnation Paloma</t>
  </si>
  <si>
    <t>MIN01-CO0033</t>
  </si>
  <si>
    <t>Minicarnation Kaisa</t>
  </si>
  <si>
    <t>MIN01-CO0034</t>
  </si>
  <si>
    <t>Minicarnation Omeya/Remoto</t>
  </si>
  <si>
    <t>MIN01-CO0035</t>
  </si>
  <si>
    <t>Minicarnation cherry Tessino(체리복색)</t>
  </si>
  <si>
    <t>MIN01-CO0036</t>
  </si>
  <si>
    <t>Minicarnation Gianna</t>
  </si>
  <si>
    <t>MIN01-CO0037</t>
  </si>
  <si>
    <t>Minicarnation Stratus</t>
  </si>
  <si>
    <t>MIN01-CO0038</t>
  </si>
  <si>
    <t>Minicarnation Celeste</t>
  </si>
  <si>
    <t>MIN01-CO0039</t>
  </si>
  <si>
    <t>Minicarnation Minion</t>
  </si>
  <si>
    <t>MIN01-CO0040</t>
  </si>
  <si>
    <t>Minicarnation Mirafiori</t>
  </si>
  <si>
    <t>MIN01-CO0041</t>
  </si>
  <si>
    <t>Minicarnation Sirasi</t>
  </si>
  <si>
    <t>MIN01-CO0042</t>
  </si>
  <si>
    <t>Minicarnation Uchuva</t>
  </si>
  <si>
    <t>MIN01-CO0043</t>
  </si>
  <si>
    <t>Minicarnation Umbra</t>
  </si>
  <si>
    <t>MIN01-CO0044</t>
  </si>
  <si>
    <t>Minicarnation Pink pigeon(핑크)</t>
  </si>
  <si>
    <t>MIN01-CO0045</t>
  </si>
  <si>
    <t>Minicarnation Anni</t>
  </si>
  <si>
    <t>MIN01-CO0046</t>
  </si>
  <si>
    <t>Minicarnation Bamboo</t>
  </si>
  <si>
    <t>MIN01-CO0048</t>
  </si>
  <si>
    <t>Minicarnation Hot Pink</t>
  </si>
  <si>
    <t>MIN01-CO0049</t>
  </si>
  <si>
    <t>Minicarnation Canela</t>
  </si>
  <si>
    <t>MIN01-CO0050</t>
  </si>
  <si>
    <t>Minicarnation Morena</t>
  </si>
  <si>
    <t>MIN01-CO0051</t>
  </si>
  <si>
    <t>MiniCarnation Epsilon</t>
  </si>
  <si>
    <t>MUS01-NL0001</t>
  </si>
  <si>
    <t>Muscari blue</t>
  </si>
  <si>
    <t>무스카리</t>
  </si>
  <si>
    <t>NAR01-NL0001</t>
  </si>
  <si>
    <t>Narcissus (Daffodil) Bell soung</t>
  </si>
  <si>
    <t>나르시스</t>
  </si>
  <si>
    <t>NAR01-NL0002</t>
  </si>
  <si>
    <t>Narcissus (Daffodil) Bridal Crown</t>
  </si>
  <si>
    <t>NAR01-NL0003</t>
  </si>
  <si>
    <t>Narcissus (Daffodil) Cragford</t>
  </si>
  <si>
    <t>NAR01-NL0004</t>
  </si>
  <si>
    <t>Narcissus (Daffodil) Dutch Master</t>
  </si>
  <si>
    <t>NAR01-NL0005</t>
  </si>
  <si>
    <t>Narcissus (Daffodil) Grand Soleil D-or</t>
  </si>
  <si>
    <t>NAR01-NL0006</t>
  </si>
  <si>
    <t>Narcissus (Daffodil) Johan Strauss</t>
  </si>
  <si>
    <t>NAR01-NL0007</t>
  </si>
  <si>
    <t>Narcissus (Daffodil) Overing Pink Perfect</t>
  </si>
  <si>
    <t>NAR01-NL0008</t>
  </si>
  <si>
    <t>Narcissus (Daffodil) Paper White</t>
  </si>
  <si>
    <t>NAR01-NL0009</t>
  </si>
  <si>
    <t>Narcissus (Daffodil) Pinza</t>
  </si>
  <si>
    <t>NAR01-NL0010</t>
  </si>
  <si>
    <t>Narcissus (Daffodil) Romantic Paradais</t>
  </si>
  <si>
    <t>NAR01-NL0011</t>
  </si>
  <si>
    <t>Narcissus (Daffodil) Royal Dutch</t>
  </si>
  <si>
    <t>NAR01-NL0012</t>
  </si>
  <si>
    <t>Narcissus (Daffodil) wedding bell</t>
  </si>
  <si>
    <t>NAR01-NL0014</t>
  </si>
  <si>
    <t>Narcissus(Daffodil) Dick Wilden</t>
  </si>
  <si>
    <t>NAR01-NL0015</t>
  </si>
  <si>
    <t>Narcissus(Daffodil) Gigantic Star</t>
  </si>
  <si>
    <t>NAR01-NL0016</t>
  </si>
  <si>
    <t>Narcissus(Daffodil) Ice Follies</t>
  </si>
  <si>
    <t>NAR01-NL0017</t>
  </si>
  <si>
    <t>Narcissus(Daffodil) Spray Avalanche</t>
  </si>
  <si>
    <t>NAR01-NL0018</t>
  </si>
  <si>
    <t>Narcissus Double Yellow</t>
  </si>
  <si>
    <t>NAR01-NL0020</t>
  </si>
  <si>
    <t>Narcissus(Daffodil) Las Vegas</t>
  </si>
  <si>
    <t>NAR01-NL0025</t>
  </si>
  <si>
    <t>Narcissus (Daffodil) Carlton</t>
  </si>
  <si>
    <t>NAR01-NL0026</t>
  </si>
  <si>
    <t>Narcissus (Daffodil) ziva paper white</t>
  </si>
  <si>
    <t>NAR01-NL0027</t>
  </si>
  <si>
    <t>Narcissus (Daffodil) Standard Value</t>
  </si>
  <si>
    <t>NER01-NL0002</t>
  </si>
  <si>
    <t>Nerine Bowdenii Biancaneve</t>
  </si>
  <si>
    <t>네리네</t>
  </si>
  <si>
    <t>NER01-NL0003</t>
  </si>
  <si>
    <t>Nerine Lydia Red</t>
  </si>
  <si>
    <t>NER01-NL0005</t>
  </si>
  <si>
    <t>Nerine Sofie L/Pink</t>
  </si>
  <si>
    <t>NER01-NL0006</t>
  </si>
  <si>
    <t>Nerine Vestak L/Pink</t>
  </si>
  <si>
    <t>NER01-NL0008</t>
  </si>
  <si>
    <t>Nerine Ras Van Roon</t>
  </si>
  <si>
    <t>NER01-NL0009</t>
  </si>
  <si>
    <t>Nerine Favoriet</t>
  </si>
  <si>
    <t>NUT01-NL0001</t>
  </si>
  <si>
    <t>Nutan / Goldie</t>
  </si>
  <si>
    <t>NUT01-NL0002</t>
  </si>
  <si>
    <t>Nutan / Succession</t>
  </si>
  <si>
    <t>오렌지/</t>
  </si>
  <si>
    <t>NUT01-NL0003</t>
  </si>
  <si>
    <t>Nutan / High Gold</t>
  </si>
  <si>
    <t>노랑/</t>
  </si>
  <si>
    <t>ONC01-TH00001</t>
  </si>
  <si>
    <t>Oncidium</t>
  </si>
  <si>
    <t>ONI01-NL00001</t>
  </si>
  <si>
    <t>Onisogallium / White</t>
  </si>
  <si>
    <t>오니소겔륨</t>
  </si>
  <si>
    <t>ONI01-NL00002</t>
  </si>
  <si>
    <t>Onisogallium / Arabicum Saundersiae</t>
  </si>
  <si>
    <t>PAN01-NL0001</t>
  </si>
  <si>
    <t>Panicum Fountain</t>
  </si>
  <si>
    <t>파니쿰</t>
  </si>
  <si>
    <t>PAN01-NL0002</t>
  </si>
  <si>
    <t>Panicum Painted Burgundy</t>
  </si>
  <si>
    <t>PAN01-NL0003</t>
  </si>
  <si>
    <t>Panicum Painted Champagne</t>
  </si>
  <si>
    <t>PAN01-NL0004</t>
  </si>
  <si>
    <t>Panicum Painted Cooper</t>
  </si>
  <si>
    <t>PAN01-NL0005</t>
  </si>
  <si>
    <t>Panicum Painted Gold</t>
  </si>
  <si>
    <t>PAN01-NL0006</t>
  </si>
  <si>
    <t>Panicum Painted Lilac</t>
  </si>
  <si>
    <t>PAN01-NL0007</t>
  </si>
  <si>
    <t>Panicum Painted Platinum</t>
  </si>
  <si>
    <t>PAN01-NL0008</t>
  </si>
  <si>
    <t>Panicum Painted Rose Gold</t>
  </si>
  <si>
    <t>PAW01-AU0001</t>
  </si>
  <si>
    <t>Kangaroo Paw</t>
  </si>
  <si>
    <t>파우</t>
  </si>
  <si>
    <t>MoQ  x20</t>
  </si>
  <si>
    <t>PEO01-NL0001</t>
  </si>
  <si>
    <t>Peony / Amazing force</t>
  </si>
  <si>
    <t>작약</t>
  </si>
  <si>
    <t>PEO01-NL0002</t>
  </si>
  <si>
    <t>Peony / Best Man 60cm</t>
  </si>
  <si>
    <t>PEO01-NL0003</t>
  </si>
  <si>
    <t>Peony / Bowl of Cream Double White 55cm</t>
  </si>
  <si>
    <t>PEO01-NL0004</t>
  </si>
  <si>
    <t>Peony / Charm Dark Red 50cm</t>
  </si>
  <si>
    <t>PEO01-NL0005</t>
  </si>
  <si>
    <t>Peony / Chiff Parfait Double Cream 60cm</t>
  </si>
  <si>
    <t>PEO01-NL0006</t>
  </si>
  <si>
    <t>Peony / Claude Tain White</t>
  </si>
  <si>
    <t>PEO01-NL0007</t>
  </si>
  <si>
    <t>Peony / Coral Cham Pink 60cm</t>
  </si>
  <si>
    <t>PEO01-NL0009</t>
  </si>
  <si>
    <t>Peony / Dr.A Flamingo Pink</t>
  </si>
  <si>
    <t>PEO01-NL0010</t>
  </si>
  <si>
    <t>Peony / Duchesse Nemours White 60cm</t>
  </si>
  <si>
    <t>PEO01-NL0012</t>
  </si>
  <si>
    <t>Peony / Felix Crousse H/Pink 60cm</t>
  </si>
  <si>
    <t>PEO01-NL0013</t>
  </si>
  <si>
    <t>Peony / Festriva Maxima L/Pink 60cm</t>
  </si>
  <si>
    <t>PEO01-NL0014</t>
  </si>
  <si>
    <t>Peony / Festriva Maxima White 60cm</t>
  </si>
  <si>
    <t>PEO01-NL0015</t>
  </si>
  <si>
    <t>Peony / Flame L/Red 50cm</t>
  </si>
  <si>
    <t>PEO01-NL0016</t>
  </si>
  <si>
    <t>Peony / Florence Nicholi Dark Pink 60cm</t>
  </si>
  <si>
    <t>PEO01-NL0017</t>
  </si>
  <si>
    <t>Peony / Gardenia Double L/Pink 55cm</t>
  </si>
  <si>
    <t>PEO01-NL0018</t>
  </si>
  <si>
    <t>Peony / Gardenia White</t>
  </si>
  <si>
    <t>PEO01-NL0019</t>
  </si>
  <si>
    <t>Peony / Happy Returns 55cm</t>
  </si>
  <si>
    <t>PEO01-NL0020</t>
  </si>
  <si>
    <t>Peony / Henry Bocksoce Red Cham 60cm</t>
  </si>
  <si>
    <t>PEO01-NL0021</t>
  </si>
  <si>
    <t>Peony / Kansas Red 60cm</t>
  </si>
  <si>
    <t>PEO01-NL0022</t>
  </si>
  <si>
    <t>Peony / Ole Faithfull Red Double 60cm</t>
  </si>
  <si>
    <t>PEO01-NL0023</t>
  </si>
  <si>
    <t>Peony / Princess Bridet White 60cm</t>
  </si>
  <si>
    <t>PEO01-NL0024</t>
  </si>
  <si>
    <t>Peony / Red Cham 60cm</t>
  </si>
  <si>
    <t>PEO01-NL0025</t>
  </si>
  <si>
    <t>Peony / Sarah Bernardt L/Pink 60cm</t>
  </si>
  <si>
    <t>PEO01-NZ0001</t>
  </si>
  <si>
    <t>Peony / New Zealand. SUPER Bowl of Cream White 60cm (50mm bud)</t>
  </si>
  <si>
    <t>PEO01-NZ0002</t>
  </si>
  <si>
    <t>Peony / Sarah Bernhardt L/Pink</t>
  </si>
  <si>
    <t>PEO01-NZ0003</t>
  </si>
  <si>
    <t>Peony / New Zealand. Bowl of Cream AAA (60cm/4.5cm)</t>
  </si>
  <si>
    <t>PEO01-NZ0004</t>
  </si>
  <si>
    <t>Peony / Coral Charm</t>
  </si>
  <si>
    <t>PEO01-NZ0005</t>
  </si>
  <si>
    <t>Peony / Etched Salmon</t>
  </si>
  <si>
    <t>PEO01-NZ0006</t>
  </si>
  <si>
    <t>Peony / Buchess De Nemours</t>
  </si>
  <si>
    <t>PEO01-NZ0007</t>
  </si>
  <si>
    <t>Peony / Bridal Shower</t>
  </si>
  <si>
    <t>PEO01-NZ0008</t>
  </si>
  <si>
    <t>Peony / New Zealand. Coral Sunset AA (50cm/4cm)</t>
  </si>
  <si>
    <t>PEO01-NZ0009</t>
  </si>
  <si>
    <t>Peony / New Zealand. Mr.Ed A Blush PREM 60cm (35mm bud)</t>
  </si>
  <si>
    <t>PEO01-NZ0010</t>
  </si>
  <si>
    <t>Peony / New Zealand. Duchess de Nemoirs  AA (60cm/4cm)</t>
  </si>
  <si>
    <t>PEO01-NZ0011</t>
  </si>
  <si>
    <t>Peony / Henry Sass</t>
  </si>
  <si>
    <t>PEO01-NZ0012</t>
  </si>
  <si>
    <t>Peony / Pillow Talk - Super</t>
  </si>
  <si>
    <t>PEO01-NZ0013</t>
  </si>
  <si>
    <t>Peony / Henry bockstoce</t>
  </si>
  <si>
    <t>PEO01-NZ0014</t>
  </si>
  <si>
    <t>Peony / New Zealand. Nick Shaylor AAA PREM (60cm/4.5cm)</t>
  </si>
  <si>
    <t>PEO01-NZ0015</t>
  </si>
  <si>
    <t>Peony / Angels cheeks</t>
  </si>
  <si>
    <t>PEO01-NZ0016</t>
  </si>
  <si>
    <t>Peony / Paul M Willd</t>
  </si>
  <si>
    <t>PIN01-AU0001</t>
  </si>
  <si>
    <t>Aussie Pine Tails</t>
  </si>
  <si>
    <t>파인</t>
  </si>
  <si>
    <t>PIN01-AU0002</t>
  </si>
  <si>
    <t>Bribie Pine</t>
  </si>
  <si>
    <t>PIT01-NL0001</t>
  </si>
  <si>
    <t>Pittosporum Green</t>
  </si>
  <si>
    <t>피토스</t>
  </si>
  <si>
    <t>PIT01-NL0002</t>
  </si>
  <si>
    <t>Pittosporum Nevato</t>
  </si>
  <si>
    <t>PIT01-NL0003</t>
  </si>
  <si>
    <t>Pittosporum Ralphi</t>
  </si>
  <si>
    <t>PIT01-NZ0001</t>
  </si>
  <si>
    <t>Pittosporum / Mountain Green</t>
  </si>
  <si>
    <t>PRE01-NL0001</t>
  </si>
  <si>
    <t>Preserved Fagus</t>
  </si>
  <si>
    <t>프리져브드</t>
  </si>
  <si>
    <t>PRE01-NL0002</t>
  </si>
  <si>
    <t>Preserved Fagus 70cm 200g</t>
  </si>
  <si>
    <t>PRE01-NL0003</t>
  </si>
  <si>
    <t>Preserved Stuartiana Autunno 200g</t>
  </si>
  <si>
    <t>PRE01-NL0005</t>
  </si>
  <si>
    <t>Preserved Fagus Red</t>
  </si>
  <si>
    <t>PRE01-NL0006</t>
  </si>
  <si>
    <t>Preserved Fagus Yellow</t>
  </si>
  <si>
    <t>PRE01-NL0007</t>
  </si>
  <si>
    <t>Preserved Fagus Orange</t>
  </si>
  <si>
    <t>PRO01-NL0001</t>
  </si>
  <si>
    <t>Protea Cynaroides 40cm</t>
  </si>
  <si>
    <t>프로테아</t>
  </si>
  <si>
    <t>PRO01-NL0002</t>
  </si>
  <si>
    <t>Protea Cynaroides 80cm</t>
  </si>
  <si>
    <t>RAN01-NL0001</t>
  </si>
  <si>
    <t>Ranaunclus Niveus</t>
  </si>
  <si>
    <t>라넌큘러스</t>
  </si>
  <si>
    <t>RAN01-NL0002</t>
  </si>
  <si>
    <t>Cloni Firenze</t>
  </si>
  <si>
    <t>RAN01-NL0003</t>
  </si>
  <si>
    <t>Cloni White EX</t>
  </si>
  <si>
    <t>RAN01-NL0004</t>
  </si>
  <si>
    <t>Elegance White EX</t>
  </si>
  <si>
    <t>RAN01-NL0005</t>
  </si>
  <si>
    <t>Elegance White</t>
  </si>
  <si>
    <t>ROS01-CO0001</t>
  </si>
  <si>
    <t>ROSE / Bluez</t>
  </si>
  <si>
    <t>ROS01-CO0002</t>
  </si>
  <si>
    <t>ROSE / Blush</t>
  </si>
  <si>
    <t>ROS01-CO0003</t>
  </si>
  <si>
    <t>ROSE / Candlelight 50cm</t>
  </si>
  <si>
    <t>ROS01-CO0004</t>
  </si>
  <si>
    <t>ROSE / Copa Cabana</t>
  </si>
  <si>
    <t>ROS01-CO0005</t>
  </si>
  <si>
    <t>ROSE / Grace Kelly</t>
  </si>
  <si>
    <t>ROS01-CO0006</t>
  </si>
  <si>
    <t>ROSE / High &amp; Candy</t>
  </si>
  <si>
    <t>ROS01-CO0007</t>
  </si>
  <si>
    <t>ROSE / High &amp; Light</t>
  </si>
  <si>
    <t>ROS01-CO0008</t>
  </si>
  <si>
    <t>ROSE / Hot Pink Bromo</t>
  </si>
  <si>
    <t>ROS01-CO0009</t>
  </si>
  <si>
    <t>ROSE / Hearts 50cm</t>
  </si>
  <si>
    <t>ROS01-CO0010</t>
  </si>
  <si>
    <t>ROSE / Hot Pink Hot Paris</t>
  </si>
  <si>
    <t>ROS01-CO0011</t>
  </si>
  <si>
    <t>ROSE / Pink Floyd (Hot Pink) 50cm</t>
  </si>
  <si>
    <t>ROS01-CO0012</t>
  </si>
  <si>
    <t>ROSE / Hot Pink Queen Berry</t>
  </si>
  <si>
    <t>ROS01-CO0013</t>
  </si>
  <si>
    <t>ROSE / Hot Pink Stiletto</t>
  </si>
  <si>
    <t>ROS01-CO0014</t>
  </si>
  <si>
    <t>ROSE / Hot Pink Topaz</t>
  </si>
  <si>
    <t>ROS01-CO0015</t>
  </si>
  <si>
    <t>ROSE / Kerio</t>
  </si>
  <si>
    <t>ROS01-CO00150</t>
  </si>
  <si>
    <t>ROSE</t>
  </si>
  <si>
    <t>ROS01-CO0016</t>
  </si>
  <si>
    <t>ROSE / Lavander Cool Water</t>
  </si>
  <si>
    <t>ROS01-CO0017</t>
  </si>
  <si>
    <t>ROSE / Lavander Deep Purple</t>
  </si>
  <si>
    <t>ROS01-CO0018</t>
  </si>
  <si>
    <t>ROSE / Moody Blues 50cm</t>
  </si>
  <si>
    <t>ROS01-CO0019</t>
  </si>
  <si>
    <t>ROSE / Lavander Provence</t>
  </si>
  <si>
    <t>ROS01-CO0021</t>
  </si>
  <si>
    <t>ROSE / Moonston 50cm</t>
  </si>
  <si>
    <t>ROS01-CO0022</t>
  </si>
  <si>
    <t>ROSE / New Face(red)</t>
  </si>
  <si>
    <t>ROS01-CO0023</t>
  </si>
  <si>
    <t>ROSE / Coral Reef 50cm</t>
  </si>
  <si>
    <t>ROS01-CO0024</t>
  </si>
  <si>
    <t>ROSE / High&amp;Bonita 50cm</t>
  </si>
  <si>
    <t>ROS01-CO0025</t>
  </si>
  <si>
    <t>ROSE / Novelties Lemonade</t>
  </si>
  <si>
    <t xml:space="preserve">circasia, matina. 
entro por circasia</t>
  </si>
  <si>
    <t>ROS01-CO0026</t>
  </si>
  <si>
    <t>ROSE / Novelties Magic Times</t>
  </si>
  <si>
    <t>ROS01-CO0027</t>
  </si>
  <si>
    <t>ROSE / Tiffany 50cm</t>
  </si>
  <si>
    <t>ROS01-CO0028</t>
  </si>
  <si>
    <t>ROSE / Novelties Tormenta</t>
  </si>
  <si>
    <t>ROS01-CO0029</t>
  </si>
  <si>
    <t>ROSE / Novelties Wasabi</t>
  </si>
  <si>
    <t>ROS01-CO0030</t>
  </si>
  <si>
    <t>ROSE / Orange Bicolor Cabaret</t>
  </si>
  <si>
    <t>ROS01-CO0031</t>
  </si>
  <si>
    <t>ROSE / Carpe Diem 50cm Orange Bicolor</t>
  </si>
  <si>
    <t>ROS01-CO0032</t>
  </si>
  <si>
    <t>ROSE / Orange Bicolor Cherry Brandy</t>
  </si>
  <si>
    <t>ROS01-CO0033</t>
  </si>
  <si>
    <t>ROSE / Orange Bicolor High &amp; Magic</t>
  </si>
  <si>
    <t>ROS01-CO0034</t>
  </si>
  <si>
    <t>ROSE / Orange Bicolor Hot Merengue</t>
  </si>
  <si>
    <t>ROS01-CO0035</t>
  </si>
  <si>
    <t>ROSE / Orange Bicolor Luciano</t>
  </si>
  <si>
    <t>ROS01-CO0036</t>
  </si>
  <si>
    <t>ROSE / Orange Bicolor Magdalena</t>
  </si>
  <si>
    <t>ROS01-CO0037</t>
  </si>
  <si>
    <t>ROSE / Orange Crush 50cm</t>
  </si>
  <si>
    <t>ROS01-CO0038</t>
  </si>
  <si>
    <t>ROSE / Orange Bicolor Proyecto Fuego</t>
  </si>
  <si>
    <t>ROS01-CO0039</t>
  </si>
  <si>
    <t>ROSE / Silantoi 50cm</t>
  </si>
  <si>
    <t xml:space="preserve">Matina, circasia, Redil. </t>
  </si>
  <si>
    <t>ROS01-CO0040</t>
  </si>
  <si>
    <t>ROSE / Orange Bicolor Tycoon</t>
  </si>
  <si>
    <t>ROS01-CO0041</t>
  </si>
  <si>
    <t>ROSE / Pink Anastasia</t>
  </si>
  <si>
    <t>ROS01-CO0042</t>
  </si>
  <si>
    <t>ROSE / Pink Cabaret</t>
  </si>
  <si>
    <t>ROS01-CO0043</t>
  </si>
  <si>
    <t>ROSE / Deep Silver 50cm</t>
  </si>
  <si>
    <t>ROS01-CO0044</t>
  </si>
  <si>
    <t>ROSE / Pink Dekora</t>
  </si>
  <si>
    <t>ROS01-CO0045</t>
  </si>
  <si>
    <t>ROSE / Pink Engagement</t>
  </si>
  <si>
    <t>ROS01-CO0046</t>
  </si>
  <si>
    <t>ROSE / Pink Enjoy</t>
  </si>
  <si>
    <t>ROS01-CO0047</t>
  </si>
  <si>
    <t>ROSE / Pink Esperance</t>
  </si>
  <si>
    <t>ROS01-CO0048</t>
  </si>
  <si>
    <t>ROSE / Pink Fiesta</t>
  </si>
  <si>
    <t>ROS01-CO0049</t>
  </si>
  <si>
    <t>ROSE / Freedom 50cm</t>
  </si>
  <si>
    <t>ROS01-CO0050</t>
  </si>
  <si>
    <t>ROSE / Frutteto 50cm</t>
  </si>
  <si>
    <t>ROS01-CO0051</t>
  </si>
  <si>
    <t>ROSE / Pink Imagination</t>
  </si>
  <si>
    <t>ROS01-CO0052</t>
  </si>
  <si>
    <t>ROSE / Pink Jessica</t>
  </si>
  <si>
    <t>ROS01-CO0053</t>
  </si>
  <si>
    <t>ROSE / Pink Jolie</t>
  </si>
  <si>
    <t>ROS01-CO0054</t>
  </si>
  <si>
    <t>ROSE / Malibu 50cm</t>
  </si>
  <si>
    <t>ROS01-CO0055</t>
  </si>
  <si>
    <t>ROSE / Mandala 50cm</t>
  </si>
  <si>
    <t>ROS01-CO0056</t>
  </si>
  <si>
    <t>ROSE / Pink Marzipan 50cm</t>
  </si>
  <si>
    <t>ROS01-CO0057</t>
  </si>
  <si>
    <t>ROSE / Pink Mother of Pearl</t>
  </si>
  <si>
    <t>ROS01-CO0058</t>
  </si>
  <si>
    <t>ROSE / Novia 50cm</t>
  </si>
  <si>
    <t>ROS01-CO0059</t>
  </si>
  <si>
    <t>ROSE / Pink Mondial 50cm</t>
  </si>
  <si>
    <t>ROS01-CO0060</t>
  </si>
  <si>
    <t>ROSE / Pink Priceless</t>
  </si>
  <si>
    <t>ROS01-CO0061</t>
  </si>
  <si>
    <t>ROSE / Pink Rosita Vendela</t>
  </si>
  <si>
    <t>ROS01-CO0062</t>
  </si>
  <si>
    <t>ROSE / Pink Salma</t>
  </si>
  <si>
    <t>redil</t>
  </si>
  <si>
    <t>ROS01-CO0063</t>
  </si>
  <si>
    <t>ROSE / Pink Sapina</t>
  </si>
  <si>
    <t>ROS01-CO0064</t>
  </si>
  <si>
    <t>ROSE / Shimmer 50cm</t>
  </si>
  <si>
    <t>ROS01-CO0065</t>
  </si>
  <si>
    <t>ROSE / Pink Star Fish</t>
  </si>
  <si>
    <t>ROS01-CO0066</t>
  </si>
  <si>
    <t>ROSE / Pink Sweet Unique</t>
  </si>
  <si>
    <t>ROS01-CO0067</t>
  </si>
  <si>
    <t>ROSE / Sweetness(Ossimo) 50cm</t>
  </si>
  <si>
    <t>ROS01-CO0068</t>
  </si>
  <si>
    <t>ROSE / Pink xpression 50cm</t>
  </si>
  <si>
    <t>ROS01-CO0069</t>
  </si>
  <si>
    <t>ROSE / Pleassure</t>
  </si>
  <si>
    <t>ROS01-CO0070</t>
  </si>
  <si>
    <t>ROSE / Pompell</t>
  </si>
  <si>
    <t>ROS01-CO0071</t>
  </si>
  <si>
    <t>ROSE / Proud 50cm</t>
  </si>
  <si>
    <t>ROS01-CO0072</t>
  </si>
  <si>
    <t>ROSE / Saga 50cm</t>
  </si>
  <si>
    <t>ROS01-CO0073</t>
  </si>
  <si>
    <t>ROSE / Soul(White,Cream)</t>
  </si>
  <si>
    <t>ROS01-CO0074</t>
  </si>
  <si>
    <t>ROSE / Star Platinum(Lavender) 50cm</t>
  </si>
  <si>
    <t>ROS01-CO0075</t>
  </si>
  <si>
    <t>ROSE / Super Sun</t>
  </si>
  <si>
    <t>ROS01-CO0076</t>
  </si>
  <si>
    <t>ROSE / Sweet Mama 50cm</t>
  </si>
  <si>
    <t>ROS01-CO0077</t>
  </si>
  <si>
    <t>ROSE / Sweet Sofia 50cm</t>
  </si>
  <si>
    <t>ROS01-CO0078</t>
  </si>
  <si>
    <t>ROSE / Whites Akito</t>
  </si>
  <si>
    <t>ROS01-CO0079</t>
  </si>
  <si>
    <t>ROSE / Whites Cotopaxi</t>
  </si>
  <si>
    <t>ROS01-CO0080</t>
  </si>
  <si>
    <t>ROSE / Mondial White 50cm</t>
  </si>
  <si>
    <t>ROS01-CO0081</t>
  </si>
  <si>
    <t>ROSE / Playa Blanca 50cm</t>
  </si>
  <si>
    <t>ROS01-CO0082</t>
  </si>
  <si>
    <t>ROSE / Whites Polar Star</t>
  </si>
  <si>
    <t>ROS01-CO0083</t>
  </si>
  <si>
    <t>ROSE / Whites Snow Bliss 50cm</t>
  </si>
  <si>
    <t>ROS01-CO0084</t>
  </si>
  <si>
    <t>ROSE / Sugar Doll 50cm</t>
  </si>
  <si>
    <t>ROS01-CO0085</t>
  </si>
  <si>
    <t>ROSE / Vendela 50cm</t>
  </si>
  <si>
    <t>ROS01-CO0086</t>
  </si>
  <si>
    <t>ROSE / Whites W/Chocolate</t>
  </si>
  <si>
    <t>ROS01-CO0087</t>
  </si>
  <si>
    <t>ROSE / Brighton 50cm</t>
  </si>
  <si>
    <t>ROS01-CO0088</t>
  </si>
  <si>
    <t>ROSE / Yellow Dejavu 50cm</t>
  </si>
  <si>
    <t>ROS01-CO0089</t>
  </si>
  <si>
    <t>ROSE / Yellow Latina</t>
  </si>
  <si>
    <t>ROS01-CO0090</t>
  </si>
  <si>
    <t>ROSE / Yellow Y/Bikini</t>
  </si>
  <si>
    <t>ROS01-CO0091</t>
  </si>
  <si>
    <t>ROSE / Explorer 50cm</t>
  </si>
  <si>
    <t>ROS01-CO0092</t>
  </si>
  <si>
    <t>ROSE /Goldfinch</t>
  </si>
  <si>
    <t>ROS01-CO0093</t>
  </si>
  <si>
    <t>SPRAY ROSE / Babe</t>
  </si>
  <si>
    <t>ROS01-CO0094</t>
  </si>
  <si>
    <t>SPRAY ROSE / Bali 50cm</t>
  </si>
  <si>
    <t>ROS01-CO0095</t>
  </si>
  <si>
    <t>SPRAY ROSE / Chablis</t>
  </si>
  <si>
    <t>ROS01-CO0096</t>
  </si>
  <si>
    <t>SPRAY ROSE / Elba</t>
  </si>
  <si>
    <t>ROS01-CO0097</t>
  </si>
  <si>
    <t>SPRAY ROSE / Floreana</t>
  </si>
  <si>
    <t>ROS01-CO0098</t>
  </si>
  <si>
    <t>SPRAY ROSE / Ginger</t>
  </si>
  <si>
    <t>ROS01-CO0099</t>
  </si>
  <si>
    <t>SPRAY ROSE / Ilse</t>
  </si>
  <si>
    <t>ROS01-CO0100</t>
  </si>
  <si>
    <t>SPRAY ROSE / Madeira</t>
  </si>
  <si>
    <t>ROS01-CO0101</t>
  </si>
  <si>
    <t>SPRAY ROSE / Mambo</t>
  </si>
  <si>
    <t>ROS01-CO0102</t>
  </si>
  <si>
    <t>SPRAY ROSE / Pink Majolika</t>
  </si>
  <si>
    <t>ROS01-CO0103</t>
  </si>
  <si>
    <t>SPRAY ROSE / Scarlett</t>
  </si>
  <si>
    <t>ROS01-CO0104</t>
  </si>
  <si>
    <t>SPRAY ROSE / Snow Flake</t>
  </si>
  <si>
    <t>Mejor con Tiba. OF 500 tallos semanales</t>
  </si>
  <si>
    <t>ROS01-CO0105</t>
  </si>
  <si>
    <t>SPRAY ROSE / Somerset</t>
  </si>
  <si>
    <t>ROS01-CO0106</t>
  </si>
  <si>
    <t>SPRAY ROSE / Sweet Sensation</t>
  </si>
  <si>
    <t>ROS01-CO0107</t>
  </si>
  <si>
    <t>SPRAY ROSE / White</t>
  </si>
  <si>
    <t>ROS01-CO0108</t>
  </si>
  <si>
    <t>ROSE / Quick Sand 50cm</t>
  </si>
  <si>
    <t>ROS01-CO0109</t>
  </si>
  <si>
    <t>ROSE / Luciano 50cm</t>
  </si>
  <si>
    <t>ROS01-CO0110</t>
  </si>
  <si>
    <t>ROSE / Be Sweet</t>
  </si>
  <si>
    <t>ROS01-CO0111</t>
  </si>
  <si>
    <t>ROSE / Black Tinted 50cm</t>
  </si>
  <si>
    <t>ROS01-CO0112</t>
  </si>
  <si>
    <t>ROSE / Bicolor Lavender Edges 50cm</t>
  </si>
  <si>
    <t>ROS01-CO0113</t>
  </si>
  <si>
    <t>ROSE / Pink Mely</t>
  </si>
  <si>
    <t>ROS01-CO0114</t>
  </si>
  <si>
    <t>ROSE / Blue Dream 50cm</t>
  </si>
  <si>
    <t>ROS01-CO0115</t>
  </si>
  <si>
    <t>ROSE / Blessing 50cm</t>
  </si>
  <si>
    <t>ROS01-CO0116</t>
  </si>
  <si>
    <t>ROSE / Lollipop White Blue 50cm</t>
  </si>
  <si>
    <t>ROS01-CO0117</t>
  </si>
  <si>
    <t>ROSE / Tinted Aurora 50cm</t>
  </si>
  <si>
    <t>ROS01-CO0118</t>
  </si>
  <si>
    <t>ROSE / Mirabel 50cm</t>
  </si>
  <si>
    <t>ROS01-CO0119</t>
  </si>
  <si>
    <t>ROSE / Spray Floreana</t>
  </si>
  <si>
    <t>ROS01-CO0120</t>
  </si>
  <si>
    <t>ROSE / Iguana(Ossimo) 50cm</t>
  </si>
  <si>
    <t>ROS01-CO0121</t>
  </si>
  <si>
    <t>ROSE / Conquista 50cm</t>
  </si>
  <si>
    <t>ROS01-CO0122</t>
  </si>
  <si>
    <t>ROSE / Princess Crown</t>
  </si>
  <si>
    <t>ROS01-CO0123</t>
  </si>
  <si>
    <t>ROSE / Cumbia 50cm</t>
  </si>
  <si>
    <t>ROS01-CO0124</t>
  </si>
  <si>
    <t>ROSE / Millenial Pink 50cm</t>
  </si>
  <si>
    <t>ROS01-CO0125</t>
  </si>
  <si>
    <t>ROSE / Tinted black</t>
  </si>
  <si>
    <t>ROS01-CO0126</t>
  </si>
  <si>
    <t>ROSE / Felicity 50cm</t>
  </si>
  <si>
    <t>ROS01-CO0127</t>
  </si>
  <si>
    <t>ROSE / Lola 50cm</t>
  </si>
  <si>
    <t>ROS01-CO0128</t>
  </si>
  <si>
    <t>ROSE / White Ohara 50cm</t>
  </si>
  <si>
    <t>ROS01-CO0129</t>
  </si>
  <si>
    <t>ROSE / Tibet 50cm</t>
  </si>
  <si>
    <t>ROS01-CO0130</t>
  </si>
  <si>
    <t>ROSE / Pink Love</t>
  </si>
  <si>
    <t>ROS01-CO0131</t>
  </si>
  <si>
    <t>ROSE / Almah</t>
  </si>
  <si>
    <t>ROS01-CO0132</t>
  </si>
  <si>
    <t>ROSE / Tinted Blue 50cm</t>
  </si>
  <si>
    <t>ROS01-CO0133</t>
  </si>
  <si>
    <t>ROSE / Alex</t>
  </si>
  <si>
    <t>ROS01-CO0134</t>
  </si>
  <si>
    <t>ROSE / Be Sweet 50cm</t>
  </si>
  <si>
    <t>ROS01-CO0136</t>
  </si>
  <si>
    <t>ROSE / Country Blues 50cm</t>
  </si>
  <si>
    <t>ROS01-CO0137</t>
  </si>
  <si>
    <t>ROSE / Country Home (Elite) 50cm</t>
  </si>
  <si>
    <t>ROS01-CO0138</t>
  </si>
  <si>
    <t>ROSE / Count Louise 50cm</t>
  </si>
  <si>
    <t>ROS01-CO0139</t>
  </si>
  <si>
    <t>ROSE / Absolute pink 50cm</t>
  </si>
  <si>
    <t>ROS01-CO0140</t>
  </si>
  <si>
    <t>ROSE / White Shimmer 50cm</t>
  </si>
  <si>
    <t>ROS01-CO0141</t>
  </si>
  <si>
    <t>ROSE / Red Panther 50cm</t>
  </si>
  <si>
    <t>ROS01-CO0142</t>
  </si>
  <si>
    <t>ROSE / Momentum 50cm</t>
  </si>
  <si>
    <t>ROS01-CO0143</t>
  </si>
  <si>
    <t>ROSE / London Eye 50cm</t>
  </si>
  <si>
    <t>ROS01-CO0145</t>
  </si>
  <si>
    <t>ROSE / Cotton Candy 50cm</t>
  </si>
  <si>
    <t>ROS01-CO0146</t>
  </si>
  <si>
    <t>ROSE / Royal Pink 50cm</t>
  </si>
  <si>
    <t>ROS01-CO0147</t>
  </si>
  <si>
    <t>ROSE / Mix Box 50cm</t>
  </si>
  <si>
    <t>ROS01-CO0148</t>
  </si>
  <si>
    <t>ROSE / Dark Pastel 50cm</t>
  </si>
  <si>
    <t>ROS01-CO0149</t>
  </si>
  <si>
    <t>ROSE / Orange Babe 50cm</t>
  </si>
  <si>
    <t>ROS01-CO0150</t>
  </si>
  <si>
    <t>ROSE / Pink Ohara 50cm</t>
  </si>
  <si>
    <t>ROS01-CO0151</t>
  </si>
  <si>
    <t>SPRAY ROSE / Super Nova</t>
  </si>
  <si>
    <t>ROS01-CO0152</t>
  </si>
  <si>
    <t>SPRAY ROSE / Lidia</t>
  </si>
  <si>
    <t>ROS01-CO0153</t>
  </si>
  <si>
    <t>SPRAY ROSE / Ice Wing</t>
  </si>
  <si>
    <t>ROS01-CO0159</t>
  </si>
  <si>
    <t>ROSE / Garden Mayra Red 50cm</t>
  </si>
  <si>
    <t>ROS01-CO0160</t>
  </si>
  <si>
    <t>ROSE / Lollipop White Red 50cm</t>
  </si>
  <si>
    <t>ROS01-CO0161</t>
  </si>
  <si>
    <t>ROSE / Free Spirit 50cm</t>
  </si>
  <si>
    <t>ROS01-CO0162</t>
  </si>
  <si>
    <t>ROSE / Hermosa(Ossimo) 50cm</t>
  </si>
  <si>
    <t>ROS01-CO0163</t>
  </si>
  <si>
    <t>ROSE / Gisele 50cm</t>
  </si>
  <si>
    <t>ROS01-CO0164</t>
  </si>
  <si>
    <t>ROSE / Garden Mayra Mix 50cm</t>
  </si>
  <si>
    <t>ROS01-CO0165</t>
  </si>
  <si>
    <t>ROSE / Christa 50cm</t>
  </si>
  <si>
    <t>ROS01-CO0166</t>
  </si>
  <si>
    <t>ROSE / Frozen Berry 50cm</t>
  </si>
  <si>
    <t>ROS01-CO0167</t>
  </si>
  <si>
    <t>ROSE / Chanel 50cm</t>
  </si>
  <si>
    <t>ROS01-CO0168</t>
  </si>
  <si>
    <t>ROSE / Rainbow 50cm</t>
  </si>
  <si>
    <t>ROS01-CO0170</t>
  </si>
  <si>
    <t>ROSE / High&amp;Exotic 50cm</t>
  </si>
  <si>
    <t>ROS01-CO0171</t>
  </si>
  <si>
    <t>ROSE / Coffee Collection 50cm</t>
  </si>
  <si>
    <t>ROS01-CO0200</t>
  </si>
  <si>
    <t>ROSE / Nightingale</t>
  </si>
  <si>
    <t>ROS01-CO0211</t>
  </si>
  <si>
    <t>ROSE / Ragazza 50cm</t>
  </si>
  <si>
    <t>ROS01-CO0250</t>
  </si>
  <si>
    <t>ROSE / Ragazza</t>
  </si>
  <si>
    <t>ROS01-CO0290</t>
  </si>
  <si>
    <t>ROSE / Ocean Mikado 50cm</t>
  </si>
  <si>
    <t>ROS01-CO0291</t>
  </si>
  <si>
    <t>ROSE / Ocean song 50cm</t>
  </si>
  <si>
    <t>ROS01-CO0292</t>
  </si>
  <si>
    <t>ROSE / Marlin Monroe 50cm</t>
  </si>
  <si>
    <t>ROS01-CO0294</t>
  </si>
  <si>
    <t>ROSE / Noblety 50cm</t>
  </si>
  <si>
    <t>ROS01-CO0295</t>
  </si>
  <si>
    <t>ROSE / Absolute pink 40cm</t>
  </si>
  <si>
    <t>ROS01-CO0296</t>
  </si>
  <si>
    <t>ROSE / Absolute pink 60cm</t>
  </si>
  <si>
    <t>ROS01-CO0297</t>
  </si>
  <si>
    <t>ROSE / Be Sweet 40cm</t>
  </si>
  <si>
    <t>ROS01-CO0298</t>
  </si>
  <si>
    <t>ROSE / Be Sweet 60cm</t>
  </si>
  <si>
    <t>ROS01-CO0299</t>
  </si>
  <si>
    <t>ROSE / Bicolor Lavender Edges 40cm</t>
  </si>
  <si>
    <t>ROS01-CO0300</t>
  </si>
  <si>
    <t>ROSE / Blessing 40cm</t>
  </si>
  <si>
    <t>ROS01-CO0301</t>
  </si>
  <si>
    <t>ROSE / Blessing 60cm</t>
  </si>
  <si>
    <t>ROS01-CO0302</t>
  </si>
  <si>
    <t>ROSE / Blue Dream 40cm</t>
  </si>
  <si>
    <t>ROS01-CO0303</t>
  </si>
  <si>
    <t>ROSE / Brighton 40cm</t>
  </si>
  <si>
    <t>ROS01-CO0304</t>
  </si>
  <si>
    <t>ROSE / Brighton 60cm</t>
  </si>
  <si>
    <t>ROS01-CO0305</t>
  </si>
  <si>
    <t>ROSE / Candlelight 40cm</t>
  </si>
  <si>
    <t>ROS01-CO0306</t>
  </si>
  <si>
    <t>ROSE / Candlelight 60cm</t>
  </si>
  <si>
    <t>ROS01-CO0307</t>
  </si>
  <si>
    <t>ROSE / Conquista(Ossimo) 40cm</t>
  </si>
  <si>
    <t>ROS01-CO0308</t>
  </si>
  <si>
    <t>ROSE / Coral Reef 40cm</t>
  </si>
  <si>
    <t>ROS01-CO0309</t>
  </si>
  <si>
    <t>ROSE / Coral Reef 60cm</t>
  </si>
  <si>
    <t>ROS01-CO0310</t>
  </si>
  <si>
    <t>ROSE / Cotton Candy 40cm</t>
  </si>
  <si>
    <t>ROS01-CO0311</t>
  </si>
  <si>
    <t>ROSE / Count Louise 40cm</t>
  </si>
  <si>
    <t>ROS01-CO0312</t>
  </si>
  <si>
    <t>ROSE / Country Blues 40cm</t>
  </si>
  <si>
    <t>ROS01-CO0313</t>
  </si>
  <si>
    <t>ROSE / Country Blues 60cm</t>
  </si>
  <si>
    <t>ROS01-CO0314</t>
  </si>
  <si>
    <t>ROSE / Country Home (Elite) 40cm</t>
  </si>
  <si>
    <t>ROS01-CO0315</t>
  </si>
  <si>
    <t>ROSE / Dark Pastel 40cm</t>
  </si>
  <si>
    <t>ROS01-CO0316</t>
  </si>
  <si>
    <t>ROSE / Deep Silver 40cm</t>
  </si>
  <si>
    <t>ROS01-CO0317</t>
  </si>
  <si>
    <t>ROSE / Deep Silver 60cm</t>
  </si>
  <si>
    <t>ROS01-CO0318</t>
  </si>
  <si>
    <t>ROSE / Explorer 40cm</t>
  </si>
  <si>
    <t>ROS01-CO0319</t>
  </si>
  <si>
    <t>ROSE / Free Spirit 40cm</t>
  </si>
  <si>
    <t>ROS01-CO0320</t>
  </si>
  <si>
    <t>ROSE / Freedom 40cm</t>
  </si>
  <si>
    <t>ROS01-CO0321</t>
  </si>
  <si>
    <t>ROSE / Freedom 60cm</t>
  </si>
  <si>
    <t>ROS01-CO0322</t>
  </si>
  <si>
    <t>ROSE / Frozen Berry 40cm</t>
  </si>
  <si>
    <t>ROS01-CO0323</t>
  </si>
  <si>
    <t>ROSE / Frutteto 40cm</t>
  </si>
  <si>
    <t>ROS01-CO0324</t>
  </si>
  <si>
    <t>ROSE / Frutteto 60cm</t>
  </si>
  <si>
    <t>ROS01-CO0325</t>
  </si>
  <si>
    <t>ROSE / Garden Mayra Mix 40cm</t>
  </si>
  <si>
    <t>ROS01-CO0326</t>
  </si>
  <si>
    <t>ROSE / Garden Mayra Mix 60cm</t>
  </si>
  <si>
    <t>ROS01-CO0327</t>
  </si>
  <si>
    <t>ROSE / Garden Mayra Red 40cm</t>
  </si>
  <si>
    <t>ROS01-CO0328</t>
  </si>
  <si>
    <t>ROSE / Garden Mayra Red 60cm</t>
  </si>
  <si>
    <t>ROS01-CO0329</t>
  </si>
  <si>
    <t>ROSE / Hearts 40cm</t>
  </si>
  <si>
    <t>ROS01-CO0330</t>
  </si>
  <si>
    <t>ROSE / Hermosa(Ossimo) 40cm</t>
  </si>
  <si>
    <t>ROS01-CO0331</t>
  </si>
  <si>
    <t>ROSE / Hermosa(Ossimo) 60cm</t>
  </si>
  <si>
    <t>ROS01-CO0332</t>
  </si>
  <si>
    <t>ROSE / High&amp;Arena 40cm</t>
  </si>
  <si>
    <t>ROS01-CO0333</t>
  </si>
  <si>
    <t>ROSE / High&amp;Arena 60cm</t>
  </si>
  <si>
    <t>ROS01-CO0334</t>
  </si>
  <si>
    <t>ROSE / Iguana(Ossimo) 40cm</t>
  </si>
  <si>
    <t>ROS01-CO0335</t>
  </si>
  <si>
    <t>ROSE / Iguana(Ossimo) 60cm</t>
  </si>
  <si>
    <t>ROS01-CO0336</t>
  </si>
  <si>
    <t>ROSE / Lola(Elite) 40cm</t>
  </si>
  <si>
    <t>ROS01-CO0337</t>
  </si>
  <si>
    <t>ROSE / Lola(Elite) 60cm</t>
  </si>
  <si>
    <t>ROS01-CO0338</t>
  </si>
  <si>
    <t>ROSE / Lollipop White Blue 40cm</t>
  </si>
  <si>
    <t>ROS01-CO0339</t>
  </si>
  <si>
    <t>ROSE / Lollipop White Red 40cm</t>
  </si>
  <si>
    <t>ROS01-CO0340</t>
  </si>
  <si>
    <t>ROSE / London Eye 40cm</t>
  </si>
  <si>
    <t>ROS01-CO0341</t>
  </si>
  <si>
    <t>ROSE / Luciano 40cm</t>
  </si>
  <si>
    <t>ROS01-CO0342</t>
  </si>
  <si>
    <t>ROSE / Luciano 60cm</t>
  </si>
  <si>
    <t>ROS01-CO0343</t>
  </si>
  <si>
    <t>ROSE / Malibu 40cm</t>
  </si>
  <si>
    <t>ROS01-CO0344</t>
  </si>
  <si>
    <t>ROSE / Malibu 60cm</t>
  </si>
  <si>
    <t>ROS01-CO0345</t>
  </si>
  <si>
    <t>ROSE / Mandala 40cm</t>
  </si>
  <si>
    <t>ROS01-CO0346</t>
  </si>
  <si>
    <t>ROSE / Mandala 60cm</t>
  </si>
  <si>
    <t>ROS01-CO0347</t>
  </si>
  <si>
    <t>ROSE / Mirabel 40cm</t>
  </si>
  <si>
    <t>ROS01-CO0348</t>
  </si>
  <si>
    <t>ROSE / Mirabel 60cm</t>
  </si>
  <si>
    <t>ROS01-CO0349</t>
  </si>
  <si>
    <t>ROSE / Mix Box 40cm</t>
  </si>
  <si>
    <t>ROS01-CO0350</t>
  </si>
  <si>
    <t>ROSE / Mix Box 60cm</t>
  </si>
  <si>
    <t>ROS01-CO0351</t>
  </si>
  <si>
    <t>ROSE / Momentum 40cm</t>
  </si>
  <si>
    <t>ROS01-CO0352</t>
  </si>
  <si>
    <t>ROSE / Mondial White 40cm</t>
  </si>
  <si>
    <t>ROS01-CO0353</t>
  </si>
  <si>
    <t>ROSE / Mondial White 60cm</t>
  </si>
  <si>
    <t>ROS01-CO0354</t>
  </si>
  <si>
    <t>ROSE / Moonston 40cm</t>
  </si>
  <si>
    <t>ROS01-CO0355</t>
  </si>
  <si>
    <t>ROSE / Moonston 60cm</t>
  </si>
  <si>
    <t>ROS01-CO0356</t>
  </si>
  <si>
    <t>ROSE / Ocean Song 40cm</t>
  </si>
  <si>
    <t>ROS01-CO0357</t>
  </si>
  <si>
    <t>ROSE / Ocean Song 60cm</t>
  </si>
  <si>
    <t>ROS01-CO0358</t>
  </si>
  <si>
    <t>ROSE / Orange Babe 40cm</t>
  </si>
  <si>
    <t>ROS01-CO0359</t>
  </si>
  <si>
    <t>ROSE / Orange Crush 40cm</t>
  </si>
  <si>
    <t>ROS01-CO0360</t>
  </si>
  <si>
    <t>ROSE / Orange Crush 60cm</t>
  </si>
  <si>
    <t>ROS01-CO0361</t>
  </si>
  <si>
    <t>ROSE / Pink Floyd (Hot Pink) 40cm</t>
  </si>
  <si>
    <t>ROS01-CO0362</t>
  </si>
  <si>
    <t>ROSE / Pink Floyd (Hot Pink) 60cm</t>
  </si>
  <si>
    <t>ROS01-CO0363</t>
  </si>
  <si>
    <t>ROSE / Pink Majolika 40cm</t>
  </si>
  <si>
    <t>ROS01-CO0364</t>
  </si>
  <si>
    <t>ROSE / Pink Mondial 40cm</t>
  </si>
  <si>
    <t>ROS01-CO0365</t>
  </si>
  <si>
    <t>ROSE / Pink Mondial 60cm</t>
  </si>
  <si>
    <t>ROS01-CO0366</t>
  </si>
  <si>
    <t>ROSE / Pink Ohara 40cm</t>
  </si>
  <si>
    <t>ROS01-CO0367</t>
  </si>
  <si>
    <t>ROSE / Pink xpression 40cm</t>
  </si>
  <si>
    <t>ROS01-CO0368</t>
  </si>
  <si>
    <t>ROSE / Pink xpression 60cm</t>
  </si>
  <si>
    <t>ROS01-CO0369</t>
  </si>
  <si>
    <t>ROSE / Playa Blanca 40cm</t>
  </si>
  <si>
    <t>ROS01-CO0370</t>
  </si>
  <si>
    <t>ROSE / Playa Blanca 60cm</t>
  </si>
  <si>
    <t>ROS01-CO0371</t>
  </si>
  <si>
    <t>ROSE / Proud 40cm</t>
  </si>
  <si>
    <t>ROS01-CO0372</t>
  </si>
  <si>
    <t>ROSE / Proud 60cm</t>
  </si>
  <si>
    <t>ROS01-CO0373</t>
  </si>
  <si>
    <t>ROSE / Quick Sand 40cm</t>
  </si>
  <si>
    <t>ROS01-CO0374</t>
  </si>
  <si>
    <t>ROSE / Quick Sand 60cm</t>
  </si>
  <si>
    <t>ROS01-CO0375</t>
  </si>
  <si>
    <t>ROSE / Ragazza 40cm</t>
  </si>
  <si>
    <t>ROS01-CO0376</t>
  </si>
  <si>
    <t>ROSE / Red Panther 40cm</t>
  </si>
  <si>
    <t>ROS01-CO0377</t>
  </si>
  <si>
    <t>ROSE / Red Panther 60cm</t>
  </si>
  <si>
    <t>ROS01-CO0378</t>
  </si>
  <si>
    <t>ROSE / Royal Pink 40cm</t>
  </si>
  <si>
    <t>ROS01-CO0379</t>
  </si>
  <si>
    <t>ROSE / Saga 40cm</t>
  </si>
  <si>
    <t>ROS01-CO0380</t>
  </si>
  <si>
    <t>ROSE / Saga 60cm</t>
  </si>
  <si>
    <t>ROS01-CO0381</t>
  </si>
  <si>
    <t>ROSE / Shimmer 40cm</t>
  </si>
  <si>
    <t>ROS01-CO0382</t>
  </si>
  <si>
    <t>ROSE / Shimmer 60cm</t>
  </si>
  <si>
    <t>ROS01-CO0384</t>
  </si>
  <si>
    <t>SPRAY ROSE / Bali 40cm</t>
  </si>
  <si>
    <t>ROS01-CO0385</t>
  </si>
  <si>
    <t>ROSE / Spray Majorica 40cm</t>
  </si>
  <si>
    <t>ROS01-CO0386</t>
  </si>
  <si>
    <t>ROSE / Star Platinum(Lavender) 40cm</t>
  </si>
  <si>
    <t>ROS01-CO0387</t>
  </si>
  <si>
    <t>ROSE / Star Platinum(Lavender) 60cm</t>
  </si>
  <si>
    <t>ROS01-CO0388</t>
  </si>
  <si>
    <t>ROSE / Sugar Doll 40cm</t>
  </si>
  <si>
    <t>ROS01-CO0389</t>
  </si>
  <si>
    <t>ROSE / Super Nova 40cm</t>
  </si>
  <si>
    <t>ROS01-CO0390</t>
  </si>
  <si>
    <t>ROSE / Sweet Sofia 40cm</t>
  </si>
  <si>
    <t>ROS01-CO0391</t>
  </si>
  <si>
    <t>ROSE / Sweet Sofia 60cm</t>
  </si>
  <si>
    <t>ROS01-CO0392</t>
  </si>
  <si>
    <t>ROSE / Sweetness(Ossimo) 40cm</t>
  </si>
  <si>
    <t>ROS01-CO0393</t>
  </si>
  <si>
    <t>ROSE / Sweetness(Ossimo) 60cm</t>
  </si>
  <si>
    <t>ROS01-CO0394</t>
  </si>
  <si>
    <t>ROSE / Tiffany 40cm</t>
  </si>
  <si>
    <t>ROS01-CO0395</t>
  </si>
  <si>
    <t>ROSE / Tiffany 60cm</t>
  </si>
  <si>
    <t>ROS01-CO0396</t>
  </si>
  <si>
    <t>ROSE / Tinted Aurora 40cm</t>
  </si>
  <si>
    <t>ROS01-CO0397</t>
  </si>
  <si>
    <t>ROSE / Tinted Black 40cm</t>
  </si>
  <si>
    <t>ROS01-CO0398</t>
  </si>
  <si>
    <t>ROSE / Tinted Blue 40cm</t>
  </si>
  <si>
    <t>ROS01-CO0399</t>
  </si>
  <si>
    <t>ROSE / Tinted Mirabel 40cm</t>
  </si>
  <si>
    <t>ROS01-CO0400</t>
  </si>
  <si>
    <t>ROSE / Vendela 40cm</t>
  </si>
  <si>
    <t>ROS01-CO0401</t>
  </si>
  <si>
    <t>ROSE / Vendela 60cm</t>
  </si>
  <si>
    <t>ROS01-CO0402</t>
  </si>
  <si>
    <t>ROSE / White Ohara 40cm</t>
  </si>
  <si>
    <t>ROS01-CO0403</t>
  </si>
  <si>
    <t>ROSE / White Shimmer 40cm</t>
  </si>
  <si>
    <t>ROS01-CO0404</t>
  </si>
  <si>
    <t>ROSE / White Shimmer 60cm</t>
  </si>
  <si>
    <t>ROS01-CO0405</t>
  </si>
  <si>
    <t>ROSE / High&amp;Arena 50cm</t>
  </si>
  <si>
    <t>ROS01-CO0406</t>
  </si>
  <si>
    <t>ROSE / Tinted Black 50cm</t>
  </si>
  <si>
    <t>ROS01-CO126</t>
  </si>
  <si>
    <t>ROSE / Queens Crown</t>
  </si>
  <si>
    <t>ROS01-CO210</t>
  </si>
  <si>
    <t>ROSE / Spray Majorica</t>
  </si>
  <si>
    <t>ROS01-CO211</t>
  </si>
  <si>
    <t>ROSE / Mini Garden Mix</t>
  </si>
  <si>
    <t>ROS01-CO212</t>
  </si>
  <si>
    <t>SPRAY ROSE / Bellalinda Cerise</t>
  </si>
  <si>
    <t>ROS01-CO213</t>
  </si>
  <si>
    <t>SPRAY ROSE / Bellalinda Cream</t>
  </si>
  <si>
    <t>ROS01-CO214</t>
  </si>
  <si>
    <t>SPRAY ROSE / Bellalinda Glee</t>
  </si>
  <si>
    <t>ROS01-CO215</t>
  </si>
  <si>
    <t>SPRAY ROSE / Yellow</t>
  </si>
  <si>
    <t>ROS01-EC0001</t>
  </si>
  <si>
    <t>Ecuador Candy X-pression</t>
  </si>
  <si>
    <t>ROS01-EC0002</t>
  </si>
  <si>
    <t>Ecuador Coral X-pression</t>
  </si>
  <si>
    <t>ROS01-EC0003</t>
  </si>
  <si>
    <t>Ecuador Cream Carpediem</t>
  </si>
  <si>
    <t>ROS01-EC0004</t>
  </si>
  <si>
    <t>Ecuador Mayra Rose Bridal Pink</t>
  </si>
  <si>
    <t>ROS01-EC0005</t>
  </si>
  <si>
    <t>Ecuador Mayra Rose Pink</t>
  </si>
  <si>
    <t>ROS01-EC0006</t>
  </si>
  <si>
    <t>Ecuador Tinted Whisper</t>
  </si>
  <si>
    <t>ROS01-EC0007</t>
  </si>
  <si>
    <t>Ecuador Tinted Aquamarine</t>
  </si>
  <si>
    <t>ROS01-EC0008</t>
  </si>
  <si>
    <t>ROS01-EC0009</t>
  </si>
  <si>
    <t>Ecuador Tinted Butter Brew</t>
  </si>
  <si>
    <t>ROS01-EC0010</t>
  </si>
  <si>
    <t>Ecuador Tinted Shiny Pearl AS047</t>
  </si>
  <si>
    <t>ROS01-EC0011</t>
  </si>
  <si>
    <t>Ecuador Tinted Eucalyptus (ro)</t>
  </si>
  <si>
    <t>ROS01-EC0012</t>
  </si>
  <si>
    <t>Ecuador Mondial White</t>
  </si>
  <si>
    <t>ROS01-EC0013</t>
  </si>
  <si>
    <t>Ecuador Mondial Pink</t>
  </si>
  <si>
    <t>ROS01-EC0014</t>
  </si>
  <si>
    <t>Ecuador Tinted Lavender</t>
  </si>
  <si>
    <t>ROS01-EC0015</t>
  </si>
  <si>
    <t>Ecuador Tinted Light Blue</t>
  </si>
  <si>
    <t>ROS01-EC0016</t>
  </si>
  <si>
    <t>Ecuador Tinted Green White</t>
  </si>
  <si>
    <t>ROS01-EC0017</t>
  </si>
  <si>
    <t>Ecuador Tinted Turquoise</t>
  </si>
  <si>
    <t>ROS01-EC0018</t>
  </si>
  <si>
    <t>Ecuador Tinted Eucalyptus (flo)</t>
  </si>
  <si>
    <t>ROS01-EC0019</t>
  </si>
  <si>
    <t>Ecuador Tinted Cosmic Blue</t>
  </si>
  <si>
    <t>ROS01-EC0020</t>
  </si>
  <si>
    <t>Ecuador Tinted Teal</t>
  </si>
  <si>
    <t>ROS01-EC0021</t>
  </si>
  <si>
    <t>Ecuador Tinted M0091</t>
  </si>
  <si>
    <t>ROS01-EC0022</t>
  </si>
  <si>
    <t>Ecuador Tinted M0058</t>
  </si>
  <si>
    <t>ROS01-EC0023</t>
  </si>
  <si>
    <t>Ecuador Tinted M0095</t>
  </si>
  <si>
    <t>ROS01-EC0024</t>
  </si>
  <si>
    <t>Ecuador Candy X-pression (te)</t>
  </si>
  <si>
    <t>ROS01-EC0025</t>
  </si>
  <si>
    <t>Ecuador Enchantment</t>
  </si>
  <si>
    <t>ROS01-EC0026</t>
  </si>
  <si>
    <t>Ecuador Sweet Escimo</t>
  </si>
  <si>
    <t>ROS01-EC0027</t>
  </si>
  <si>
    <t>Ecuador Kahala</t>
  </si>
  <si>
    <t>ROS01-EC0028</t>
  </si>
  <si>
    <t>Ecuador Sweet Unique</t>
  </si>
  <si>
    <t>ROS01-EC0029</t>
  </si>
  <si>
    <t>Ecuador Spray Wedding Sensation</t>
  </si>
  <si>
    <t>ROS01-EC0030</t>
  </si>
  <si>
    <t>Ecuador Spray White Majolika</t>
  </si>
  <si>
    <t>ROS01-EC0031</t>
  </si>
  <si>
    <t>Ecuador Spray B.S Vela</t>
  </si>
  <si>
    <t>ROS01-EC0032</t>
  </si>
  <si>
    <t>Ecuador Spray Blue Moon</t>
  </si>
  <si>
    <t>ROS01-EC0033</t>
  </si>
  <si>
    <t>Ecuador Spray Sahara Sensation</t>
  </si>
  <si>
    <t>ROS01-EC0035</t>
  </si>
  <si>
    <t>Ecuador Mayra Rose White</t>
  </si>
  <si>
    <t>ROS01-EC0036</t>
  </si>
  <si>
    <t>Ecuador Tinted Pistachio</t>
  </si>
  <si>
    <t>ROS01-EC0037</t>
  </si>
  <si>
    <t>Ecuador Tinted Light Purple D71</t>
  </si>
  <si>
    <t>ROS01-EC0038</t>
  </si>
  <si>
    <t>Ecuador Tinted Cleste</t>
  </si>
  <si>
    <t>ROS01-EC0039</t>
  </si>
  <si>
    <t>Ecuador Tinted Sweet Lavender AS198</t>
  </si>
  <si>
    <t>ROS01-EC0040</t>
  </si>
  <si>
    <t>Ecuador Tinted Azure AS244</t>
  </si>
  <si>
    <t>ROS01-EC0041</t>
  </si>
  <si>
    <t>Ecuador Tinted Blush AS243</t>
  </si>
  <si>
    <t>ROS01-EC0042</t>
  </si>
  <si>
    <t>ROS01-EC0043</t>
  </si>
  <si>
    <t>Ecuador Tinted Cocoa fairy</t>
  </si>
  <si>
    <t>ROS01-EC0044</t>
  </si>
  <si>
    <t>Ecuador Tinted Sunset Bloom</t>
  </si>
  <si>
    <t>ROS01-EC0045</t>
  </si>
  <si>
    <t>Ecuador Eugenie</t>
  </si>
  <si>
    <t>ROS01-EC0046</t>
  </si>
  <si>
    <t>Ecuador Leonora</t>
  </si>
  <si>
    <t>ROS01-EC0047</t>
  </si>
  <si>
    <t>Ecuador Juliet</t>
  </si>
  <si>
    <t>ROS01-EC0048</t>
  </si>
  <si>
    <t>Ecuador RP Moab</t>
  </si>
  <si>
    <t>ROS01-EC0049</t>
  </si>
  <si>
    <t>Ecuador RP Aspen</t>
  </si>
  <si>
    <t>ROS01-EC0050</t>
  </si>
  <si>
    <t>Ecuador RP Flamingo</t>
  </si>
  <si>
    <t>ROS01-EC0051</t>
  </si>
  <si>
    <t>Ecuador RP Tundra</t>
  </si>
  <si>
    <t>ROS01-EC0052</t>
  </si>
  <si>
    <t>Ecuador Tibet</t>
  </si>
  <si>
    <t>ROS01-EC0053</t>
  </si>
  <si>
    <t>Ecuador Polo</t>
  </si>
  <si>
    <t>ROS01-EC0054</t>
  </si>
  <si>
    <t>Ecuador Playa Blanca (ro)</t>
  </si>
  <si>
    <t>ROS01-EC0055</t>
  </si>
  <si>
    <t>Ecuador Playa Blanca (rosaprima)</t>
  </si>
  <si>
    <t>ROS01-EC0056</t>
  </si>
  <si>
    <t>Ecuador Tinted Dreamy Twilight</t>
  </si>
  <si>
    <t>ROS01-EC0057</t>
  </si>
  <si>
    <t>Ecuador Tinted Mistic Haze</t>
  </si>
  <si>
    <t>ROS01-EC0058</t>
  </si>
  <si>
    <t>Ecuador Tinted Pastel Delight</t>
  </si>
  <si>
    <t>ROS01-EC0059</t>
  </si>
  <si>
    <t xml:space="preserve">Ecuador Dark Expression </t>
  </si>
  <si>
    <t>ROS01-EC0060</t>
  </si>
  <si>
    <t>Ecuador Mayra Rose Hot Pink</t>
  </si>
  <si>
    <t>ROS01-EC0061</t>
  </si>
  <si>
    <t>Ecuador Full Monty</t>
  </si>
  <si>
    <t>ROS01-EC0062</t>
  </si>
  <si>
    <t>Ecuador Tinted Butter Cream</t>
  </si>
  <si>
    <t>ROS01-EC0063</t>
  </si>
  <si>
    <t>Ecuador Mayra Rose Red</t>
  </si>
  <si>
    <t>ROS01-EC0064</t>
  </si>
  <si>
    <t>Ecuador Proud</t>
  </si>
  <si>
    <t>ROS01-EC0065</t>
  </si>
  <si>
    <t>Ecuador X-mas Red Silver</t>
  </si>
  <si>
    <t>ROS01-EC0066</t>
  </si>
  <si>
    <t>Ecuador X-mas Red Gold</t>
  </si>
  <si>
    <t>ROS01-EC0067</t>
  </si>
  <si>
    <t>Ecuador Choco Bloom AS73</t>
  </si>
  <si>
    <t>ROS01-EC0068</t>
  </si>
  <si>
    <t>Ecuador Coffe</t>
  </si>
  <si>
    <t>ROS01-EC0069</t>
  </si>
  <si>
    <t>Ecuador Chapucino</t>
  </si>
  <si>
    <t>ROS01-EC0070</t>
  </si>
  <si>
    <t>Ecuador Gala AS 43</t>
  </si>
  <si>
    <t>ROS01-EC0071</t>
  </si>
  <si>
    <t xml:space="preserve">Ecuador Channel  AS154 </t>
  </si>
  <si>
    <t>ROS01-EC0072</t>
  </si>
  <si>
    <t>Ecuador Celeste</t>
  </si>
  <si>
    <t>ROS01-ET0001</t>
  </si>
  <si>
    <t>Rose Bissou 60cm</t>
  </si>
  <si>
    <t>에티오피아</t>
  </si>
  <si>
    <t>ROS01-ET0002</t>
  </si>
  <si>
    <t>Rose Blush 60cm</t>
  </si>
  <si>
    <t>ROS01-ET0003</t>
  </si>
  <si>
    <t>Rose Candlelight 60cm</t>
  </si>
  <si>
    <t>ROS01-ET0004</t>
  </si>
  <si>
    <t>Rose Event 60cm</t>
  </si>
  <si>
    <t>ROS01-ET0005</t>
  </si>
  <si>
    <t>Rose Hight Society 60cm</t>
  </si>
  <si>
    <t>ROS01-ET0006</t>
  </si>
  <si>
    <t>Rose Lovely Jewel 60cm</t>
  </si>
  <si>
    <t>ROS01-ET0007</t>
  </si>
  <si>
    <t>Rose Pink Athena 60cm</t>
  </si>
  <si>
    <t>ROS01-ET0008</t>
  </si>
  <si>
    <t>Rose Athena 60cm</t>
  </si>
  <si>
    <t>ROS01-ET0010</t>
  </si>
  <si>
    <t>Rose Momentum 60cm</t>
  </si>
  <si>
    <t>ROS01-ET0011</t>
  </si>
  <si>
    <t>Rose Spark Condor 60cm</t>
  </si>
  <si>
    <t>ROS01-ET0012</t>
  </si>
  <si>
    <t>Rose Tacazzi 60cm</t>
  </si>
  <si>
    <t>ROS01-ET0013</t>
  </si>
  <si>
    <t>Rose Orange Wave 60cm</t>
  </si>
  <si>
    <t>ROS01-ET0014</t>
  </si>
  <si>
    <t>Rose Royal Jewel</t>
  </si>
  <si>
    <t>ROS01-ET0015</t>
  </si>
  <si>
    <t>Rose Top Fair 60cm</t>
  </si>
  <si>
    <t>ROS01-ET0016</t>
  </si>
  <si>
    <t>Rose Wham 60cm</t>
  </si>
  <si>
    <t>ROS01-ET0017</t>
  </si>
  <si>
    <t>Rose Upper Class 60cm</t>
  </si>
  <si>
    <t>ROS01-ET0018</t>
  </si>
  <si>
    <t>Rose La Belle 60cm</t>
  </si>
  <si>
    <t>ROS01-ET0019</t>
  </si>
  <si>
    <t>Rose MoonWalk 60cm</t>
  </si>
  <si>
    <t>ROS01-ET0020</t>
  </si>
  <si>
    <t>Rose Seductive 60cm</t>
  </si>
  <si>
    <t>ROS01-ET0021</t>
  </si>
  <si>
    <t>Rose Count Down 60cm</t>
  </si>
  <si>
    <t>ROS01-ET0022</t>
  </si>
  <si>
    <t>Rose Rivival 60cm</t>
  </si>
  <si>
    <t>ROS01-ET0023</t>
  </si>
  <si>
    <t>Rose Madam Red 60cm</t>
  </si>
  <si>
    <t>ROS01-ET0024</t>
  </si>
  <si>
    <t>Rose Deep Purple 60cm</t>
  </si>
  <si>
    <t>ROS01-ET0025</t>
  </si>
  <si>
    <t>Rose Good Time 60cm</t>
  </si>
  <si>
    <t>ROS01-ET0026</t>
  </si>
  <si>
    <t>Rose Glow 60cm</t>
  </si>
  <si>
    <t>ROS01-ET0027</t>
  </si>
  <si>
    <t>Rose Fusia 60cm</t>
  </si>
  <si>
    <t>ROS01-ET0028</t>
  </si>
  <si>
    <t>Rose Kings Day</t>
  </si>
  <si>
    <t>ROS01-ET0029</t>
  </si>
  <si>
    <t>Rose Confidential 60cm</t>
  </si>
  <si>
    <t>ROS01-ET0030</t>
  </si>
  <si>
    <t>Rose Evered 60cm</t>
  </si>
  <si>
    <t>ROS01-ET0031</t>
  </si>
  <si>
    <t>Rose Paloma 60cm</t>
  </si>
  <si>
    <t>ROS01-ET0032</t>
  </si>
  <si>
    <t>Rose Minion Rose 60cm</t>
  </si>
  <si>
    <t>ROS01-ET0033</t>
  </si>
  <si>
    <t>Rose Mario 60cm</t>
  </si>
  <si>
    <t>ROS01-ET0034</t>
  </si>
  <si>
    <t>Rose Dream Girl</t>
  </si>
  <si>
    <t>ROS01-ET0035</t>
  </si>
  <si>
    <t>Rose Pink Tacazzi 60cm</t>
  </si>
  <si>
    <t>ROS01-ET0036</t>
  </si>
  <si>
    <t>Rose Espana 60cm</t>
  </si>
  <si>
    <t>ROS01-ET0037</t>
  </si>
  <si>
    <t>Rose Sounet</t>
  </si>
  <si>
    <t>ROS01-ET0038</t>
  </si>
  <si>
    <t>Rose Furiosa</t>
  </si>
  <si>
    <t>ROS01-ET0039</t>
  </si>
  <si>
    <t>Rose Madam Cerise 60cm</t>
  </si>
  <si>
    <t>ROS01-ET0040</t>
  </si>
  <si>
    <t>Rose Opalla 60cm</t>
  </si>
  <si>
    <t>ROS01-ET0041</t>
  </si>
  <si>
    <t>Spary Rose Orane Bebe 60cm</t>
  </si>
  <si>
    <t>ROS01-ET0042</t>
  </si>
  <si>
    <t>Bell Rose 60cm</t>
  </si>
  <si>
    <t>ROS01-ET0043</t>
  </si>
  <si>
    <t>Rose Jossie 60cm</t>
  </si>
  <si>
    <t>ROS01-ET0044</t>
  </si>
  <si>
    <t>Spary Rose Yellow Bebe 60cm</t>
  </si>
  <si>
    <t>ROS01-ET0045</t>
  </si>
  <si>
    <t>Rose Patz 60cm</t>
  </si>
  <si>
    <t>ROS01-ET0046</t>
  </si>
  <si>
    <t>Spary Rose Lianne 60cm</t>
  </si>
  <si>
    <t>ROS01-ET0047</t>
  </si>
  <si>
    <t>Spary Rose Fiction 60cm</t>
  </si>
  <si>
    <t>ROS01-ET0048</t>
  </si>
  <si>
    <t>Spary Rose Snow Flakes 60cm</t>
  </si>
  <si>
    <t>ROS01-ET0049</t>
  </si>
  <si>
    <t>Spary Rose Mirabel 60cm</t>
  </si>
  <si>
    <t>ROS01-ET0050</t>
  </si>
  <si>
    <t>Rose Burgandy 60cm</t>
  </si>
  <si>
    <t>ROS01-ET0051</t>
  </si>
  <si>
    <t>Rose Furiosa 60cm</t>
  </si>
  <si>
    <t>ROS01-ET0053</t>
  </si>
  <si>
    <t>Rose Sovnet 60cm</t>
  </si>
  <si>
    <t>ROS01-ET0054</t>
  </si>
  <si>
    <t>Spary Rose Fire Work 60cm</t>
  </si>
  <si>
    <t>ROS01-ET0055</t>
  </si>
  <si>
    <t>Rose News Flash 60cm</t>
  </si>
  <si>
    <t>ROS01-ET0056</t>
  </si>
  <si>
    <t>Rose New Orleance 60cm</t>
  </si>
  <si>
    <t>ROS01-ET0057</t>
  </si>
  <si>
    <t>Spary Rose Tessa 60cm</t>
  </si>
  <si>
    <t>ROS01-ET0058</t>
  </si>
  <si>
    <t>Rose Snow Storm 60cm</t>
  </si>
  <si>
    <t>ROS01-ET0059</t>
  </si>
  <si>
    <t>Rose Orchestra 60cm</t>
  </si>
  <si>
    <t>ROS01-ET0060</t>
  </si>
  <si>
    <t>Rose Ace Pink 60cm</t>
  </si>
  <si>
    <t>ROS01-ET0061</t>
  </si>
  <si>
    <t>Spary Rose Odilia 60cm</t>
  </si>
  <si>
    <t>ROS01-ET0062</t>
  </si>
  <si>
    <t>Spary Rose Lady Binbastic 60cm</t>
  </si>
  <si>
    <t>ROS01-ET0063</t>
  </si>
  <si>
    <t>Spary Rose Madam Bombastic 60cm</t>
  </si>
  <si>
    <t>ROS01-ET0064</t>
  </si>
  <si>
    <t>Spary Rose Eye Liner 60cm</t>
  </si>
  <si>
    <t>ROS01-ET0065</t>
  </si>
  <si>
    <t>Spary Rose Salinero 60cm</t>
  </si>
  <si>
    <t>ROS01-ET0066</t>
  </si>
  <si>
    <t>Rose Red Tacazzi 60cm</t>
  </si>
  <si>
    <t>ROS01-ET0067</t>
  </si>
  <si>
    <t>Rose Magico 60cm</t>
  </si>
  <si>
    <t>ROS01-ET0068</t>
  </si>
  <si>
    <t>Rose Orient 60cm</t>
  </si>
  <si>
    <t>ROS01-ET0069</t>
  </si>
  <si>
    <t>Rose Mono Mix 60cm</t>
  </si>
  <si>
    <t>ROS01-ET0070</t>
  </si>
  <si>
    <t>Spray Rose Mix 60cm</t>
  </si>
  <si>
    <t>ROS01-ET0071</t>
  </si>
  <si>
    <t>Rose Melanga 60cm</t>
  </si>
  <si>
    <t>ROS01-ET0072</t>
  </si>
  <si>
    <t>Rose Royal Athena 60cm</t>
  </si>
  <si>
    <t>ROS01-ET0073</t>
  </si>
  <si>
    <t>Rose Eliza 60cm</t>
  </si>
  <si>
    <t>ROS01-ET0074</t>
  </si>
  <si>
    <t>Rose Grand Europe 60cm</t>
  </si>
  <si>
    <t>ROS01-ET0075</t>
  </si>
  <si>
    <t>Rose Vanilla 60cm</t>
  </si>
  <si>
    <t>ROS01-ET0076</t>
  </si>
  <si>
    <t>Rose Rascuss 60cm</t>
  </si>
  <si>
    <t>ROS01-ET0077</t>
  </si>
  <si>
    <t>Rose Bissou 50cm</t>
  </si>
  <si>
    <t>ROS01-ET0078</t>
  </si>
  <si>
    <t>Rose Blush 50cm</t>
  </si>
  <si>
    <t>ROS01-ET0079</t>
  </si>
  <si>
    <t>Rose Candlelight 50cm</t>
  </si>
  <si>
    <t>ROS01-ET0080</t>
  </si>
  <si>
    <t>Rose Event 50cm</t>
  </si>
  <si>
    <t>ROS01-ET0081</t>
  </si>
  <si>
    <t>Rose Hight Society 50cm</t>
  </si>
  <si>
    <t>ROS01-ET0082</t>
  </si>
  <si>
    <t>Rose Lovely Jewel 50cm</t>
  </si>
  <si>
    <t>ROS01-ET0083</t>
  </si>
  <si>
    <t>Rose Pink Athena 50cm</t>
  </si>
  <si>
    <t>ROS01-ET0084</t>
  </si>
  <si>
    <t>Rose Patz 50cm</t>
  </si>
  <si>
    <t>ROS01-ET0085</t>
  </si>
  <si>
    <t>Rose Momentum 50cm</t>
  </si>
  <si>
    <t>ROS01-ET0086</t>
  </si>
  <si>
    <t>Rose Spark Condor 50cm</t>
  </si>
  <si>
    <t>ROS01-ET0087</t>
  </si>
  <si>
    <t>Rose Tacazzi 50cm</t>
  </si>
  <si>
    <t>ROS01-ET0088</t>
  </si>
  <si>
    <t>Rose Orange Wave 50cm</t>
  </si>
  <si>
    <t>ROS01-ET0089</t>
  </si>
  <si>
    <t>Rose Top Fair 50cm</t>
  </si>
  <si>
    <t>ROS01-ET0090</t>
  </si>
  <si>
    <t>Rose Wham 50cm</t>
  </si>
  <si>
    <t>ROS01-ET0091</t>
  </si>
  <si>
    <t>Rose Upper Class 50cm</t>
  </si>
  <si>
    <t>ROS01-ET0092</t>
  </si>
  <si>
    <t>Rose La Belle 50cm</t>
  </si>
  <si>
    <t>ROS01-ET0093</t>
  </si>
  <si>
    <t>Rose MoonWalk 50cm</t>
  </si>
  <si>
    <t>ROS01-ET0094</t>
  </si>
  <si>
    <t>Rose Seductive 50cm</t>
  </si>
  <si>
    <t>ROS01-ET0095</t>
  </si>
  <si>
    <t>Rose Count Down 50cm</t>
  </si>
  <si>
    <t>ROS01-ET0096</t>
  </si>
  <si>
    <t>Rose Rivival 50cm</t>
  </si>
  <si>
    <t>ROS01-ET0097</t>
  </si>
  <si>
    <t>Rose Madam Red 50cm</t>
  </si>
  <si>
    <t>ROS01-ET0098</t>
  </si>
  <si>
    <t>Rose Deep Purple 50cm</t>
  </si>
  <si>
    <t>ROS01-ET0099</t>
  </si>
  <si>
    <t>Rose Good Time 50cm</t>
  </si>
  <si>
    <t>ROS01-ET0100</t>
  </si>
  <si>
    <t>Rose Glow 50cm</t>
  </si>
  <si>
    <t>ROS01-ET0101</t>
  </si>
  <si>
    <t>Rose Fusia 50cm</t>
  </si>
  <si>
    <t>ROS01-ET0102</t>
  </si>
  <si>
    <t>Rose Confidential 50cm</t>
  </si>
  <si>
    <t>ROS01-ET0103</t>
  </si>
  <si>
    <t>Rose Evered 50cm</t>
  </si>
  <si>
    <t>ROS01-ET0104</t>
  </si>
  <si>
    <t>Rose Paloma 50cm</t>
  </si>
  <si>
    <t>ROS01-ET0105</t>
  </si>
  <si>
    <t>Rose Minion Rose 50cm</t>
  </si>
  <si>
    <t>ROS01-ET0106</t>
  </si>
  <si>
    <t>Rose Mario 50cm</t>
  </si>
  <si>
    <t>ROS01-ET0107</t>
  </si>
  <si>
    <t>Rose Pink Tacazzi 50cm</t>
  </si>
  <si>
    <t>ROS01-ET0108</t>
  </si>
  <si>
    <t>Rose Espana 50cm</t>
  </si>
  <si>
    <t>ROS01-ET0109</t>
  </si>
  <si>
    <t>Rose Madam Cerise 50cm</t>
  </si>
  <si>
    <t>ROS01-ET0110</t>
  </si>
  <si>
    <t>Rose Opalla 50cm</t>
  </si>
  <si>
    <t>ROS01-ET0111</t>
  </si>
  <si>
    <t>Spary Rose Orane Bebe 50cm</t>
  </si>
  <si>
    <t>ROS01-ET0112</t>
  </si>
  <si>
    <t>Bell Rose 50cm</t>
  </si>
  <si>
    <t>ROS01-ET0113</t>
  </si>
  <si>
    <t>Rose Jossie 50cm</t>
  </si>
  <si>
    <t>ROS01-ET0114</t>
  </si>
  <si>
    <t>Spary Rose Yellow Bebe 50cm</t>
  </si>
  <si>
    <t>ROS01-ET0116</t>
  </si>
  <si>
    <t>Spary Rose Lianne 50cm</t>
  </si>
  <si>
    <t>ROS01-ET0117</t>
  </si>
  <si>
    <t>Spary Rose Fiction 50cm</t>
  </si>
  <si>
    <t>ROS01-ET0118</t>
  </si>
  <si>
    <t>Spary Rose Snow Flakes 50cm</t>
  </si>
  <si>
    <t>ROS01-ET0119</t>
  </si>
  <si>
    <t>Spary Rose Mirabel 50cm</t>
  </si>
  <si>
    <t>ROS01-ET0120</t>
  </si>
  <si>
    <t>Rose Burgandy 50cm</t>
  </si>
  <si>
    <t>ROS01-ET0121</t>
  </si>
  <si>
    <t>Rose Furiosa 50cm</t>
  </si>
  <si>
    <t>ROS01-ET0123</t>
  </si>
  <si>
    <t>Rose Sovnet 50cm</t>
  </si>
  <si>
    <t>ROS01-ET0124</t>
  </si>
  <si>
    <t>Spary Rose Fire Work 50cm</t>
  </si>
  <si>
    <t>ROS01-ET0125</t>
  </si>
  <si>
    <t>Rose News Flash 50cm</t>
  </si>
  <si>
    <t>ROS01-ET0126</t>
  </si>
  <si>
    <t>Rose New Orleance 50cm</t>
  </si>
  <si>
    <t>ROS01-ET0127</t>
  </si>
  <si>
    <t>Spary Rose Tessa 50cm</t>
  </si>
  <si>
    <t>ROS01-ET0128</t>
  </si>
  <si>
    <t>Rose Snow Storm 50cm</t>
  </si>
  <si>
    <t>ROS01-ET0129</t>
  </si>
  <si>
    <t>Rose Orchestra 50cm</t>
  </si>
  <si>
    <t>ROS01-ET0130</t>
  </si>
  <si>
    <t>Rose Ace Pink 50cm</t>
  </si>
  <si>
    <t>ROS01-ET0131</t>
  </si>
  <si>
    <t>Spary Rose Odilia 50cm</t>
  </si>
  <si>
    <t>ROS01-ET0132</t>
  </si>
  <si>
    <t>Spary Rose Lady Binbastic 50cm</t>
  </si>
  <si>
    <t>ROS01-ET0133</t>
  </si>
  <si>
    <t>Spary Rose Madam Bombastic 50cm</t>
  </si>
  <si>
    <t>ROS01-ET0134</t>
  </si>
  <si>
    <t>Spary Rose Eye Liner 50cm</t>
  </si>
  <si>
    <t>ROS01-ET0135</t>
  </si>
  <si>
    <t>Spary Rose Salinero 50cm</t>
  </si>
  <si>
    <t>ROS01-ET0136</t>
  </si>
  <si>
    <t>Rose Red Tacazzi 50cm</t>
  </si>
  <si>
    <t>ROS01-ET0137</t>
  </si>
  <si>
    <t>Rose Magico 50cm</t>
  </si>
  <si>
    <t>ROS01-ET0138</t>
  </si>
  <si>
    <t>Rose Orient 50cm</t>
  </si>
  <si>
    <t>ROS01-ET0139</t>
  </si>
  <si>
    <t>Rose Mono Mix 50cm</t>
  </si>
  <si>
    <t>ROS01-ET0140</t>
  </si>
  <si>
    <t>Spray Rose Mix 50cm</t>
  </si>
  <si>
    <t>ROS01-ET0141</t>
  </si>
  <si>
    <t>Rose Melanga 50cm</t>
  </si>
  <si>
    <t>ROS01-ET0142</t>
  </si>
  <si>
    <t>Rose Royal Athena 50cm</t>
  </si>
  <si>
    <t>ROS01-ET0143</t>
  </si>
  <si>
    <t>Rose Eliza 50cm</t>
  </si>
  <si>
    <t>ROS01-ET0144</t>
  </si>
  <si>
    <t>Rose Grand Europe 50cm</t>
  </si>
  <si>
    <t>ROS01-ET0145</t>
  </si>
  <si>
    <t>Rose Vanilla 50cm</t>
  </si>
  <si>
    <t>ROS01-ET0146</t>
  </si>
  <si>
    <t>Rose Rascuss 50cm</t>
  </si>
  <si>
    <t>ROS01-NL0001</t>
  </si>
  <si>
    <t>Garden Rosa O hara Pink 50cm</t>
  </si>
  <si>
    <t>ROS01-NL0002</t>
  </si>
  <si>
    <t>Garden Rosa O hara White 50cm</t>
  </si>
  <si>
    <t>ROS01-NL0003</t>
  </si>
  <si>
    <t>Garden Rosa White Cloud</t>
  </si>
  <si>
    <t>ROS01-NL0004</t>
  </si>
  <si>
    <t>Rosa David Austin Beatrice 45cm</t>
  </si>
  <si>
    <t>ROS01-NL0005</t>
  </si>
  <si>
    <t>Rosa David Austin Dancey</t>
  </si>
  <si>
    <t>ROS01-NL0006</t>
  </si>
  <si>
    <t>Rosa David Austin Prinsess Kiahi</t>
  </si>
  <si>
    <t>ROS01-NL0007</t>
  </si>
  <si>
    <t>Rosa Dolce Summerhouse</t>
  </si>
  <si>
    <t>ROS01-NL0008</t>
  </si>
  <si>
    <t>Rosa Mashad</t>
  </si>
  <si>
    <t>ROS01-NL0009</t>
  </si>
  <si>
    <t>Rosa Shiraz</t>
  </si>
  <si>
    <t>ROS01-NL0010</t>
  </si>
  <si>
    <t>Rosa Spray Mirabel</t>
  </si>
  <si>
    <t>ROS01-NL0011</t>
  </si>
  <si>
    <t>Rosa Spray Odilia</t>
  </si>
  <si>
    <t>ROS01-NL0012</t>
  </si>
  <si>
    <t>Rosa Spray Yellow Babe</t>
  </si>
  <si>
    <t>ROS01-NL0014</t>
  </si>
  <si>
    <t>ROSE Dark Expression</t>
  </si>
  <si>
    <t>RUS01-CO0001</t>
  </si>
  <si>
    <t>Ruscus Green</t>
  </si>
  <si>
    <t>SAL01-US0001</t>
  </si>
  <si>
    <t>SALAL TIPS</t>
  </si>
  <si>
    <t>SAN01-NL00001</t>
  </si>
  <si>
    <t>Sandersonia</t>
  </si>
  <si>
    <t>샌더소니아</t>
  </si>
  <si>
    <t>SAN01-NL0001</t>
  </si>
  <si>
    <t>Sanguisorba Pink Tann</t>
  </si>
  <si>
    <t>오이초</t>
  </si>
  <si>
    <t>SAN01-NL0002</t>
  </si>
  <si>
    <t>Sanguisorba Officinalis Red Dream 80cm</t>
  </si>
  <si>
    <t>SAP01-NL0001</t>
  </si>
  <si>
    <t>Saponaria D/Purple</t>
  </si>
  <si>
    <t>사포나리아</t>
  </si>
  <si>
    <t>SAP01-NL0002</t>
  </si>
  <si>
    <t>Saponaria L/Purple</t>
  </si>
  <si>
    <t>SAP01-NL0003</t>
  </si>
  <si>
    <t>Saponaria Lavender</t>
  </si>
  <si>
    <t>SAP01-NL0004</t>
  </si>
  <si>
    <t>Saponaria Pink</t>
  </si>
  <si>
    <t>SAP01-NL0006</t>
  </si>
  <si>
    <t>Saponaria Stellata</t>
  </si>
  <si>
    <t>SAP01-NL0007</t>
  </si>
  <si>
    <t>Saponaria White</t>
  </si>
  <si>
    <t>SER01-AU0001</t>
  </si>
  <si>
    <t>Serruria Florida (50cm) Pink</t>
  </si>
  <si>
    <t>세루리아</t>
  </si>
  <si>
    <t>SER01-AU0002</t>
  </si>
  <si>
    <t>Serruria Florida (50cm) White</t>
  </si>
  <si>
    <t>SKI01-NL0001</t>
  </si>
  <si>
    <t>Skimmia / Champagne</t>
  </si>
  <si>
    <t>스키미아</t>
  </si>
  <si>
    <t>SKI01-NL0002</t>
  </si>
  <si>
    <t>Skimmia / Conf Kew Ger Green</t>
  </si>
  <si>
    <t>그린</t>
  </si>
  <si>
    <t>SKI01-NL0003</t>
  </si>
  <si>
    <t>Skimmia / Copper</t>
  </si>
  <si>
    <t>SKI01-NL0004</t>
  </si>
  <si>
    <t>Skimmia / Finchy Snow</t>
  </si>
  <si>
    <t>SKI01-NL0005</t>
  </si>
  <si>
    <t>Skimmia / Gold</t>
  </si>
  <si>
    <t>SKI01-NL0006</t>
  </si>
  <si>
    <t>Skimmia / Jap Rubella Red</t>
  </si>
  <si>
    <t>SKI01-NL0007</t>
  </si>
  <si>
    <t>Skimmia / Platinum</t>
  </si>
  <si>
    <t>SKI01-NL0008</t>
  </si>
  <si>
    <t>Skimmia / Rose Gold</t>
  </si>
  <si>
    <t>SKI01-NL0009</t>
  </si>
  <si>
    <t>Skimmia / Silver</t>
  </si>
  <si>
    <t>SKI01-NL0010</t>
  </si>
  <si>
    <t>Skimmia / Jap Rubella Frost</t>
  </si>
  <si>
    <t>STE01-AU0001</t>
  </si>
  <si>
    <t>Stenocarpus</t>
  </si>
  <si>
    <t>스테노</t>
  </si>
  <si>
    <t>STI01-NL0001</t>
  </si>
  <si>
    <t>Stipa / Penatta</t>
  </si>
  <si>
    <t>스티파</t>
  </si>
  <si>
    <t>SWE01-NL0001</t>
  </si>
  <si>
    <t>Sweet Pea / Lathyrus Blue</t>
  </si>
  <si>
    <t>스위트피</t>
  </si>
  <si>
    <t>SWE01-NL0002</t>
  </si>
  <si>
    <t>Sweet Pea / Lathyrus Champagne</t>
  </si>
  <si>
    <t>SWE01-NL0003</t>
  </si>
  <si>
    <t>Sweet Pea / Lathyrus Creem</t>
  </si>
  <si>
    <t>SWE01-NL0004</t>
  </si>
  <si>
    <t>Sweet Pea / Lathyrus Dyed Pumpkin Magic</t>
  </si>
  <si>
    <t>SWE01-NL0005</t>
  </si>
  <si>
    <t>Sweet Pea / Lathyrus Dyed Sunrise</t>
  </si>
  <si>
    <t>SWE01-NL0006</t>
  </si>
  <si>
    <t>Sweet Pea / Lathyrus Lavender</t>
  </si>
  <si>
    <t>SWE01-NL0007</t>
  </si>
  <si>
    <t>Sweet Pea / Lathyrus Lila</t>
  </si>
  <si>
    <t>SWE01-NL0008</t>
  </si>
  <si>
    <t>Sweet Pea / Lathyrus Mauve</t>
  </si>
  <si>
    <t>SWE01-NL0009</t>
  </si>
  <si>
    <t>Sweet Pea / Lathyrus Pale Pink</t>
  </si>
  <si>
    <t>SWE01-NL0010</t>
  </si>
  <si>
    <t>Sweet Pea / Lathyrus Parfum Orange</t>
  </si>
  <si>
    <t>SWE01-NL0011</t>
  </si>
  <si>
    <t>Sweet Pea / Lathyrus Pink</t>
  </si>
  <si>
    <t>SWE01-NL0012</t>
  </si>
  <si>
    <t>Sweet Pea / Lathyrus Purple</t>
  </si>
  <si>
    <t>SWE01-NL0013</t>
  </si>
  <si>
    <t>Sweet Pea / Lathyrus Salmon</t>
  </si>
  <si>
    <t>SWE01-NL0014</t>
  </si>
  <si>
    <t>Sweet Pea / Lathyrus Sunshine Pink</t>
  </si>
  <si>
    <t>SWE01-NL0015</t>
  </si>
  <si>
    <t>Sweet Pea / Lathyrus Sunshine Rose</t>
  </si>
  <si>
    <t>SWE01-NL0016</t>
  </si>
  <si>
    <t>Sweet Pea / Lathyrus Violet</t>
  </si>
  <si>
    <t>SWE01-NL0017</t>
  </si>
  <si>
    <t>Sweet Pea / Lathyrus Wedding Pink</t>
  </si>
  <si>
    <t>SWE01-NL0018</t>
  </si>
  <si>
    <t>Sweet Pea / Lathyrus White</t>
  </si>
  <si>
    <t>THR01-AU0001</t>
  </si>
  <si>
    <t>Thryptomene Calycina Blue</t>
  </si>
  <si>
    <t>쓰립톱</t>
  </si>
  <si>
    <t>THR01-AU0002</t>
  </si>
  <si>
    <t>Thryptomene Calycina Dyed Pink</t>
  </si>
  <si>
    <t>THR01-AU0003</t>
  </si>
  <si>
    <t>Thryptomene Calycina Green</t>
  </si>
  <si>
    <t>THR01-AU0004</t>
  </si>
  <si>
    <t>Thryptomene Calycina Natural Pink</t>
  </si>
  <si>
    <t>THR01-AU0005</t>
  </si>
  <si>
    <t>THR01-AU0006</t>
  </si>
  <si>
    <t>Thryptomene Calycina Orange</t>
  </si>
  <si>
    <t>THR01-AU0007</t>
  </si>
  <si>
    <t>Thryptomene Calycina Purple</t>
  </si>
  <si>
    <t>TRI01-NL0001</t>
  </si>
  <si>
    <t>Triteleia Blue 70cm</t>
  </si>
  <si>
    <t>트리트나리아</t>
  </si>
  <si>
    <t>TRI01-NL0002</t>
  </si>
  <si>
    <t>Triteleia L/Lavender 70cm</t>
  </si>
  <si>
    <t>TRI01-NL0003</t>
  </si>
  <si>
    <t>Triteleia Pink 70cm</t>
  </si>
  <si>
    <t>TRI01-NL0004</t>
  </si>
  <si>
    <t>Triteleia White 70cm</t>
  </si>
  <si>
    <t>TUL01-NL0001</t>
  </si>
  <si>
    <t>Tuliip / Double Strong Carlo</t>
  </si>
  <si>
    <t>튤립</t>
  </si>
  <si>
    <t>TUL01-NL0002</t>
  </si>
  <si>
    <t>Tuliip / Single Dyed Frost Brown</t>
  </si>
  <si>
    <t>TUL01-NL0003</t>
  </si>
  <si>
    <t>Tulip / Black Bean</t>
  </si>
  <si>
    <t>TUL01-NL0004</t>
  </si>
  <si>
    <t>Tulip / Body Builder</t>
  </si>
  <si>
    <t>TUL01-NL0005</t>
  </si>
  <si>
    <t>Tulip / Bolroyal Pink</t>
  </si>
  <si>
    <t>TUL01-NL0006</t>
  </si>
  <si>
    <t>Tulip / Brigitta Yellow</t>
  </si>
  <si>
    <t>TUL01-NL0007</t>
  </si>
  <si>
    <t>Tulip / Debutante</t>
  </si>
  <si>
    <t>TUL01-NL0008</t>
  </si>
  <si>
    <t>Tulip / Double Beth Hart</t>
  </si>
  <si>
    <t>TUL01-NL0009</t>
  </si>
  <si>
    <t>Tulip / Double Black Canyon</t>
  </si>
  <si>
    <t>TUL01-NL0010</t>
  </si>
  <si>
    <t>Tulip / Double Blue Diamond D/Purple</t>
  </si>
  <si>
    <t>TUL01-NL0011</t>
  </si>
  <si>
    <t>Tulip / Double Brigitta Yellow</t>
  </si>
  <si>
    <t>TUL01-NL0012</t>
  </si>
  <si>
    <t>Tulip / Double Caracas</t>
  </si>
  <si>
    <t>TUL01-NL0013</t>
  </si>
  <si>
    <t>Tulip / Double Cassandra</t>
  </si>
  <si>
    <t>TUL01-NL0014</t>
  </si>
  <si>
    <t>Tulip / Double Championship</t>
  </si>
  <si>
    <t>TUL01-NL0015</t>
  </si>
  <si>
    <t>Tulip / Double Columbus</t>
  </si>
  <si>
    <t>TUL01-NL0016</t>
  </si>
  <si>
    <t>Tulip / Double Dancing Queen</t>
  </si>
  <si>
    <t>TUL01-NL0017</t>
  </si>
  <si>
    <t>Tulip / Double Dark Pink</t>
  </si>
  <si>
    <t>TUL01-NL0018</t>
  </si>
  <si>
    <t>Tulip / Double Daytona Auxerre L/Pink</t>
  </si>
  <si>
    <t>TUL01-NL0019</t>
  </si>
  <si>
    <t>Tulip / Double Daytona Bell Song Pink</t>
  </si>
  <si>
    <t>TUL01-NL0020</t>
  </si>
  <si>
    <t>Tulip / Double Daytona cacharel Pink</t>
  </si>
  <si>
    <t>TUL01-NL0021</t>
  </si>
  <si>
    <t>Tulip / Double Daytona Crispion Love Pink</t>
  </si>
  <si>
    <t>TUL01-NL0022</t>
  </si>
  <si>
    <t>Tulip / Double Daytona Hawaii</t>
  </si>
  <si>
    <t>TUL01-NL0023</t>
  </si>
  <si>
    <t>Tulip / Double Daytona L/Pink</t>
  </si>
  <si>
    <t>TUL01-NL0024</t>
  </si>
  <si>
    <t>Tulip / Double Daytona Oviedo L/Purple</t>
  </si>
  <si>
    <t>TUL01-NL0025</t>
  </si>
  <si>
    <t>Tulip / Double Daytona Real Time Yellow</t>
  </si>
  <si>
    <t>TUL01-NL0026</t>
  </si>
  <si>
    <t>Tulip / Double Daytona White</t>
  </si>
  <si>
    <t>TUL01-NL0027</t>
  </si>
  <si>
    <t>Tulip / Double Daytona(Frilled) Indiana Purple</t>
  </si>
  <si>
    <t>TUL01-NL0028</t>
  </si>
  <si>
    <t>Tulip / Double Daytona(Frilled) Pink</t>
  </si>
  <si>
    <t>TUL01-NL0029</t>
  </si>
  <si>
    <t>Tulip / Double Endless Love Pink</t>
  </si>
  <si>
    <t>TUL01-NL0030</t>
  </si>
  <si>
    <t>Tulip / Double Flaming Margarita</t>
  </si>
  <si>
    <t>TUL01-NL0031</t>
  </si>
  <si>
    <t>Tulip / Double Flash Point Pink</t>
  </si>
  <si>
    <t>TUL01-NL0032</t>
  </si>
  <si>
    <t>Tulip / Double Foxtrot</t>
  </si>
  <si>
    <t>TUL01-NL0033</t>
  </si>
  <si>
    <t>Tulip / Double Gudoshnik</t>
  </si>
  <si>
    <t>TUL01-NL0034</t>
  </si>
  <si>
    <t>Tulip / Double Ice Cream</t>
  </si>
  <si>
    <t>TUL01-NL0035</t>
  </si>
  <si>
    <t>Tulip / Double Kantika Lavender</t>
  </si>
  <si>
    <t>TUL01-NL0036</t>
  </si>
  <si>
    <t>Tulip / Double Katinka</t>
  </si>
  <si>
    <t>TUL01-NL0037</t>
  </si>
  <si>
    <t>Tulip / Double Lasergame</t>
  </si>
  <si>
    <t>TUL01-NL0038</t>
  </si>
  <si>
    <t>Tulip / Double Lavener Beauty</t>
  </si>
  <si>
    <t>TUL01-NL0039</t>
  </si>
  <si>
    <t>Tulip / Double lcoon</t>
  </si>
  <si>
    <t>TUL01-NL0040</t>
  </si>
  <si>
    <t>Tulip / Double Maitresse</t>
  </si>
  <si>
    <t>TUL01-NL0041</t>
  </si>
  <si>
    <t>Tulip / Double Mango</t>
  </si>
  <si>
    <t>TUL01-NL0042</t>
  </si>
  <si>
    <t>Tulip / Double Margarita Lavender2</t>
  </si>
  <si>
    <t>TUL01-NL0043</t>
  </si>
  <si>
    <t>Tulip / Double Mariage Pink</t>
  </si>
  <si>
    <t>TUL01-NL0044</t>
  </si>
  <si>
    <t>Tulip / Double Mondial White</t>
  </si>
  <si>
    <t>TUL01-NL0045</t>
  </si>
  <si>
    <t>Tulip / Double Monte Carlo Yellow</t>
  </si>
  <si>
    <t>TUL01-NL0046</t>
  </si>
  <si>
    <t>Tulip / Double Monte Orange</t>
  </si>
  <si>
    <t>TUL01-NL0047</t>
  </si>
  <si>
    <t>Tulip / Double Mountain White</t>
  </si>
  <si>
    <t>TUL01-NL0048</t>
  </si>
  <si>
    <t>Tulip / Double Nikon</t>
  </si>
  <si>
    <t>TUL01-NL0049</t>
  </si>
  <si>
    <t>Tulip / Double Northcap</t>
  </si>
  <si>
    <t>TUL01-NL0050</t>
  </si>
  <si>
    <t>Tulip / Double Orange Princess</t>
  </si>
  <si>
    <t>TUL01-NL0051</t>
  </si>
  <si>
    <t>Tulip / Double Palmyra White</t>
  </si>
  <si>
    <t>TUL01-NL0052</t>
  </si>
  <si>
    <t>Tulip / Double Pink Mist</t>
  </si>
  <si>
    <t>TUL01-NL0053</t>
  </si>
  <si>
    <t>Tulip / Double Price Lavender</t>
  </si>
  <si>
    <t>TUL01-NL0054</t>
  </si>
  <si>
    <t>Tulip / Double Princess Lavender</t>
  </si>
  <si>
    <t>TUL01-NL0055</t>
  </si>
  <si>
    <t>Tulip / Double Princess Red</t>
  </si>
  <si>
    <t>TUL01-NL0056</t>
  </si>
  <si>
    <t>Tulip / Double Purple</t>
  </si>
  <si>
    <t>TUL01-NL0057</t>
  </si>
  <si>
    <t>Tulip / Double Saigon</t>
  </si>
  <si>
    <t>TUL01-NL0058</t>
  </si>
  <si>
    <t>Tulip / Double Soft Price</t>
  </si>
  <si>
    <t>TUL01-NL0059</t>
  </si>
  <si>
    <t>Tulip / Double Twist</t>
  </si>
  <si>
    <t>TUL01-NL0060</t>
  </si>
  <si>
    <t>Tulip / Double Up Stripe L/Pink</t>
  </si>
  <si>
    <t>TUL01-NL0061</t>
  </si>
  <si>
    <t>Tulip / Double Voicemail</t>
  </si>
  <si>
    <t>TUL01-NL0062</t>
  </si>
  <si>
    <t>Tulip / Double Voque</t>
  </si>
  <si>
    <t>TUL01-NL0063</t>
  </si>
  <si>
    <t>Tulip / Double Wine</t>
  </si>
  <si>
    <t>TUL01-NL0064</t>
  </si>
  <si>
    <t>Tulip / Double Yellow</t>
  </si>
  <si>
    <t>TUL01-NL0065</t>
  </si>
  <si>
    <t>Tulip / Double Yellow Pompenette</t>
  </si>
  <si>
    <t>TUL01-NL0066</t>
  </si>
  <si>
    <t>Tulip / Dyed Brownies</t>
  </si>
  <si>
    <t>TUL01-NL0067</t>
  </si>
  <si>
    <t>Tulip / Dyed Lady Liz</t>
  </si>
  <si>
    <t>TUL01-NL0068</t>
  </si>
  <si>
    <t>Tulip / French La Romaine</t>
  </si>
  <si>
    <t>TUL01-NL0069</t>
  </si>
  <si>
    <t>Tulip / French Menton</t>
  </si>
  <si>
    <t>TUL01-NL0070</t>
  </si>
  <si>
    <t>Tulip / Frill Beyonce</t>
  </si>
  <si>
    <t>TUL01-NL0071</t>
  </si>
  <si>
    <t>Tulip / Frill Caecilia</t>
  </si>
  <si>
    <t>TUL01-NL0072</t>
  </si>
  <si>
    <t>Tulip / Frill Fabio</t>
  </si>
  <si>
    <t>TUL01-NL0073</t>
  </si>
  <si>
    <t>Tulip / Frill Hawaii</t>
  </si>
  <si>
    <t>TUL01-NL0074</t>
  </si>
  <si>
    <t>Tulip / Single Frill Honeymoon</t>
  </si>
  <si>
    <t>TUL01-NL0075</t>
  </si>
  <si>
    <t>Tulip / Frill Mascotte</t>
  </si>
  <si>
    <t>TUL01-NL0076</t>
  </si>
  <si>
    <t>Tulip / Frill Murcia</t>
  </si>
  <si>
    <t>TUL01-NL0077</t>
  </si>
  <si>
    <t>Tulip / Frill Neglige</t>
  </si>
  <si>
    <t>TUL01-NL0078</t>
  </si>
  <si>
    <t>Tulip / Frill Northpole</t>
  </si>
  <si>
    <t>TUL01-NL0079</t>
  </si>
  <si>
    <t>Tulip / Frill Queensland</t>
  </si>
  <si>
    <t>TUL01-NL0080</t>
  </si>
  <si>
    <t>Tulip / Frill Tinkerbell</t>
  </si>
  <si>
    <t>TUL01-NL0081</t>
  </si>
  <si>
    <t>Tulip / Frilled Flame of Valery Mixed</t>
  </si>
  <si>
    <t>TUL01-NL0082</t>
  </si>
  <si>
    <t>Tulip / Frilled Flaming Columbus Mixed</t>
  </si>
  <si>
    <t>TUL01-NL0083</t>
  </si>
  <si>
    <t>Tulip / Frilled Santander Flame Pink</t>
  </si>
  <si>
    <t>TUL01-NL0084</t>
  </si>
  <si>
    <t>Tulip / Furand</t>
  </si>
  <si>
    <t>TUL01-NL0085</t>
  </si>
  <si>
    <t>Tulip / Liberster White</t>
  </si>
  <si>
    <t>별튤립화이트/</t>
  </si>
  <si>
    <t>TUL01-NL0086</t>
  </si>
  <si>
    <t>Tulip / Lustige Witwe</t>
  </si>
  <si>
    <t>TUL01-NL0087</t>
  </si>
  <si>
    <t>Tulip / Neglige</t>
  </si>
  <si>
    <t>TUL01-NL0088</t>
  </si>
  <si>
    <t>Tulip / Neper</t>
  </si>
  <si>
    <t>TUL01-NL0089</t>
  </si>
  <si>
    <t>Tulip / Pako</t>
  </si>
  <si>
    <t>TUL01-NL0090</t>
  </si>
  <si>
    <t>Tulip / Parrot Elzenburg</t>
  </si>
  <si>
    <t>TUL01-NL0091</t>
  </si>
  <si>
    <t>Tulip / Purple Graffiti</t>
  </si>
  <si>
    <t>TUL01-NL0092</t>
  </si>
  <si>
    <t>Tulip / Royal Cherry</t>
  </si>
  <si>
    <t>TUL01-NL0093</t>
  </si>
  <si>
    <t>Tulip / Sambuca</t>
  </si>
  <si>
    <t>TUL01-NL0094</t>
  </si>
  <si>
    <t>Tulip / Single Parrot Salmon</t>
  </si>
  <si>
    <t>TUL01-NL0095</t>
  </si>
  <si>
    <t>Tulip / Single AAFKE</t>
  </si>
  <si>
    <t>TUL01-NL0096</t>
  </si>
  <si>
    <t>Tulip / Single Ace Pink</t>
  </si>
  <si>
    <t>TUL01-NL0097</t>
  </si>
  <si>
    <t>Tulip / Single Ad Rem Beauty Peach</t>
  </si>
  <si>
    <t>TUL01-NL0098</t>
  </si>
  <si>
    <t>Tulip / Single Ad Rem Mixed</t>
  </si>
  <si>
    <t>TUL01-NL0099</t>
  </si>
  <si>
    <t>Tulip / Single Agrass Gold</t>
  </si>
  <si>
    <t>TUL01-NL0100</t>
  </si>
  <si>
    <t>Tulip / Single Alibi Purple</t>
  </si>
  <si>
    <t>TUL01-NL0101</t>
  </si>
  <si>
    <t>Tulip / Single Anaconda Red</t>
  </si>
  <si>
    <t>TUL01-NL1111</t>
  </si>
  <si>
    <t>Tulip / Single Antarctica</t>
  </si>
  <si>
    <t>TUL01-NL0103</t>
  </si>
  <si>
    <t>Tulip / Single Apricot Copex</t>
  </si>
  <si>
    <t>TUL01-NL0104</t>
  </si>
  <si>
    <t>Tulip / Single Aprodite</t>
  </si>
  <si>
    <t>TUL01-NL0105</t>
  </si>
  <si>
    <t>Tulip / Single Armani</t>
  </si>
  <si>
    <t>TUL01-NL0106</t>
  </si>
  <si>
    <t>Tulip / Single Barcelona H/Pink</t>
  </si>
  <si>
    <t>TUL01-NL0107</t>
  </si>
  <si>
    <t>Tulip / Single Barcelona L/Purple</t>
  </si>
  <si>
    <t>TUL01-NL0108</t>
  </si>
  <si>
    <t>Tulip / Single Ben Fire</t>
  </si>
  <si>
    <t>TUL01-NL0109</t>
  </si>
  <si>
    <t>Tulip / Single Big Love</t>
  </si>
  <si>
    <t>TUL01-NL0110</t>
  </si>
  <si>
    <t>Tulip / Single Black Jack</t>
  </si>
  <si>
    <t>TUL01-NL0111</t>
  </si>
  <si>
    <t>Tulip / Single Blue Beauty</t>
  </si>
  <si>
    <t>TUL01-NL0112</t>
  </si>
  <si>
    <t>Tulip / Single Bombita</t>
  </si>
  <si>
    <t>TUL01-NL0113</t>
  </si>
  <si>
    <t>Tulip / Single Bright Sun</t>
  </si>
  <si>
    <t>TUL01-NL0114</t>
  </si>
  <si>
    <t>Tulip / Single Brownie</t>
  </si>
  <si>
    <t>TUL01-NL0115</t>
  </si>
  <si>
    <t>Tulip / Single Bullit</t>
  </si>
  <si>
    <t>TUL01-NL0117</t>
  </si>
  <si>
    <t>Tulip / Single Candy Prince L/Lavender</t>
  </si>
  <si>
    <t>TUL01-NL0118</t>
  </si>
  <si>
    <t>Tulip / Single Carola</t>
  </si>
  <si>
    <t>TUL01-NL0119</t>
  </si>
  <si>
    <t>Tulip / Single Carpaccio</t>
  </si>
  <si>
    <t>TUL01-NL0120</t>
  </si>
  <si>
    <t>Tulip / Single Catherina Amalia</t>
  </si>
  <si>
    <t>TUL01-NL0121</t>
  </si>
  <si>
    <t>Tulip / Single Chantelle</t>
  </si>
  <si>
    <t>TUL01-NL0122</t>
  </si>
  <si>
    <t>Tulip / Single Charade</t>
  </si>
  <si>
    <t>TUL01-NL0123</t>
  </si>
  <si>
    <t>Tulip / Single Circuit</t>
  </si>
  <si>
    <t>TUL01-NL0124</t>
  </si>
  <si>
    <t>Tulip / Single Columbus</t>
  </si>
  <si>
    <t>TUL01-NL0125</t>
  </si>
  <si>
    <t>Tulip / Single Crown Dynasty L/Pink</t>
  </si>
  <si>
    <t>별튤립핑크/</t>
  </si>
  <si>
    <t>TUL01-NL0126</t>
  </si>
  <si>
    <t>Tulip / Single Curry</t>
  </si>
  <si>
    <t>TUL01-NL0127</t>
  </si>
  <si>
    <t>Tulip / Single De Dijk</t>
  </si>
  <si>
    <t>TUL01-NL0128</t>
  </si>
  <si>
    <t>Tulip / Single Detta Storm</t>
  </si>
  <si>
    <t>TUL01-NL0129</t>
  </si>
  <si>
    <t>Tulip / Single Donau Lavnder</t>
  </si>
  <si>
    <t>TUL01-NL0130</t>
  </si>
  <si>
    <t>Tulip / Single Dutch Pride</t>
  </si>
  <si>
    <t>TUL01-NL0131</t>
  </si>
  <si>
    <t>Tulip / Single Dyed Blue Maggie</t>
  </si>
  <si>
    <t>TUL01-NL0132</t>
  </si>
  <si>
    <t>Tulip / Single Dyed Caramel</t>
  </si>
  <si>
    <t>TUL01-NL0133</t>
  </si>
  <si>
    <t>Tulip / Single Dyed Light Pink</t>
  </si>
  <si>
    <t>TUL01-NL0134</t>
  </si>
  <si>
    <t>Tulip / Single Dyed Frost Blue</t>
  </si>
  <si>
    <t>TUL01-NL0135</t>
  </si>
  <si>
    <t>Tulip / Single Dyed Frost Pink</t>
  </si>
  <si>
    <t>TUL01-NL0136</t>
  </si>
  <si>
    <t>Tulip / Single Dyed Frost Red</t>
  </si>
  <si>
    <t>TUL01-NL0137</t>
  </si>
  <si>
    <t>Tulip / Single Dyed Frost salmon</t>
  </si>
  <si>
    <t>TUL01-NL0138</t>
  </si>
  <si>
    <t>Tulip / Single Dyed Frost white</t>
  </si>
  <si>
    <t>TUL01-NL0139</t>
  </si>
  <si>
    <t>Tulip / Single Dyed Kleurbeh Royal Blue</t>
  </si>
  <si>
    <t>TUL01-NL0140</t>
  </si>
  <si>
    <t>Tulip / Single Dyed Lilac</t>
  </si>
  <si>
    <t>TUL01-NL0141</t>
  </si>
  <si>
    <t>Tulip / Single Dyed Mojito</t>
  </si>
  <si>
    <t>TUL01-NL0142</t>
  </si>
  <si>
    <t>Tulip / Single Dyed Pastel Violet</t>
  </si>
  <si>
    <t>TUL01-NL0143</t>
  </si>
  <si>
    <t>Tulip / Single Dyed Salmonies Salmon</t>
  </si>
  <si>
    <t>TUL01-NL0144</t>
  </si>
  <si>
    <t>Tulip / Single Dyed Shades of Grey</t>
  </si>
  <si>
    <t>TUL01-NL0145</t>
  </si>
  <si>
    <t>Tulip / Single Dyed Sugar Candy</t>
  </si>
  <si>
    <t>TUL01-NL0146</t>
  </si>
  <si>
    <t>Tulip / Single Dyed Violet</t>
  </si>
  <si>
    <t>TUL01-NL0147</t>
  </si>
  <si>
    <t>Tulip / Single Dynasty L/Pink</t>
  </si>
  <si>
    <t>TUL01-NL0148</t>
  </si>
  <si>
    <t>Tulip / Single Escape Jamong</t>
  </si>
  <si>
    <t>TUL01-NL0149</t>
  </si>
  <si>
    <t>Tulip / Single Escape Red</t>
  </si>
  <si>
    <t>TUL01-NL0150</t>
  </si>
  <si>
    <t>Tulip / Single Falming Prince</t>
  </si>
  <si>
    <t>TUL01-NL0151</t>
  </si>
  <si>
    <t>Tulip / Single First Class</t>
  </si>
  <si>
    <t>TUL01-NL0152</t>
  </si>
  <si>
    <t>Tulip / Single Fortress</t>
  </si>
  <si>
    <t>TUL01-NL0153</t>
  </si>
  <si>
    <t>Tulip / Single Friend Ship</t>
  </si>
  <si>
    <t>TUL01-NL0154</t>
  </si>
  <si>
    <t>Tulip / Single Frontline</t>
  </si>
  <si>
    <t>TUL01-NL0155</t>
  </si>
  <si>
    <t>Tulip / Single Frost Antractica</t>
  </si>
  <si>
    <t>TUL01-NL0156</t>
  </si>
  <si>
    <t>Tulip / Single Fun For Two</t>
  </si>
  <si>
    <t>TUL01-NL0157</t>
  </si>
  <si>
    <t>Tulip / Single Furand</t>
  </si>
  <si>
    <t>TUL01-NL0158</t>
  </si>
  <si>
    <t>Tulip / Single Gabrielle L/Pink</t>
  </si>
  <si>
    <t>TUL01-NL0159</t>
  </si>
  <si>
    <t>Tulip / Single Gabrielle Salmon2</t>
  </si>
  <si>
    <t>TUL01-NL0160</t>
  </si>
  <si>
    <t>Tulip / Single Gambino</t>
  </si>
  <si>
    <t>TUL01-NL0161</t>
  </si>
  <si>
    <t>Tulip / Single Ganders Rhapsody</t>
  </si>
  <si>
    <t>TUL01-NL0162</t>
  </si>
  <si>
    <t>Tulip / Single Ghost</t>
  </si>
  <si>
    <t>TUL01-NL0163</t>
  </si>
  <si>
    <t>Tulip / Single Hermitage</t>
  </si>
  <si>
    <t>TUL01-NL0164</t>
  </si>
  <si>
    <t>Tulip / Single Hotspot</t>
  </si>
  <si>
    <t>TUL01-NL0165</t>
  </si>
  <si>
    <t>Tulip / Single Ile de France</t>
  </si>
  <si>
    <t>TUL01-NL0166</t>
  </si>
  <si>
    <t>Tulip / Single Jacuzzi Purple</t>
  </si>
  <si>
    <t>TUL01-NL0167</t>
  </si>
  <si>
    <t>Tulip / Single Jumbo Pink</t>
  </si>
  <si>
    <t>TUL01-NL0168</t>
  </si>
  <si>
    <t>[EZ] Tulip / Double Katinka</t>
  </si>
  <si>
    <t>TUL01-NL0169</t>
  </si>
  <si>
    <t>Tulip / Single Kees Nelis Red/Orange</t>
  </si>
  <si>
    <t>TUL01-NL0170</t>
  </si>
  <si>
    <t>Tulip / Single Kung-Fu</t>
  </si>
  <si>
    <t>TUL01-NL0171</t>
  </si>
  <si>
    <t>Tulip / Single Lap Top</t>
  </si>
  <si>
    <t>TUL01-NL0172</t>
  </si>
  <si>
    <t>Tulip / Single Leen Van Der Mark</t>
  </si>
  <si>
    <t>TUL01-NL0173</t>
  </si>
  <si>
    <t>Tulip / Single Lilyflowered Crown Negrita</t>
  </si>
  <si>
    <t>TUL01-NL0174</t>
  </si>
  <si>
    <t>Tulip / Single Lions Glory</t>
  </si>
  <si>
    <t>TUL01-NL0175</t>
  </si>
  <si>
    <t>Tulip / Single Malaysia Crem</t>
  </si>
  <si>
    <t>TUL01-NL0176</t>
  </si>
  <si>
    <t>Tulip / Single Mango Charm Picth</t>
  </si>
  <si>
    <t>TUL01-NL0177</t>
  </si>
  <si>
    <t>Tulip / Single Marit Salmon</t>
  </si>
  <si>
    <t>TUL01-NL0178</t>
  </si>
  <si>
    <t>Tulip / Single Mark Design Pink</t>
  </si>
  <si>
    <t>TUL01-NL0179</t>
  </si>
  <si>
    <t>Tulip / Single Maskovri</t>
  </si>
  <si>
    <t>TUL01-NL0180</t>
  </si>
  <si>
    <t>Tulip / Single Master White</t>
  </si>
  <si>
    <t>TUL01-NL0181</t>
  </si>
  <si>
    <t>Tulip / Single Matchmaker</t>
  </si>
  <si>
    <t>TUL01-NL0182</t>
  </si>
  <si>
    <t>Tulip / Single Milk Shake Pink</t>
  </si>
  <si>
    <t>TUL01-NL0183</t>
  </si>
  <si>
    <t>Tulip / Single Morgana Orange</t>
  </si>
  <si>
    <t>TUL01-NL0184</t>
  </si>
  <si>
    <t>Tulip / Single Mriart(Mango) picth</t>
  </si>
  <si>
    <t>TUL01-NL0185</t>
  </si>
  <si>
    <t>Tulip / Single Ninja</t>
  </si>
  <si>
    <t>시즌 03-04월 / 10-12월</t>
  </si>
  <si>
    <t>TUL01-NL0186</t>
  </si>
  <si>
    <t>Tulip / Single Novi Sun</t>
  </si>
  <si>
    <t>TUL01-NL0187</t>
  </si>
  <si>
    <t>Tulip / Single Orange Juice</t>
  </si>
  <si>
    <t>오렌지／</t>
  </si>
  <si>
    <t>TUL01-NL0188</t>
  </si>
  <si>
    <t>Tulip / Single Ourfit Red/White</t>
  </si>
  <si>
    <t>TUL01-NL0189</t>
  </si>
  <si>
    <t>Tulip / Single Palazzo orange</t>
  </si>
  <si>
    <t>TUL01-NL0190</t>
  </si>
  <si>
    <t>Tulip / Single Pallada</t>
  </si>
  <si>
    <t>TUL01-NL0191</t>
  </si>
  <si>
    <t>Tulip / Single Pink Ardour</t>
  </si>
  <si>
    <t>TUL01-NL0192</t>
  </si>
  <si>
    <t>Tulip / Single Pink Milkshake D/Pink</t>
  </si>
  <si>
    <t>TUL01-NL0194</t>
  </si>
  <si>
    <t>Tulip / Single Pleasure Pink/Yellow</t>
  </si>
  <si>
    <t>TUL01-NL0195</t>
  </si>
  <si>
    <t>Tulip / Single Polar Bear</t>
  </si>
  <si>
    <t>TUL01-NL0196</t>
  </si>
  <si>
    <t>Tulip / Single Prince Deep Purple</t>
  </si>
  <si>
    <t>TUL01-NL0197</t>
  </si>
  <si>
    <t>Tulip / Single Prontine</t>
  </si>
  <si>
    <t>TUL01-NL0198</t>
  </si>
  <si>
    <t>Tulip / Single Purple Flag</t>
  </si>
  <si>
    <t>TUL01-NL0199</t>
  </si>
  <si>
    <t>Tulip / Single Purple Lady</t>
  </si>
  <si>
    <t>TUL01-NL0200</t>
  </si>
  <si>
    <t>Tulip / Single Purple Prince</t>
  </si>
  <si>
    <t>TUL01-NL0201</t>
  </si>
  <si>
    <t>Tulip / Single Queensland Mixed</t>
  </si>
  <si>
    <t>TUL01-NL0202</t>
  </si>
  <si>
    <t>Tulip / Single Rambo</t>
  </si>
  <si>
    <t>TUL01-NL0203</t>
  </si>
  <si>
    <t>Tulip / Single Rapsody</t>
  </si>
  <si>
    <t>TUL01-NL0204</t>
  </si>
  <si>
    <t>Tulip / Single Red Planet</t>
  </si>
  <si>
    <t>TUL01-NL0205</t>
  </si>
  <si>
    <t>Tulip / Single Renegad Red</t>
  </si>
  <si>
    <t>TUL01-NL0206</t>
  </si>
  <si>
    <t>Tulip / Single Rmabo Orange/Yellow</t>
  </si>
  <si>
    <t>TUL01-NL0207</t>
  </si>
  <si>
    <t>Tulip / Single Roeska</t>
  </si>
  <si>
    <t>TUL01-NL0208</t>
  </si>
  <si>
    <t>Tulip / Single Ronaldo Deep Purple</t>
  </si>
  <si>
    <t>TUL01-NL0209</t>
  </si>
  <si>
    <t>Tulip / Single Ronaldo Unique</t>
  </si>
  <si>
    <t>TUL01-NL0210</t>
  </si>
  <si>
    <t>Tulip / Single Rosario</t>
  </si>
  <si>
    <t>TUL01-NL0211</t>
  </si>
  <si>
    <t>Tulip / Single Royal Virgen White1</t>
  </si>
  <si>
    <t>화이트／</t>
  </si>
  <si>
    <t>TUL01-NL0212</t>
  </si>
  <si>
    <t>Tulip / Single Russia</t>
  </si>
  <si>
    <t>TUL01-NL0213</t>
  </si>
  <si>
    <t>Tulip / Single Saigon Purple</t>
  </si>
  <si>
    <t>TUL01-NL0214</t>
  </si>
  <si>
    <t>Tulip / Single Salmon desert Picth</t>
  </si>
  <si>
    <t>TUL01-NL0215</t>
  </si>
  <si>
    <t>Tulip / Single Salmon Pride</t>
  </si>
  <si>
    <t>TUL01-NL0216</t>
  </si>
  <si>
    <t>Tulip / Single Salmon Prince</t>
  </si>
  <si>
    <t>TUL01-NL0217</t>
  </si>
  <si>
    <t>Tulip / Single Scamper</t>
  </si>
  <si>
    <t>TUL01-NL0218</t>
  </si>
  <si>
    <t>Tulip / Single Sevilla Pink</t>
  </si>
  <si>
    <t>TUL01-NL0219</t>
  </si>
  <si>
    <t>Tulip / Single Sexy Pink</t>
  </si>
  <si>
    <t>TUL01-NL0220</t>
  </si>
  <si>
    <t>Tulip / Single Sigon D/Purple</t>
  </si>
  <si>
    <t>TUL01-NL0221</t>
  </si>
  <si>
    <t>Tulip / Single Snowqueen White</t>
  </si>
  <si>
    <t>TUL01-NL0222</t>
  </si>
  <si>
    <t>Tulip / Single Spinoza</t>
  </si>
  <si>
    <t>TUL01-NL0223</t>
  </si>
  <si>
    <t>Tulip / Single Strong Gold Yellow</t>
  </si>
  <si>
    <t>TUL01-NL0224</t>
  </si>
  <si>
    <t>Tulip / Single Strong Love</t>
  </si>
  <si>
    <t>TUL01-NL0225</t>
  </si>
  <si>
    <t>Tulip / Single Sunrise Dynasty</t>
  </si>
  <si>
    <t>TUL01-NL0226</t>
  </si>
  <si>
    <t>Tulip / Single Sunshine</t>
  </si>
  <si>
    <t>TUL01-NL0227</t>
  </si>
  <si>
    <t>Tulip / Single Super Parrot Mixed</t>
  </si>
  <si>
    <t>TUL01-NL0228</t>
  </si>
  <si>
    <t>Tulip / Single Supri Erotic</t>
  </si>
  <si>
    <t>TUL01-NL0229</t>
  </si>
  <si>
    <t>Tulip / Single Surrender Red</t>
  </si>
  <si>
    <t>TUL01-NL0230</t>
  </si>
  <si>
    <t>Tulip / Single Synaeda Samouco</t>
  </si>
  <si>
    <t>TUL01-NL0231</t>
  </si>
  <si>
    <t>Tulip / Single Thijs Boot L/Pink</t>
  </si>
  <si>
    <t>TUL01-NL0232</t>
  </si>
  <si>
    <t>Tulip / Single Thijs Boot salmon</t>
  </si>
  <si>
    <t>TUL01-NL0233</t>
  </si>
  <si>
    <t>Tulip / Single Time Out Orange</t>
  </si>
  <si>
    <t>TUL01-NL0234</t>
  </si>
  <si>
    <t>Tulip / Single Tom Pouce Pink/Yellow</t>
  </si>
  <si>
    <t>TUL01-NL0235</t>
  </si>
  <si>
    <t>Tulip / Single Tresor</t>
  </si>
  <si>
    <t>TUL01-NL0236</t>
  </si>
  <si>
    <t>Tulip / Single Trick Hot Pink</t>
  </si>
  <si>
    <t>TUL01-NL0237</t>
  </si>
  <si>
    <t>Tulip / Single Triple A</t>
  </si>
  <si>
    <t>TUL01-NL0238</t>
  </si>
  <si>
    <t>Tulip / Single Tu en Librije</t>
  </si>
  <si>
    <t>TUL01-NL0240</t>
  </si>
  <si>
    <t>Tulip / Single Weelen</t>
  </si>
  <si>
    <t>TUL01-NL0241</t>
  </si>
  <si>
    <t>Tulip / Single White Silentia</t>
  </si>
  <si>
    <t>TUL01-NL0242</t>
  </si>
  <si>
    <t>Tulip / Single Yankee</t>
  </si>
  <si>
    <t>TUL01-NL0243</t>
  </si>
  <si>
    <t>Tulip / Single Yellow Flight</t>
  </si>
  <si>
    <t>TUL01-NL0244</t>
  </si>
  <si>
    <t>Tulip / Sunny Price</t>
  </si>
  <si>
    <t>TUL01-NL0246</t>
  </si>
  <si>
    <t>Tulip / Single Update</t>
  </si>
  <si>
    <t>TUL01-NL0247</t>
  </si>
  <si>
    <t>Tulip / Tinted Dyed Blue Lagoon</t>
  </si>
  <si>
    <t>TUL01-NL0248</t>
  </si>
  <si>
    <t>Tulip / Double Red Princess</t>
  </si>
  <si>
    <t>TUL01-NL0250</t>
  </si>
  <si>
    <t>TULIP</t>
  </si>
  <si>
    <t>TUL01-NL0251</t>
  </si>
  <si>
    <t>Tulip / Double Prince</t>
  </si>
  <si>
    <t>TUL01-NL0253</t>
  </si>
  <si>
    <t>Tulip / Princess Catharina-Amalia</t>
  </si>
  <si>
    <t>TUL01-NL0254</t>
  </si>
  <si>
    <t>Double Double price</t>
  </si>
  <si>
    <t>TUL01-NL0255</t>
  </si>
  <si>
    <t>Tulip / Single Thijs Boots</t>
  </si>
  <si>
    <t>TUL01-NL0256</t>
  </si>
  <si>
    <t>Double wise</t>
  </si>
  <si>
    <t>TUL01-NL0257</t>
  </si>
  <si>
    <t>Tulip / Dyed Double Bubble</t>
  </si>
  <si>
    <t>TUL01-NL0258</t>
  </si>
  <si>
    <t>TUL01-NL0259</t>
  </si>
  <si>
    <t>Tulip / Single White Dream</t>
  </si>
  <si>
    <t>TUL01-NL0260</t>
  </si>
  <si>
    <t>Tulip / Double Fortaleza</t>
  </si>
  <si>
    <t>TUL01-NL0261</t>
  </si>
  <si>
    <t>Tulip / Single Red Stone</t>
  </si>
  <si>
    <t>TUL01-NL0280</t>
  </si>
  <si>
    <t>Tulip / Single Frill Indiana</t>
  </si>
  <si>
    <t>TUL01-NL0281</t>
  </si>
  <si>
    <t>Tulip / Single Frill Santander</t>
  </si>
  <si>
    <t>TUL01-NL0283</t>
  </si>
  <si>
    <t>Tulip / Single candy Prince</t>
  </si>
  <si>
    <t>TUL01-NL0285</t>
  </si>
  <si>
    <t>Tulip / Single Lap Dance</t>
  </si>
  <si>
    <t>TUL01-NL0286</t>
  </si>
  <si>
    <t>Tulip / Single Tinted Violet</t>
  </si>
  <si>
    <t>TUL01-NL0287</t>
  </si>
  <si>
    <t>Tulip / Double Trouble</t>
  </si>
  <si>
    <t>TUL01-NL0288</t>
  </si>
  <si>
    <t>Tulip / Single Love Flight</t>
  </si>
  <si>
    <t>TUL01-NL0289</t>
  </si>
  <si>
    <t>Tulip / Single Pretty Princess</t>
  </si>
  <si>
    <t>TUL01-NL0290</t>
  </si>
  <si>
    <t>Tulip / Single Fresh Start</t>
  </si>
  <si>
    <t>TUL01-NL0291</t>
  </si>
  <si>
    <t>Tulip / Single Tineke Van Der Meer</t>
  </si>
  <si>
    <t>TUL01-NL0292</t>
  </si>
  <si>
    <t>Tulip / Single Menton</t>
  </si>
  <si>
    <t>TUL01-NL0293</t>
  </si>
  <si>
    <t>Tulip / Single Purple Valley</t>
  </si>
  <si>
    <t>TUL01-NL0294</t>
  </si>
  <si>
    <t>Tulip / Double Princess</t>
  </si>
  <si>
    <t>TUL01-NL0295</t>
  </si>
  <si>
    <t>Tulip / Single Red Mark</t>
  </si>
  <si>
    <t>TUL01-NL0300</t>
  </si>
  <si>
    <t>Tulip / Single Borgo Vodice</t>
  </si>
  <si>
    <t>TUL01-NL0301</t>
  </si>
  <si>
    <t>Tulip / Double Reminder</t>
  </si>
  <si>
    <t>TUL01-NL0302</t>
  </si>
  <si>
    <t>Tulip / AD rem Beauty (Marict)</t>
  </si>
  <si>
    <t>VER01-NL0001</t>
  </si>
  <si>
    <t>Veronica Caya</t>
  </si>
  <si>
    <t>베로니카</t>
  </si>
  <si>
    <t>VER01-NL0002</t>
  </si>
  <si>
    <t>Veronica Clea Diana</t>
  </si>
  <si>
    <t>VER01-NL0003</t>
  </si>
  <si>
    <t>Veronica Smart Enjoy</t>
  </si>
  <si>
    <t>VER01-NL0004</t>
  </si>
  <si>
    <t>Veronica Spray Anna</t>
  </si>
  <si>
    <t>VER01-NL0005</t>
  </si>
  <si>
    <t>Veronica Spray Caya 60cm</t>
  </si>
  <si>
    <t>VER01-NL0006</t>
  </si>
  <si>
    <t>Veronica Spray clea Diana Purple</t>
  </si>
  <si>
    <t>VER01-NL0007</t>
  </si>
  <si>
    <t>Veronica Spray Pink 60cm</t>
  </si>
  <si>
    <t>VER01-NL0008</t>
  </si>
  <si>
    <t>Veronica Spray Purple 60cm</t>
  </si>
  <si>
    <t>VER01-NL0009</t>
  </si>
  <si>
    <t>Veronica Spray Smart Enjoy</t>
  </si>
  <si>
    <t>VER01-NL0010</t>
  </si>
  <si>
    <t>Veronica Spray Smart Iselle Pink</t>
  </si>
  <si>
    <t>VER01-NL0011</t>
  </si>
  <si>
    <t>Veronica Spray White 60cm</t>
  </si>
  <si>
    <t>WAX01-AU0001</t>
  </si>
  <si>
    <t>Wax Flower Alba White</t>
  </si>
  <si>
    <t>왁스</t>
  </si>
  <si>
    <t>WAX01-AU0002</t>
  </si>
  <si>
    <t>Wax Flower Bridal Pearl white</t>
  </si>
  <si>
    <t>WAX01-AU0003</t>
  </si>
  <si>
    <t>Wax Flower Chantilly Lace White</t>
  </si>
  <si>
    <t>WAX01-AU0004</t>
  </si>
  <si>
    <t>Wax Flower Dancing Queen D/Pink</t>
  </si>
  <si>
    <t>WAX01-AU0005</t>
  </si>
  <si>
    <t>Wax Flower Dancing Queen double lavender</t>
  </si>
  <si>
    <t>WAX01-AU0006</t>
  </si>
  <si>
    <t>Wax Flower Dancing Queen White/Pink</t>
  </si>
  <si>
    <t>WAX01-AU0007</t>
  </si>
  <si>
    <t>Wax Flower Lemon drop White</t>
  </si>
  <si>
    <t>WAX01-AU0008</t>
  </si>
  <si>
    <t>Wax Flower Pearl Hybrid White</t>
  </si>
  <si>
    <t>WAX01-AU0009</t>
  </si>
  <si>
    <t>Wax Flower Pink Pride Pink</t>
  </si>
  <si>
    <t>WAX01-AU0010</t>
  </si>
  <si>
    <t>Wax Flower Revelation Pink</t>
  </si>
  <si>
    <t>WAX01-AU0011</t>
  </si>
  <si>
    <t>Wax Flower Snow Flark White</t>
  </si>
  <si>
    <t>WAX01-AU0012</t>
  </si>
  <si>
    <t>Wax Flower Stephaniie Pink S/Pink</t>
  </si>
  <si>
    <t>ROS01-CO0411</t>
  </si>
  <si>
    <t>ROSE / Freedom 100cm</t>
  </si>
  <si>
    <t>ROS01-CHI001</t>
  </si>
  <si>
    <t xml:space="preserve">ROSE CHINA / 프라우드(White proud) </t>
  </si>
  <si>
    <t>ROS01-CHI002</t>
  </si>
  <si>
    <t xml:space="preserve">ROSE CHINA / 쉬머(Shimmer) </t>
  </si>
  <si>
    <t>ROS01-CHI003</t>
  </si>
  <si>
    <t xml:space="preserve">ROSE CHINA / 알터 이고(Alter Ego) </t>
  </si>
  <si>
    <t>ROS01-CHI004</t>
  </si>
  <si>
    <t>ROSE CHINA / 아쿠아/소울메이트 (Aqua/soulmate/ revival).</t>
  </si>
  <si>
    <t>ROS01-CHI005</t>
  </si>
  <si>
    <t xml:space="preserve">ROSE CHINA / 오션송(Ocean song) </t>
  </si>
  <si>
    <t>ROS01-CHI006</t>
  </si>
  <si>
    <t xml:space="preserve">ROSE CHINA / 타이쿤(Tycoon) </t>
  </si>
  <si>
    <t>ROS01-CHI007</t>
  </si>
  <si>
    <t xml:space="preserve">ROSE CHINA / 만달라(Mandala) </t>
  </si>
  <si>
    <t>ROS01-CHI008</t>
  </si>
  <si>
    <t xml:space="preserve">ROSE CHINA / 아바란체(Avalanche) </t>
  </si>
  <si>
    <t>ROS01-CHI009</t>
  </si>
  <si>
    <t xml:space="preserve">ROSE CHINA / 버터컵(Butter cup) </t>
  </si>
  <si>
    <t>ROS01-CHI010</t>
  </si>
  <si>
    <t xml:space="preserve">ROSE CHINA / 문워크(Moon walk) </t>
  </si>
  <si>
    <t>ROS01-CHI011</t>
  </si>
  <si>
    <t xml:space="preserve">ROSE CHINA / 핑크 아바란체(Pink Avalanche) </t>
  </si>
  <si>
    <t>ROS01-CHI012</t>
  </si>
  <si>
    <t xml:space="preserve">ROSE CHINA / 킹스데이(Kings day) </t>
  </si>
  <si>
    <t>ROS01-CHI013</t>
  </si>
  <si>
    <t xml:space="preserve">ROSE CHINA / 주밀리아(Jumilia) </t>
  </si>
  <si>
    <t>ROS01-CHI014</t>
  </si>
  <si>
    <t xml:space="preserve">ROSE CHINA / 로맨틱 비치(Romantic Beach) </t>
  </si>
  <si>
    <t>ROS01-CHI015</t>
  </si>
  <si>
    <t>ROSE CHINA / 나이팅게일(Nightingale, Purple Fairy)</t>
  </si>
  <si>
    <t>ROS01-CHI016</t>
  </si>
  <si>
    <t xml:space="preserve">ROSE CHINA / 갓챠(Gotcha) </t>
  </si>
  <si>
    <t>ROS01-CHI017</t>
  </si>
  <si>
    <t xml:space="preserve">ROSE CHINA / 스윗 아바란체(Sweet Avalanche) </t>
  </si>
  <si>
    <t>ROS01-CHI018</t>
  </si>
  <si>
    <t xml:space="preserve">ROSE CHINA / 킴벌리(Kimberly) </t>
  </si>
  <si>
    <t>ROS01-CHI019</t>
  </si>
  <si>
    <t xml:space="preserve">ROSE CHINA / 다이아나(Diana) </t>
  </si>
  <si>
    <t>ROS01-CHI020</t>
  </si>
  <si>
    <t xml:space="preserve">ROSE CHINA / 나오미(Naomi) </t>
  </si>
  <si>
    <t>ROS01-CHI021</t>
  </si>
  <si>
    <t xml:space="preserve">ROSE CHINA / 아토믹(Atomic) </t>
  </si>
  <si>
    <t>ROS01-CHI022</t>
  </si>
  <si>
    <t>ROSE CHINA / 프루테토, 큐피트　(Frutteto, Cupid)</t>
  </si>
  <si>
    <t>ROS01-CHI050</t>
  </si>
  <si>
    <t xml:space="preserve">ROSE CHINA / 오다로즈 (Oda Rose) </t>
  </si>
  <si>
    <t>ROS01-CHI051</t>
  </si>
  <si>
    <t xml:space="preserve">ROSE CHINA / 레드니스(Redness) </t>
  </si>
  <si>
    <t>ROS01-CHI053</t>
  </si>
  <si>
    <t xml:space="preserve">SPRAY ROSE CHINA / 리플렉스 (Spray-Rose Reflex) </t>
  </si>
  <si>
    <t>ROS01-CHI054</t>
  </si>
  <si>
    <t xml:space="preserve">SPRAY ROSE CHINA / 줄리에타 (Spray-Rose Julieta) </t>
  </si>
  <si>
    <t>ROS01-CHI057</t>
  </si>
  <si>
    <t xml:space="preserve">SPRAY ROSE CHINA / 소피아 베베 (Spray-Rose Sofia babe) </t>
  </si>
  <si>
    <t>ROS01-CHI058</t>
  </si>
  <si>
    <t>ROSE CHINA / 라일라 (Spray-Rose Laila)</t>
  </si>
  <si>
    <t>ROS01-CHI059</t>
  </si>
  <si>
    <t xml:space="preserve">SPRAY ROSE CHINA / 스칼렛 벨벳 (Spray-Rose Scarlet Velvet) </t>
  </si>
  <si>
    <t>ROS01-CHI060</t>
  </si>
  <si>
    <t>ROSE CHINA / 플륨 (Spray-rose Plume)</t>
  </si>
  <si>
    <t>ROS01-CHI061</t>
  </si>
  <si>
    <t>SPRAY ROSE CHINA / 아프리콧 테라짜 (Spray-rose Apricot Terrazza)</t>
  </si>
  <si>
    <t>ROS01-CHI077</t>
  </si>
  <si>
    <t xml:space="preserve">ROSE CHINA / 유키히메 (Spray-Rose Yukihime) </t>
  </si>
  <si>
    <t>00051</t>
  </si>
  <si>
    <t>ROSE / freedom 150cm</t>
  </si>
  <si>
    <t>ANT01-NL0078</t>
  </si>
  <si>
    <t>Anthurium Nero 11cm</t>
  </si>
  <si>
    <t>ANT01-NL0079</t>
  </si>
  <si>
    <t>Anthurium Extase 11cm</t>
  </si>
  <si>
    <t>ANT01-NL0080</t>
  </si>
  <si>
    <t>Anthurium Safari 11cm</t>
  </si>
  <si>
    <t>ANT01-NL0091</t>
  </si>
  <si>
    <t>Anthurium Cheers 9cm</t>
  </si>
  <si>
    <t>ANT01-NL0092</t>
  </si>
  <si>
    <t>Anthurium Kaleo 15cm</t>
  </si>
  <si>
    <t>ANT01-NL0093</t>
  </si>
  <si>
    <t>Anthurium Kaleo 11cm</t>
  </si>
  <si>
    <t>ANT01-NL0094</t>
  </si>
  <si>
    <t>Anthurium Lunette 11cm</t>
  </si>
  <si>
    <t>ANT01-NL0095</t>
  </si>
  <si>
    <t>Anthurium Graciosa 11cm</t>
  </si>
  <si>
    <t>ANT01-NL0096</t>
  </si>
  <si>
    <t>Anthurium Graciosa 13cm</t>
  </si>
  <si>
    <t>ANT01-NL0097</t>
  </si>
  <si>
    <t>Anthurium Graciosa 9cm</t>
  </si>
  <si>
    <t>CYM01-NL0009</t>
  </si>
  <si>
    <t>Cymbidium / Cooksbridge (Grower Pack) 70cm</t>
  </si>
  <si>
    <t>LON01-NL0008</t>
  </si>
  <si>
    <t>Lily Pink Cocotte</t>
  </si>
  <si>
    <t>ROS01-CHI091</t>
  </si>
  <si>
    <t>ROSE CHINA / 안슬레이(Annesley/Katherin)</t>
  </si>
  <si>
    <t xml:space="preserve">엄청 비싼 품목입니다
대략 29유안.
도착원가  9천원...
</t>
  </si>
  <si>
    <t>ROS01-CHI086</t>
  </si>
  <si>
    <t>SPRAY ROSE CHINA / 베이비 카멜레온 (Spray-Rose baby Chameleon)</t>
  </si>
  <si>
    <t>LIM01-CHI001</t>
  </si>
  <si>
    <t>CHINA / 리모늄 미스티 블루(Limonium Misty blue) 500g</t>
  </si>
  <si>
    <t>기타</t>
  </si>
  <si>
    <t xml:space="preserve">	SIN01-CHI001</t>
  </si>
  <si>
    <t>CHINA / 리모늄 시네신스 화이트 (Sinensis white) 500g</t>
  </si>
  <si>
    <t>SIN01-CHI002</t>
  </si>
  <si>
    <t>CHINA / 리모늄 시네신스 옐로우 (Sinensis Yellow) 500g</t>
  </si>
  <si>
    <t>SIN01-CHI003</t>
  </si>
  <si>
    <t>CHINA / 리모늄 시네신스 핑크 (Sinensis Pink) 500g</t>
  </si>
  <si>
    <t>CAL01-NL0077</t>
  </si>
  <si>
    <t>Calla / Ventura White 65cm</t>
  </si>
  <si>
    <t>ROS01-CHI084</t>
  </si>
  <si>
    <t>SPRAY ROSE CHINA / 스텔링 (Spray-Rose Stelling)</t>
  </si>
  <si>
    <t>ALS01-CO0100</t>
  </si>
  <si>
    <t>ALSTROMERIA Fifi Butterplus</t>
  </si>
  <si>
    <t>00052</t>
  </si>
  <si>
    <t>ROSE / Mondial White 70cm</t>
  </si>
  <si>
    <t>GLO01-NL00002</t>
  </si>
  <si>
    <t>Gloriosa / Orange 85cm</t>
  </si>
  <si>
    <t>ALS01-CO0063</t>
  </si>
  <si>
    <t>ALSTROMERIA Fifi Perfection</t>
  </si>
  <si>
    <t>ALS01-CO0062</t>
  </si>
  <si>
    <t>ALSTROMERIA Dubai Butterplus</t>
  </si>
  <si>
    <t>ALS01-CO0061</t>
  </si>
  <si>
    <t>ALSTROMERIA Dubai Perfection</t>
  </si>
  <si>
    <t>ALS01-CO0060</t>
  </si>
  <si>
    <t>ALSTROMERIA Whistler Perfection</t>
  </si>
  <si>
    <t>CAL01-NL0078</t>
  </si>
  <si>
    <t>Calla / Captain Odeon Orange 60cm</t>
  </si>
  <si>
    <t>MOK Jitti L</t>
  </si>
  <si>
    <t>DEN01-TH0092</t>
  </si>
  <si>
    <t>MOK Jitti XL</t>
  </si>
  <si>
    <t>GLO01-NL00003</t>
  </si>
  <si>
    <t>Gloriosa / Orange long</t>
  </si>
  <si>
    <t>IRIS01-NL0002</t>
  </si>
  <si>
    <t>Iris Shanghai</t>
  </si>
  <si>
    <t>TUL01-NL0303</t>
  </si>
  <si>
    <t>Tulip / Double Galileo</t>
  </si>
  <si>
    <t>Calla / Ventura white 60cm</t>
  </si>
  <si>
    <t>CAL01-NL0077-2</t>
  </si>
  <si>
    <t>Calla / Ventura white 70cm</t>
  </si>
  <si>
    <t>ALSTROMERIA Whistler Butterplus</t>
  </si>
  <si>
    <t>MIN01-CO0052</t>
  </si>
  <si>
    <t>Minicarnation Zumba red</t>
  </si>
  <si>
    <t>AIR01-ETC9999</t>
  </si>
  <si>
    <t>운송료</t>
  </si>
  <si>
    <t xml:space="preserve">경영지원 사용 코드
영업지원 사용 금지
</t>
  </si>
  <si>
    <t>ALS01-CO9999</t>
  </si>
  <si>
    <t>ALSTROMERIA</t>
  </si>
  <si>
    <t xml:space="preserve">경영지원 사용코드
영업지원 사용 금지
</t>
  </si>
  <si>
    <t>CAR01-CH9999</t>
  </si>
  <si>
    <t>CARNATION/CHINA</t>
  </si>
  <si>
    <t xml:space="preserve">경영지원 사용코드
영업지원 사용금지
</t>
  </si>
  <si>
    <t>CAR01-CO9999</t>
  </si>
  <si>
    <t>CARNATION</t>
  </si>
  <si>
    <t>CLA01-ETC9999</t>
  </si>
  <si>
    <t>Claim</t>
  </si>
  <si>
    <t>COC01-CO9999</t>
  </si>
  <si>
    <t>DEN01-TH9999</t>
  </si>
  <si>
    <t>den</t>
  </si>
  <si>
    <t>DOU01-US9999</t>
  </si>
  <si>
    <t>Douglas</t>
  </si>
  <si>
    <t>ETC01-CH9999</t>
  </si>
  <si>
    <t>ETC/ CHINA</t>
  </si>
  <si>
    <t>ETC05-CO9999</t>
  </si>
  <si>
    <t>FEE03-KR0021</t>
  </si>
  <si>
    <t>샘플/송이</t>
  </si>
  <si>
    <t>FEE03-KR0022</t>
  </si>
  <si>
    <t>샘플/단</t>
  </si>
  <si>
    <t>GOS01-ISL9999</t>
  </si>
  <si>
    <t>HYD01-CO9999</t>
  </si>
  <si>
    <t>Hydrangea</t>
  </si>
  <si>
    <t>MIN01-CO9999</t>
  </si>
  <si>
    <t>Minicarnation</t>
  </si>
  <si>
    <t>NZ01-NZ9997</t>
  </si>
  <si>
    <t>NZ01-NZ9998</t>
  </si>
  <si>
    <t>PITTOSPORUM</t>
  </si>
  <si>
    <t>NZ01-NZ9999</t>
  </si>
  <si>
    <t>PAEONIA</t>
  </si>
  <si>
    <t>RAN01-CO9999</t>
  </si>
  <si>
    <t>Ranunculus</t>
  </si>
  <si>
    <t>ROS01-CH9999</t>
  </si>
  <si>
    <t>ROSE / CHINA</t>
  </si>
  <si>
    <t>ROS01-CO9999</t>
  </si>
  <si>
    <t>ROS01-EC9999</t>
  </si>
  <si>
    <t>ROSE / Ecuador</t>
  </si>
  <si>
    <t>ROS01-ET9999</t>
  </si>
  <si>
    <t>ROSE / Ethiopia</t>
  </si>
  <si>
    <t>RUS01-CO9999</t>
  </si>
  <si>
    <t>Ruscus israelí</t>
  </si>
  <si>
    <t>SAL01-US9999</t>
  </si>
  <si>
    <t>TUL01-NL9999</t>
  </si>
  <si>
    <t>Tulip</t>
  </si>
  <si>
    <t>TUL01-NL0304</t>
  </si>
  <si>
    <t>Tulip / Frilled crispy pink</t>
  </si>
  <si>
    <t>TUL01-NL0305</t>
  </si>
  <si>
    <t>Tulip / vip dyed gypsy brown</t>
  </si>
  <si>
    <t>TUL01-NL0306</t>
  </si>
  <si>
    <t>Tulip / vip dyed gypsy grey</t>
  </si>
  <si>
    <t>TUL01-NL0307</t>
  </si>
  <si>
    <t>Tulip / vip dyed passoa</t>
  </si>
  <si>
    <t>TUL01-NL0308</t>
  </si>
  <si>
    <t>Tulip / vip dyed royal blue</t>
  </si>
  <si>
    <t>TUL01-NL0309</t>
  </si>
  <si>
    <t>Tulip / apricot parrot</t>
  </si>
  <si>
    <t>ALL01-NL0017</t>
  </si>
  <si>
    <t xml:space="preserve">Allium / siculum sweety </t>
  </si>
  <si>
    <t>AGA01-NL0013</t>
  </si>
  <si>
    <t>[EZ] Agapanthus / Eyfori light blue</t>
  </si>
  <si>
    <t>KAN01-NL0319</t>
  </si>
  <si>
    <t>Kangaroo / paws green</t>
  </si>
  <si>
    <t>ALS01-CO0073</t>
  </si>
  <si>
    <t>ALSTROMERIA florentina</t>
  </si>
  <si>
    <t>GYP01-CHI001</t>
  </si>
  <si>
    <t>CHINA / 안개꽃 (Gypsophila white)</t>
  </si>
  <si>
    <t>1kg</t>
  </si>
  <si>
    <t>CAR01-CO0255</t>
  </si>
  <si>
    <t>CARNATION Tinted Lavender</t>
  </si>
  <si>
    <t>Calla / Ivory Art 65cm</t>
  </si>
  <si>
    <t>Calla / Ivory Art 70cm</t>
  </si>
  <si>
    <t>ROS01-CO216</t>
  </si>
  <si>
    <t>Spray Rose / WHITE MAYOLICA 50cm</t>
  </si>
  <si>
    <t>ROS01-CHI096</t>
  </si>
  <si>
    <t>Eucalyptus CHINA / 블랙잭 (베이비 블루) (대) 1Kg</t>
  </si>
  <si>
    <t>ANT01-NL0098</t>
  </si>
  <si>
    <t>Anthurium Princess Alexia Bordeaux 9cm</t>
  </si>
  <si>
    <t>레드/9cm 1박스 20 스템</t>
  </si>
  <si>
    <t>CAL01-NL0086</t>
  </si>
  <si>
    <t>Calla/ CALL CEARA 60cm</t>
  </si>
  <si>
    <t>CAM01-NL0004</t>
  </si>
  <si>
    <t>Campanula / Campana Pearl Pink</t>
  </si>
  <si>
    <t>Minicarnation Carimbo</t>
  </si>
  <si>
    <t>CAR01-CO0528</t>
  </si>
  <si>
    <t>CARNATION Indie</t>
  </si>
  <si>
    <t>ROS01-CHI097</t>
  </si>
  <si>
    <t>Eucalyptus CHINA / 시드 (seeds)</t>
  </si>
  <si>
    <t>ROS01-CHI098</t>
  </si>
  <si>
    <t>ROSE CHINA / 비타라 (Vitara)</t>
  </si>
  <si>
    <t>ROS01-EC0226</t>
  </si>
  <si>
    <t>Ecuador Feather Blue</t>
  </si>
  <si>
    <t>ROS01-EC0227</t>
  </si>
  <si>
    <t>Ecuador Royal Blue D29</t>
  </si>
  <si>
    <t>ROS01-EC0228</t>
  </si>
  <si>
    <t>Ecuador Metal Blue</t>
  </si>
  <si>
    <t>ROS01-EC0229</t>
  </si>
  <si>
    <t>Ecuador Dark Navy Blue D73</t>
  </si>
  <si>
    <t>ROS01-EC0230</t>
  </si>
  <si>
    <t>CAR01-CO0324</t>
  </si>
  <si>
    <t xml:space="preserve">CARNATION Cosmo lilac </t>
  </si>
  <si>
    <t>ROS01-CO0610</t>
  </si>
  <si>
    <t xml:space="preserve">ROSE / Garden mayra white 50cm </t>
  </si>
  <si>
    <t>ROS01-CO0611</t>
  </si>
  <si>
    <t>ROSE / Garden mayra pink 50cm</t>
  </si>
  <si>
    <t>ROS01-CO0612</t>
  </si>
  <si>
    <t>ROSE / Tabatha 60cm</t>
  </si>
  <si>
    <t>CAL01-NL0222</t>
  </si>
  <si>
    <t xml:space="preserve">Calla/Captain Odeon 65cm </t>
  </si>
  <si>
    <t>AGA01-NL0043</t>
  </si>
  <si>
    <t>Agapanthus / Eyfori light blue</t>
  </si>
  <si>
    <t>연블루/MoQ x20</t>
  </si>
  <si>
    <t>FEE03-KR0001</t>
  </si>
  <si>
    <t>카네이션 운송료</t>
  </si>
  <si>
    <t>FEE03-KR0002</t>
  </si>
  <si>
    <t>수국 운송료</t>
  </si>
  <si>
    <t>FEE03-KR0003</t>
  </si>
  <si>
    <t>레몬잎 운송료</t>
  </si>
  <si>
    <t>FEE03-KR0004</t>
  </si>
  <si>
    <t>네덜란드 운송료</t>
  </si>
  <si>
    <t>FEE03-KR0005</t>
  </si>
  <si>
    <t>호주 운송료</t>
  </si>
  <si>
    <t>FEE03-KR0006</t>
  </si>
  <si>
    <t>이탈리아 운송료</t>
  </si>
  <si>
    <t>FEE03-KR0023</t>
  </si>
  <si>
    <t>루스커스 운송료</t>
  </si>
  <si>
    <t>FEE03-KR0026</t>
  </si>
  <si>
    <t>덴파레 운송료</t>
  </si>
  <si>
    <t>FEE03-KR0770</t>
  </si>
  <si>
    <t>판매요청/단</t>
  </si>
  <si>
    <t>FEE03-KR0007</t>
  </si>
  <si>
    <t>현지상차운임</t>
  </si>
  <si>
    <t>ROS01-CO0552</t>
  </si>
  <si>
    <t>ROSE / Momentum 60cm</t>
  </si>
  <si>
    <t>ROS01-CHI100</t>
  </si>
  <si>
    <t>ROSE CHINA / 프라우드(White proud) [red box]</t>
  </si>
  <si>
    <t>ROS01-CHI101</t>
  </si>
  <si>
    <t>ROSE CHINA / 아바란체(Avalanche) 40cm</t>
  </si>
  <si>
    <t>DEN01-TH0233</t>
  </si>
  <si>
    <t>MOK Ruby Red XL</t>
  </si>
  <si>
    <t>(MOK.Kittilo Red 대체)</t>
  </si>
  <si>
    <t>DEN01-TH0234</t>
  </si>
  <si>
    <t>Mok. blue sky XL</t>
  </si>
  <si>
    <t xml:space="preserve">(Lavender) 라벤더 </t>
  </si>
  <si>
    <t>LIN01-CHI001</t>
  </si>
  <si>
    <t>Lisianthus CHINA / 화이트 (Rosita 3 Type white) 600g</t>
  </si>
  <si>
    <t>LIN01-CHI002</t>
  </si>
  <si>
    <t>Lisianthus CHINA / 샴페인 (Reina Champagne) 600g</t>
  </si>
  <si>
    <t>LIN01-CHI003</t>
  </si>
  <si>
    <t>Lisianthus CHINA / 핑크 (mariachi Light pink) 600g</t>
  </si>
  <si>
    <t>AST01-NL0007</t>
  </si>
  <si>
    <t>Astillbe / Romanze L/Pink</t>
  </si>
  <si>
    <t>ROS01-CO0501</t>
  </si>
  <si>
    <t>ROSE / Summerligtht</t>
  </si>
  <si>
    <t>Pro / MAYRA GARDEN ROSES Hot Pink</t>
  </si>
  <si>
    <t xml:space="preserve">나투 장미 프로모션용 코드
사용전 이카운트에서 품목 등록 후 코드 심어주세요 !
</t>
  </si>
  <si>
    <t>Pro / MAYRA GARDEN ROSES Peach</t>
  </si>
  <si>
    <t>ROS01-CHI102</t>
  </si>
  <si>
    <t>ROSE CHINA / 퀵샌드 (Quick Sand)</t>
  </si>
  <si>
    <t>Pro / MAYRA GARDEN ROSES Light pink</t>
  </si>
  <si>
    <t>Pro / MAYRA GARDEN ROSES Pink</t>
  </si>
  <si>
    <t>Pro / MAYRA GARDEN ROSES White</t>
  </si>
  <si>
    <t xml:space="preserve">
나투 장미 프로모션용 코드
사용전 이카운트에서 품목 등록 후 코드 심어주세요 !
</t>
  </si>
  <si>
    <t>Pro / SPRAY ROSE Hot Pink Cerise</t>
  </si>
  <si>
    <t xml:space="preserve">나투 장미 프로모션용 코드
사용전 이카운트에서 품목 등록 후 코드 심어주세요 </t>
  </si>
  <si>
    <t>Pro / SPRAY ROSE Dusty Hot pink</t>
  </si>
  <si>
    <t xml:space="preserve">나투 장미 프로모션용 코드
사용전 이카운트에서 품목 등록 후 코드 심어주세요 !</t>
  </si>
  <si>
    <t>Pro / SPRAY ROSE Cream</t>
  </si>
  <si>
    <t>Pro / SPRAY ROSE Sweety</t>
  </si>
  <si>
    <t>CLE01-NL0040</t>
  </si>
  <si>
    <t>Clematis Amazing Kyiv 70cm</t>
  </si>
  <si>
    <t>CLE01-NL0041</t>
  </si>
  <si>
    <t>Clematis Amazing Sofia 70cm</t>
  </si>
  <si>
    <t>보라/</t>
  </si>
  <si>
    <t>HYD01-NL0102</t>
  </si>
  <si>
    <t>Hydrangea Classic Royal Love Lavender/Crème 80cm</t>
  </si>
  <si>
    <t>HYD01-NL0103</t>
  </si>
  <si>
    <t>Hydrangea My Beautiful Vienna 90cm</t>
  </si>
  <si>
    <t>ROS01-CHI099</t>
  </si>
  <si>
    <t>Eucalyptus CHINA / 포퓰러스 그레인, 열매 (populus grain) 600g</t>
  </si>
  <si>
    <t>ROS01-CHI200</t>
  </si>
  <si>
    <t>Amaranthus CHINA / 줄맨드라미 화이트</t>
  </si>
  <si>
    <t>ROS01-CHI201</t>
  </si>
  <si>
    <t>Amaranthus CHINA / 줄맨드라미 오렌지</t>
  </si>
  <si>
    <t>ROS01-CHI202</t>
  </si>
  <si>
    <t>Amaranthus CHINA / 줄맨드라미 레드</t>
  </si>
  <si>
    <t>ROS01-CHI203</t>
  </si>
  <si>
    <t>Amaranthus CHINA / 줄맨드라미 그린</t>
  </si>
  <si>
    <t>ROS01-CHI204</t>
  </si>
  <si>
    <t>Amaranthus CHINA / 줄맨드라미 옐로우</t>
  </si>
  <si>
    <t>HYD01-NL0104</t>
  </si>
  <si>
    <t>Hydrangea My Beautiful Vienna 80cm</t>
  </si>
  <si>
    <t>CAR01-CO0221</t>
  </si>
  <si>
    <t>CARNATION Ares</t>
  </si>
  <si>
    <t>ROS01-CHI154</t>
  </si>
  <si>
    <t>ROSE CHINA / 오션 퍼플 (Ocean purple)</t>
  </si>
  <si>
    <t>ROS01-CO217</t>
  </si>
  <si>
    <t>Spray Rose / WHITE MAYOLICA 40cm</t>
  </si>
  <si>
    <t>CAR01-CHI002</t>
  </si>
  <si>
    <t>Carnation CHINA / 뉴마스터 New master</t>
  </si>
  <si>
    <t>CAR01-CHI003</t>
  </si>
  <si>
    <t>Carnation CHINA / 베스티 (Betsy)</t>
  </si>
  <si>
    <t>CAR01-CHI004</t>
  </si>
  <si>
    <t>Carnation CHINA / 돈셀 (Doncel)</t>
  </si>
  <si>
    <t>CAR01-CHI005</t>
  </si>
  <si>
    <t>Carnation CHINA / 고블린 (Goblin)</t>
  </si>
  <si>
    <t>CAR01-CHI006</t>
  </si>
  <si>
    <t>Carnation CHINA / 문라이트 (Moonlight)</t>
  </si>
  <si>
    <t>CAR01-CHI007</t>
  </si>
  <si>
    <t>Carnation CHINA / 크리미아 (Crimea)</t>
  </si>
  <si>
    <t>CAR01-CHI008</t>
  </si>
  <si>
    <t>Carnation CHINA /  해피아워 (Happy hour)</t>
  </si>
  <si>
    <t>CAR01-CHI009</t>
  </si>
  <si>
    <t>Carnation CHINA / 찰리 (Charlie)</t>
  </si>
  <si>
    <t>CAR01-CHI010</t>
  </si>
  <si>
    <t>Carnation CHINA / 오렌지 라이트 (Orange ligjht)</t>
  </si>
  <si>
    <t>CAR01-CHI011</t>
  </si>
  <si>
    <t>Spray Carnation CHINA / 아이비스 (Ibis)</t>
  </si>
  <si>
    <t>CAR01-CHI012</t>
  </si>
  <si>
    <t>Spray Carnation CHINA / 이마진 (Imagine)</t>
  </si>
  <si>
    <t>CAR01-CHI013</t>
  </si>
  <si>
    <t>Spray Carnation CHINA / 로잔느 (Roxanne)</t>
  </si>
  <si>
    <t>CAR01-CHI014</t>
  </si>
  <si>
    <t>Spray Carnation CHINA / 데코더 (Decoder)</t>
  </si>
  <si>
    <t>CAR01-CHI015</t>
  </si>
  <si>
    <t>Spray Carnation CHINA / 벨몬테 (Belmonte)</t>
  </si>
  <si>
    <t>CAR01-CHI016</t>
  </si>
  <si>
    <t>Spray Carnation CHINA / 트렌디 테시노 (Trendy Tessino)</t>
  </si>
  <si>
    <t>CAR01-CHI017</t>
  </si>
  <si>
    <t>Spray Carnation CHINA / 스칼렛 퀸 (Scarlet Queen)</t>
  </si>
  <si>
    <t>CAR01-CHI018</t>
  </si>
  <si>
    <t>Spray Carnation CHINA / 23257 (sm)</t>
  </si>
  <si>
    <t>CAR01-CHI019</t>
  </si>
  <si>
    <t>Spray Carnation CHINA / 솔로미오 Solomio Ard (White)</t>
  </si>
  <si>
    <t>MIN01-CO0053</t>
  </si>
  <si>
    <t>MINICARNATION Mix Box</t>
  </si>
  <si>
    <t>SIN01-CHI004</t>
  </si>
  <si>
    <t>CHINA / 리모늄 스타티스 연보라 (Statice light purple)</t>
  </si>
  <si>
    <t>SIN01-CHI005</t>
  </si>
  <si>
    <t>CHINA / 리모늄 스타티스 진핑크 (Statice dark pink)</t>
  </si>
  <si>
    <t>SIN01-CHI006</t>
  </si>
  <si>
    <t>CHINA / 리모늄 스타티스 연핑크 (Statice light pink)</t>
  </si>
  <si>
    <t>SIN01-CHI007</t>
  </si>
  <si>
    <t>CHINA / 리모늄 스타티스 진보라 (Statice dark purple)</t>
  </si>
  <si>
    <t>SIN01-CHI008</t>
  </si>
  <si>
    <t>CHINA / 리모늄 스타티스 화이트 (Statice white)</t>
  </si>
  <si>
    <t>DID01-CHI001</t>
  </si>
  <si>
    <t>CHINA / 디디스커스 화이트 (Didiscus caeruleus-white)</t>
  </si>
  <si>
    <t>DID01-CHI002</t>
  </si>
  <si>
    <t>CHINA / 디디스커스 퍼플 (Didiscus caeruleus-light purple)</t>
  </si>
  <si>
    <t>WAX01-CHI001</t>
  </si>
  <si>
    <t>CHINA / 왁스 화이트 (Wax White)</t>
  </si>
  <si>
    <t>400g</t>
  </si>
  <si>
    <t>DEN01-TH0093</t>
  </si>
  <si>
    <t>Den. JK LIGHT PINK (연핑크) XL</t>
  </si>
  <si>
    <t>DEN01-TH0094</t>
  </si>
  <si>
    <t>Den. JK LIGHT PINK (연핑크) L</t>
  </si>
  <si>
    <t>DEN01-TH0095</t>
  </si>
  <si>
    <t>Den. JK LIGHT PINK (연핑크) M</t>
  </si>
  <si>
    <t>ANT01-CHI001</t>
  </si>
  <si>
    <t>CHINA Anthurium / 안시리움 만취 13cm</t>
  </si>
  <si>
    <t>CHR01-CHI001</t>
  </si>
  <si>
    <t>Chrysanthemum CHINA / Chrysanthemum White</t>
  </si>
  <si>
    <t>CHR01-CHI002</t>
  </si>
  <si>
    <t>Chrysanthemum CHINA / Chrysanthemum yellow</t>
  </si>
  <si>
    <t>MAR01-CHI001</t>
  </si>
  <si>
    <t>Matricaria CHINA / Matricaria White</t>
  </si>
  <si>
    <t>DID01-CHI003</t>
  </si>
  <si>
    <t>CHINA / 디디스커스 핑크 (Didiscus caeruleus-pink)</t>
  </si>
  <si>
    <t>VER01-CHI001</t>
  </si>
  <si>
    <t>Veronica CHINA / 베로니카 화이트 (Veronica White)</t>
  </si>
  <si>
    <t>VER01-CHI002</t>
  </si>
  <si>
    <t>Veronica CHINA / 베로니카 핑크 (Veronica Pink)</t>
  </si>
  <si>
    <t>VER01-CHI003</t>
  </si>
  <si>
    <t>Veronica CHINA / 베로니카 보라 (Veronica purple)</t>
  </si>
  <si>
    <t>CAR01-CHI020</t>
  </si>
  <si>
    <t>Spray Carnation CHINA / 솔로미오 Solomio Rose (pink)</t>
  </si>
  <si>
    <t>CAR01-CHI021</t>
  </si>
  <si>
    <t>Spray Carnation CHINA / 솔로미오 Solomio Bern (Green)</t>
  </si>
  <si>
    <t>CAR01-CHI022</t>
  </si>
  <si>
    <t>Spray Carnation CHINA / 솔로미오 Solomio Fen (Dark Pink)</t>
  </si>
  <si>
    <t>CAR01-CHI023</t>
  </si>
  <si>
    <t>Spray Carnation CHINA / 솔로미오 Solomio Striplefly (Red-White)</t>
  </si>
  <si>
    <t>CAR01-CHI024</t>
  </si>
  <si>
    <t>Spray Carnation CHINA / 솔로미오 Solomio Simply strike (Red Border)</t>
  </si>
  <si>
    <t>CAL01-NL0140</t>
  </si>
  <si>
    <t>Calla / Auckland 70cm L/pink</t>
  </si>
  <si>
    <t>NUT01-NL0004</t>
  </si>
  <si>
    <t>Nutan / Ayoba Yellow 40cm</t>
  </si>
  <si>
    <t>NUT01-NL0005</t>
  </si>
  <si>
    <t>Nutan / Ayoba Yellow 50cm</t>
  </si>
  <si>
    <t>GLA01-NL0035</t>
  </si>
  <si>
    <t>Gladiolus / Nova Zembla 110cm</t>
  </si>
  <si>
    <t>GLA01-NL0034</t>
  </si>
  <si>
    <t>Gladiolus / Karma</t>
  </si>
  <si>
    <t>ROS01-CO0613</t>
  </si>
  <si>
    <t>ROSE / Garden mayra Peach 50cm</t>
  </si>
  <si>
    <t>ROS01-CO0614</t>
  </si>
  <si>
    <t>ROSE / Arlen 50cm</t>
  </si>
  <si>
    <t>SIL01-CHI001</t>
  </si>
  <si>
    <t xml:space="preserve">Silene armeria CHINA </t>
  </si>
  <si>
    <t>AMM01-CHI001</t>
  </si>
  <si>
    <t>Ammi CHINA</t>
  </si>
  <si>
    <t>DRY01-CHI001</t>
  </si>
  <si>
    <t>dry Avena sativa L. CHINA</t>
  </si>
  <si>
    <t>IRIS01-NL0003</t>
  </si>
  <si>
    <t>Iris White Magic</t>
  </si>
  <si>
    <t>CAL01-NL0901</t>
  </si>
  <si>
    <t>Calla / Ventura White 80cm</t>
  </si>
  <si>
    <t>IRIS01-NL0004</t>
  </si>
  <si>
    <t>Iris Apollo</t>
  </si>
  <si>
    <t>NUT01-NL0006</t>
  </si>
  <si>
    <t>Nutan / Ayoba Orange 40cm</t>
  </si>
  <si>
    <t>MIN01-CO0054</t>
  </si>
  <si>
    <t xml:space="preserve">Minicarnation Romany </t>
  </si>
  <si>
    <t>FEE03-KR0027</t>
  </si>
  <si>
    <t>장미 운송료</t>
  </si>
  <si>
    <t>CAL01-CHI001</t>
  </si>
  <si>
    <t>CALLA CHINA / 카라 화이트 (zantedechia white)</t>
  </si>
  <si>
    <t>CAL01-CHI002</t>
  </si>
  <si>
    <t>CALLA CHINA / 카라 핑크 (zantedechia Pink)</t>
  </si>
  <si>
    <t>CAL01-CHI003</t>
  </si>
  <si>
    <t>CALLA CHINA / 카라 레드 (zantedechia Red)</t>
  </si>
  <si>
    <t>ALL01-NL0019</t>
  </si>
  <si>
    <t>Allium / Summer Drummer</t>
  </si>
  <si>
    <t>MIN01-CO0055</t>
  </si>
  <si>
    <t>MInicarnation Minuetto</t>
  </si>
  <si>
    <t>DEL01-NL0024</t>
  </si>
  <si>
    <t xml:space="preserve">Delphinium / Impressive White		</t>
  </si>
  <si>
    <t>CAR01-CHI025</t>
  </si>
  <si>
    <t>Spray Carnation CHINA / 솔로미오 Solomio purple</t>
  </si>
  <si>
    <t>KAN01-NL0320</t>
  </si>
  <si>
    <t xml:space="preserve">Kangaroo / Paws Early Spring </t>
  </si>
  <si>
    <t>EUC01-CHI002</t>
  </si>
  <si>
    <t>Eucalyptus CHINA / 유칼리튭스_시네리아 (Eucalyptus - Cinerea)</t>
  </si>
  <si>
    <t>EUC01-CHI003</t>
  </si>
  <si>
    <t>Scabiosa CHINA / 스카비오사 화이트 (Scabiosa white)</t>
  </si>
  <si>
    <t>EUC01-CHI004</t>
  </si>
  <si>
    <t>Scabiosa CHINA / 스카비오사 퍼플 (Scabiosa purple)</t>
  </si>
  <si>
    <t>EUC01-CHI005</t>
  </si>
  <si>
    <t>Pong Pong CHINA / 퐁퐁 화이트 (Pong Pong – white)</t>
  </si>
  <si>
    <t>EUC01-CHI006</t>
  </si>
  <si>
    <t>Pong Pong CHINA / 퐁퐁 핑크 (Pong Pong – PINK)</t>
  </si>
  <si>
    <t>EUC01-CHI007</t>
  </si>
  <si>
    <t>Pong Pong CHINA / 퐁퐁 노랑 (Pong Pong – Yellow)</t>
  </si>
  <si>
    <t>CAR01-CHI026</t>
  </si>
  <si>
    <t>Spray Carnation CHINA / 피치 (Peach)</t>
  </si>
  <si>
    <t>ROS01-CHI105</t>
  </si>
  <si>
    <t>Eucalyptus CHINA / 블랙잭 (베이비 블루) (소) 600g</t>
  </si>
  <si>
    <t>ROS01-CHI103</t>
  </si>
  <si>
    <t>ROSE CHINA / 문워크(Moon walk) (Red box)</t>
  </si>
  <si>
    <t>ROS01-CHI104</t>
  </si>
  <si>
    <t xml:space="preserve">ROSE CHINA / 켄서 (Cancer) </t>
  </si>
  <si>
    <t>ROS01-CHI155</t>
  </si>
  <si>
    <t>ROSE CHINA / 오션송(Ocean song) RED BOX</t>
  </si>
  <si>
    <t>ROS01-CHI156</t>
  </si>
  <si>
    <t>ROSE CHINA / 만달라(Mandala) 65-75cm</t>
  </si>
  <si>
    <t>RAT01-CHI001</t>
  </si>
  <si>
    <t>CHINA / 보리사초 (Chasmanthium latifolium) (1단/50송의)</t>
  </si>
  <si>
    <t>ERY01-NL0009</t>
  </si>
  <si>
    <t>Eryngium Orion Blue 50cm</t>
  </si>
  <si>
    <t>ROS01-CHI120</t>
  </si>
  <si>
    <t>ROSE CHINA / 프라우드 (White Proud) MJP (black box)</t>
  </si>
  <si>
    <t>CAR01-CHI027</t>
  </si>
  <si>
    <t>Spray Carnation CHINA / 다이아몬드 (Diamond)</t>
  </si>
  <si>
    <t>CAR01-CHI028</t>
  </si>
  <si>
    <t>Spray Carnation CHINA / 체리 테시노 (SP Carnation-Cherry Tessino)</t>
  </si>
  <si>
    <t>CAL01-CHI004</t>
  </si>
  <si>
    <t>CALLA CHINA / 카라 블랙 (zantedechia Black)</t>
  </si>
  <si>
    <t>CAL01-CHI005</t>
  </si>
  <si>
    <t>CALLA CHINA / 카라 노랑 (zantedechia yellow)</t>
  </si>
  <si>
    <t>CAL01-CHI006</t>
  </si>
  <si>
    <t>CALLA CHINA / 카라 오렌지 (zantedechia orange)</t>
  </si>
  <si>
    <t>CAL01-CHI007</t>
  </si>
  <si>
    <t>CALLA CHINA / 카라 진핑크 (zantedechia Dark pink)</t>
  </si>
  <si>
    <t>CAL01-CHI008</t>
  </si>
  <si>
    <t>CALLA CHINA / 카라 망고 (zantedechia mango)</t>
  </si>
  <si>
    <t>DEN01-TH0224</t>
  </si>
  <si>
    <t>Den. Red wine XL</t>
  </si>
  <si>
    <t>DEN01-TH0225</t>
  </si>
  <si>
    <t>MOK.Salaya Red XL</t>
  </si>
  <si>
    <t>HYD01-NL0111</t>
  </si>
  <si>
    <t>Hydrangea / Classic Royal King</t>
  </si>
  <si>
    <t>HYD01-NL0112</t>
  </si>
  <si>
    <t>Hydrangea / Classic Royal Love Pink</t>
  </si>
  <si>
    <t>AST01-NL0008</t>
  </si>
  <si>
    <t>Astilbe / Anita Pfeifer</t>
  </si>
  <si>
    <t>IRIS01-NL0005</t>
  </si>
  <si>
    <t>Iris Hong Kong</t>
  </si>
  <si>
    <t>ROS01-CHI157</t>
  </si>
  <si>
    <t>ROSE CHINA / 오션하트 (Ocean heart)</t>
  </si>
  <si>
    <t>MIN01-CO0153</t>
  </si>
  <si>
    <t>Minicarnation MixBox ( Ligth pink, white)</t>
  </si>
  <si>
    <t>ROS01-CHI159</t>
  </si>
  <si>
    <t>ROSE CHINA / 케이라 (Keira)</t>
  </si>
  <si>
    <t>ROS01-CHI160</t>
  </si>
  <si>
    <t>ROSE CHINA / 줄리엣 (Juliet )</t>
  </si>
  <si>
    <t>ROS01-CHI161</t>
  </si>
  <si>
    <t>ROSE CHINA / 티나 (Tina)</t>
  </si>
  <si>
    <t>ROS01-CHI162</t>
  </si>
  <si>
    <t>ROSE CHINA / 캐리 (Kary)</t>
  </si>
  <si>
    <t>CAR01-CHI029</t>
  </si>
  <si>
    <t>Spray carnation CHINA / SP Carnation Clif (Orange Red)</t>
  </si>
  <si>
    <t>CAR01-CHI030</t>
  </si>
  <si>
    <t>Spray carnation CHINA / SP Carnation Imre (Hot pink)</t>
  </si>
  <si>
    <t>CAR01-CHI031</t>
  </si>
  <si>
    <t>Spray carnation CHINA / SP Carnation - Solemio Cash (Light pink)</t>
  </si>
  <si>
    <t>CAR01-CHI032</t>
  </si>
  <si>
    <t>Spray carnation CHINA / SP Carnation - Solomio Sem (white -purple)</t>
  </si>
  <si>
    <t>CAR01-CHI033</t>
  </si>
  <si>
    <t>Spray carnation CHINA / SP Carnation - Solomio Tino (purple-white)</t>
  </si>
  <si>
    <t>CAR01-CHI034</t>
  </si>
  <si>
    <t>Spray carnation CHINA / SP Carnation - Solomio Blondfly (연노랑)</t>
  </si>
  <si>
    <t>MIN01-CO0056</t>
  </si>
  <si>
    <t>Minicarnation Roxanne (Light pink)</t>
  </si>
  <si>
    <t>ALS01-CO0074</t>
  </si>
  <si>
    <t>ALSTROMERIA Gold Butterplus</t>
  </si>
  <si>
    <t>CAR01-CO0529</t>
  </si>
  <si>
    <t>CARNATION Innovation</t>
  </si>
  <si>
    <t xml:space="preserve">Colibri농자에 있음. </t>
  </si>
  <si>
    <t>ROS01-CO0615</t>
  </si>
  <si>
    <t>ROSE / Tabatha 50cm</t>
  </si>
  <si>
    <t>ROS01-CO218</t>
  </si>
  <si>
    <t>SPRAY ROSE / Candy Blossom</t>
  </si>
  <si>
    <t>Funza solo es para 대림</t>
  </si>
  <si>
    <t>ROS01-CO0616</t>
  </si>
  <si>
    <t>ROSE / Sugar Doll 60cm</t>
  </si>
  <si>
    <t>ROS01-CO0617</t>
  </si>
  <si>
    <t>ROSE / Alive 60cm</t>
  </si>
  <si>
    <t>MIN01-CO0057</t>
  </si>
  <si>
    <t>Minicarnation MixBox (Peach, Light pink)</t>
  </si>
  <si>
    <t>MIN01-CO0058</t>
  </si>
  <si>
    <t>Minicarnation MixBox (Yellow, Cream)</t>
  </si>
  <si>
    <t>ALS01-CO0075</t>
  </si>
  <si>
    <t>ALSTROMERIA Mila</t>
  </si>
  <si>
    <t>ROS01-CO0618</t>
  </si>
  <si>
    <t>ROSE / Bimba 50cm</t>
  </si>
  <si>
    <t>마티나 농장에 있습니다.</t>
  </si>
  <si>
    <t>ROS01-CO0619</t>
  </si>
  <si>
    <t>ROSE / Bimba 60cm</t>
  </si>
  <si>
    <t>마티나 농장</t>
  </si>
  <si>
    <t>ROS01-CO0620</t>
  </si>
  <si>
    <t>ROSE / Phoenix 60cm</t>
  </si>
  <si>
    <t>ROS01-CO0621</t>
  </si>
  <si>
    <t>ROSE / Phoenix 50cm</t>
  </si>
  <si>
    <t>ROS01-CO219</t>
  </si>
  <si>
    <t>ROSE / Seville 50cm</t>
  </si>
  <si>
    <t>나투 농장</t>
  </si>
  <si>
    <t>ROS01-CO220</t>
  </si>
  <si>
    <t>ROSE / Seville 60cm</t>
  </si>
  <si>
    <t>ROS01-CO221</t>
  </si>
  <si>
    <t>ROSE / Sample</t>
  </si>
  <si>
    <t>ALL01-NL0020</t>
  </si>
  <si>
    <t>Allium / Autumn Bee Attraction</t>
  </si>
  <si>
    <t>ANTI1-NL0027</t>
  </si>
  <si>
    <t>Anthurium nero 15cm</t>
  </si>
  <si>
    <t>ROS01-CHI268</t>
  </si>
  <si>
    <t>ROSE CHINA / 카푸치노 (Capuchino) DY</t>
  </si>
  <si>
    <t>ALL01-NL0021</t>
  </si>
  <si>
    <t>Allium / Pink Lady</t>
  </si>
  <si>
    <t>HYA01-NL0021</t>
  </si>
  <si>
    <t>Hyacinthus / Delft Blue</t>
  </si>
  <si>
    <t>HYA01-NL0022</t>
  </si>
  <si>
    <t>Hyacinthus/ Polar Giant</t>
  </si>
  <si>
    <t>HYD01-NL0122</t>
  </si>
  <si>
    <t>Hydrangea / Classic Magical Charlotte Red/Green</t>
  </si>
  <si>
    <t>DEL01-NL0025</t>
  </si>
  <si>
    <t>Delphinium/ Elatum Double Centurion White 110cm</t>
  </si>
  <si>
    <t>ROS01-CHI163</t>
  </si>
  <si>
    <t>ROSE CHINA / 아도레 (Adore)</t>
  </si>
  <si>
    <t>CAR01-CHI035</t>
  </si>
  <si>
    <t>Spray carnation CHINA /태림 pic1,2</t>
  </si>
  <si>
    <t>EUC01-CHI008</t>
  </si>
  <si>
    <t>Scabiosa CHINA / 스카비오사 연핑크 (Scabiosa light pink)</t>
  </si>
  <si>
    <t>ANT01-NL0088</t>
  </si>
  <si>
    <t>Anthurium Adina 15cm</t>
  </si>
  <si>
    <t>ALS01-CO0076</t>
  </si>
  <si>
    <t>ALSTROMERIA Orange Queen Butterplus</t>
  </si>
  <si>
    <t>gabi mola</t>
  </si>
  <si>
    <t>HYA01-NL0103</t>
  </si>
  <si>
    <t>Hyacinthus / Blue Future</t>
  </si>
  <si>
    <t>MIN01-CO0059</t>
  </si>
  <si>
    <t>Minicarnation MixBox (Peach, White)</t>
  </si>
  <si>
    <t>ROS01-CO222</t>
  </si>
  <si>
    <t>ROSE CHINA / Sample</t>
  </si>
  <si>
    <t>ROS01-CHI121</t>
  </si>
  <si>
    <t>ROSE CHINA / 프라우드 (White Proud) DY</t>
  </si>
  <si>
    <t>ALS01-CO0101</t>
  </si>
  <si>
    <t>ALSTROMERIA MIX BOX Butterplus</t>
  </si>
  <si>
    <t>ROS01-CHI164</t>
  </si>
  <si>
    <t>SPRAY ROSE CHINA / 아모르젠 (Spray-Rose Amor Gen)</t>
  </si>
  <si>
    <t>FEE03-KR0041</t>
  </si>
  <si>
    <t>단가차감/송이</t>
  </si>
  <si>
    <t>HYA01-NL0104</t>
  </si>
  <si>
    <t>Hyacinthus/ Sky Jacket</t>
  </si>
  <si>
    <t>GYP01-CHI002</t>
  </si>
  <si>
    <t>CHINA / 안개꽃 (Gypsophila L.Pink)</t>
  </si>
  <si>
    <t>GYP01-CHI003</t>
  </si>
  <si>
    <t>CHINA / 안개꽃 (Gypsophila L.Blue)</t>
  </si>
  <si>
    <t>ROS01-CHI165</t>
  </si>
  <si>
    <t>ROSE CHINA / 만달라(Mandala) DY</t>
  </si>
  <si>
    <t>ROS01-CHI166</t>
  </si>
  <si>
    <t>ROSE CHINA / 오션송(Ocean song) DY</t>
  </si>
  <si>
    <t>GYP01-CHI004</t>
  </si>
  <si>
    <t>CHINA / 안개꽃 (Gypsophila Light Purple)</t>
  </si>
  <si>
    <t>ROS01-CHI167</t>
  </si>
  <si>
    <t>ROSE CHINA / 프리덤(Freedom)</t>
  </si>
  <si>
    <t>ROS01-CHI176</t>
  </si>
  <si>
    <t>ROSE CHINA / 주밀리아(Jumilia) DY</t>
  </si>
  <si>
    <t>MAR01-CHI002</t>
  </si>
  <si>
    <t>Matricaria CHINA / Margaret</t>
  </si>
  <si>
    <t>ROS01-CHI175</t>
  </si>
  <si>
    <t>ROSE CHINA / 나이팅게일(Nightingale, Purple Fairy)  DY</t>
  </si>
  <si>
    <t>ROS01-CHI168</t>
  </si>
  <si>
    <t>SPRAY ROSE CHINA / Yellow Babe</t>
  </si>
  <si>
    <t>ROS01-CHI169</t>
  </si>
  <si>
    <t>SPRAY ROSE CHINA / Hot Bubble</t>
  </si>
  <si>
    <t>ROS01-CHI170</t>
  </si>
  <si>
    <t>ROSE CHINA / 피치 아바란체 (Peach avalanche)샴페인</t>
  </si>
  <si>
    <t>ROS01-CHI171</t>
  </si>
  <si>
    <t xml:space="preserve">SPRAY ROSE CHINA / 스칼렛 버블 (Spray-Rose Scarlet Buble) </t>
  </si>
  <si>
    <t>ROS01-CHI172</t>
  </si>
  <si>
    <t xml:space="preserve">SPRAY ROSE CHINA / 오션송 ( Ocean Song) </t>
  </si>
  <si>
    <t>ROS01-CHI173</t>
  </si>
  <si>
    <t>ROSE CHINA / Momentum</t>
  </si>
  <si>
    <t>CAR01-CHI036</t>
  </si>
  <si>
    <t>Carnation CHINA / 토닉골렘  Tonic Golem</t>
  </si>
  <si>
    <t>GLA01-NL0036</t>
  </si>
  <si>
    <t>Gladiolus / Large Karma</t>
  </si>
  <si>
    <t>Carnation CHINA / 오렌지 빛 Orange ligth</t>
  </si>
  <si>
    <t>HYD01-CO0031</t>
  </si>
  <si>
    <t>Hydrangea Lavender Intenso (진 라벤더)</t>
  </si>
  <si>
    <t>ROS01-CO223</t>
  </si>
  <si>
    <t>ROSE / Alive 50cm</t>
  </si>
  <si>
    <t>MIN01-CO0154</t>
  </si>
  <si>
    <t>Minicarnation MixBox (Ｗhite, Rosemary)</t>
  </si>
  <si>
    <t>MIN01-CO0155</t>
  </si>
  <si>
    <t>Minicarnation MixBox (Yellow, Cream Intermezzo)</t>
  </si>
  <si>
    <t>MIN01-CO0156</t>
  </si>
  <si>
    <t>Minicarnation MixBox (Peach, Cream)</t>
  </si>
  <si>
    <t>MIN01-CO0157</t>
  </si>
  <si>
    <t>Minicarnation MixBox (Peach, Yellow)</t>
  </si>
  <si>
    <t>DEN01-TH0235</t>
  </si>
  <si>
    <t>MOK Ruby Red M</t>
  </si>
  <si>
    <t>ROS01-NL0050</t>
  </si>
  <si>
    <t>ROSE / CAPPUCCINO</t>
  </si>
  <si>
    <t xml:space="preserve">당단 10스팀
</t>
  </si>
  <si>
    <t>CAR01-CO0534</t>
  </si>
  <si>
    <t>CARNATION Hanoi</t>
  </si>
  <si>
    <t>WAX01-CHI002</t>
  </si>
  <si>
    <t>CHINA / 왁스 샴페인 (Wax champange)</t>
  </si>
  <si>
    <t>WAX01-CHI003</t>
  </si>
  <si>
    <t>CHINA / 왁스 블루 (Wax Blue)</t>
  </si>
  <si>
    <t>WAX01-CHI004</t>
  </si>
  <si>
    <t>CHINA / 왁스 핑크 (Wax pink)</t>
  </si>
  <si>
    <t>LIN01-CHI004</t>
  </si>
  <si>
    <t>Lisianthus CHINA / Celebrich 2 화이트 (white) 600g</t>
  </si>
  <si>
    <t>600gram</t>
  </si>
  <si>
    <t>LIN01-CHI005</t>
  </si>
  <si>
    <t>Lisianthus CHINA / Celeb 2 라벤더 (Lavender) 600g</t>
  </si>
  <si>
    <t>ROS01-CHI174</t>
  </si>
  <si>
    <t xml:space="preserve">ROSE CHINA / 티파니(Tifani) </t>
  </si>
  <si>
    <t>Matricaria Cameron White 55cm</t>
  </si>
  <si>
    <t>SIN01-CHI009</t>
  </si>
  <si>
    <t>CHINA / 리모늄 스타티스 노랑 (Statice Yellow)</t>
  </si>
  <si>
    <t>SIN01-CHI010</t>
  </si>
  <si>
    <t>CHINA / 리모늄 스타티스 옐로우 (Statice Yellow)</t>
  </si>
  <si>
    <t>ROS01-CHI177</t>
  </si>
  <si>
    <t>ROSE CHINA / 프라우드 (White Proud) HZ</t>
  </si>
  <si>
    <t>DEN01-TH0066</t>
  </si>
  <si>
    <t>MOK.Salaya Red L</t>
  </si>
  <si>
    <t>ALS01-CO0228</t>
  </si>
  <si>
    <t>ALSTROMERIA Hot pepper</t>
  </si>
  <si>
    <t>WAX01-CHI005</t>
  </si>
  <si>
    <t>CHINA / 왁스 노랑 (Wax Yellow)</t>
  </si>
  <si>
    <t>WAX01-CHI006</t>
  </si>
  <si>
    <t>CHINA / 왁스 보라 (Wax Purple)</t>
  </si>
  <si>
    <t>ROS01-CO224</t>
  </si>
  <si>
    <t>ROSE / Kahala</t>
  </si>
  <si>
    <t>CAR01-CO0530</t>
  </si>
  <si>
    <t>Minicarnation Brown Sugar</t>
  </si>
  <si>
    <t>ROS01-CHI250</t>
  </si>
  <si>
    <t>SPRAY ROSE CHINA / Love Pink</t>
  </si>
  <si>
    <t>ROS01-CHI251</t>
  </si>
  <si>
    <t>SPRAY ROSE CHINA / Fairy Lola</t>
  </si>
  <si>
    <t>ROS01-CHI252</t>
  </si>
  <si>
    <t>SPRAY ROSE CHINA / Fairy Kiss</t>
  </si>
  <si>
    <t>ROS01-CHI253</t>
  </si>
  <si>
    <t>SPRAY ROSE CHINA / Draft Win</t>
  </si>
  <si>
    <t>ROS01-CHI254</t>
  </si>
  <si>
    <t>SPRAY ROSE CHINA / Star blush</t>
  </si>
  <si>
    <t>DEN01-TH0088</t>
  </si>
  <si>
    <t>White Necklace (120cm - 70ea)</t>
  </si>
  <si>
    <t xml:space="preserve">70 스템 per unit 
Unit = 목걸이 1개 = 1단</t>
  </si>
  <si>
    <t>WAX01-CHI007</t>
  </si>
  <si>
    <t>CHINA / 왁스 레드 (Wax red)</t>
  </si>
  <si>
    <t>ROS01-CO225</t>
  </si>
  <si>
    <t>ROSE / Stardust</t>
  </si>
  <si>
    <t>ROS01-CHI256</t>
  </si>
  <si>
    <t>ROSE CHINA / 프라우드(White proud) 65-75cm</t>
  </si>
  <si>
    <t>ROS01-CHI257</t>
  </si>
  <si>
    <t>ROSE CHINA / 미스피기　(Miss Piggy)</t>
  </si>
  <si>
    <t>CAR01-CO0300</t>
  </si>
  <si>
    <t>CARNATION MIx Box A (Doncel. Novia, Moonlight)</t>
  </si>
  <si>
    <t>CAR01-CO0301</t>
  </si>
  <si>
    <t>CARNATION MIx Box B (Megan. Hermes, Ikebana)</t>
  </si>
  <si>
    <t>CAR01-CO0302</t>
  </si>
  <si>
    <t>CARNATION MIx Box C (Crimea. Polimnia, Maruchi)</t>
  </si>
  <si>
    <t>CAR01-CO0303</t>
  </si>
  <si>
    <t>CARNATION MIx Box D (Mariposa. Yukari cherry, Cherrio)</t>
  </si>
  <si>
    <t>CAR01-CO0304</t>
  </si>
  <si>
    <t>CARNATION MIx Box E (Mandalay. Farida, Zurigo)</t>
  </si>
  <si>
    <t>ALS01-CO0229</t>
  </si>
  <si>
    <t>ALSTROMERIA MIX BOX (lavender, yellow)</t>
  </si>
  <si>
    <t>ALS01-CO0230</t>
  </si>
  <si>
    <t xml:space="preserve">ALSTROMERIA MIX BOX (Gold, dubai, whistler, nadya) </t>
  </si>
  <si>
    <t>ALS01-CO0231</t>
  </si>
  <si>
    <t xml:space="preserve">ALSTROMERIA MIX BOX (White, lavender) </t>
  </si>
  <si>
    <t>ALS01-CO0232</t>
  </si>
  <si>
    <t>ALSTROMERIA MIX BOX (White, yellow)</t>
  </si>
  <si>
    <t>ALS01-CO0233</t>
  </si>
  <si>
    <t xml:space="preserve">ALSTROMERIA MIX BOX (White, dubai) </t>
  </si>
  <si>
    <t>ALS01-CO0234</t>
  </si>
  <si>
    <t xml:space="preserve">ALSTROMERIA MIX BOX (whistler 4, dubai 4, lavender 4, peach 4) </t>
  </si>
  <si>
    <t>HYA01-NL0105</t>
  </si>
  <si>
    <t>Hyacinthus / Dark Ocean</t>
  </si>
  <si>
    <t>DEL01-NL0026</t>
  </si>
  <si>
    <t>Delphinium / Snow White</t>
  </si>
  <si>
    <t>TUL01-NL0374</t>
  </si>
  <si>
    <t>Tulip / Single Renegade</t>
  </si>
  <si>
    <t>TUL01-NL0373</t>
  </si>
  <si>
    <t xml:space="preserve">Tulip /Double Magic Price </t>
  </si>
  <si>
    <t>ROS01-CHI258</t>
  </si>
  <si>
    <t>ROSE CHINA / 캔디익스프레션(Candy expression)</t>
  </si>
  <si>
    <t>CAR01-CHI037</t>
  </si>
  <si>
    <t>Spray Carnation CHINA / Solomio Kai</t>
  </si>
  <si>
    <t>CAR01-CHI038</t>
  </si>
  <si>
    <t>Spray Carnation CHINA / Solomio Lala Bonita</t>
  </si>
  <si>
    <t>NER01-NL0011</t>
  </si>
  <si>
    <t>Nerine Like a Virgin</t>
  </si>
  <si>
    <t>LIN01-CHI006</t>
  </si>
  <si>
    <t>Lisianthus CHINA / 핑크 (Rosita 3 Type pink) 600g</t>
  </si>
  <si>
    <t>ALS01-CO0235</t>
  </si>
  <si>
    <t>ALSTROMERIA MIX BOX (Nadya, Orange queen, Gold, Mila, Dubai)</t>
  </si>
  <si>
    <t>ALS01-CO0236</t>
  </si>
  <si>
    <t>ALSTROMERIA MIX BOX (Lavender, peach)</t>
  </si>
  <si>
    <t>ALS01-CO0237</t>
  </si>
  <si>
    <t>ALSTROMERIA MIX BOX (Orange, nora, hot pepper, fifi)</t>
  </si>
  <si>
    <t>CAR01-CO0531</t>
  </si>
  <si>
    <t>CARNATION Mabelrose</t>
  </si>
  <si>
    <t>HYD01-NL0123</t>
  </si>
  <si>
    <t>Hydrangea N. Pink 1 (중간 핑크1)</t>
  </si>
  <si>
    <t>ROS01-CO0622</t>
  </si>
  <si>
    <t>ROSE / White red</t>
  </si>
  <si>
    <t>IN01-CHI011</t>
  </si>
  <si>
    <t>CHINA / 리모늄 시네신스 블러쉬 다이아몬드 (Bluch Diamond) 500g</t>
  </si>
  <si>
    <t>MIN01-CO0158</t>
  </si>
  <si>
    <t>Minicarnation Mixbox (Pigeon, hamada)</t>
  </si>
  <si>
    <t>Aposentos</t>
  </si>
  <si>
    <t>HYD01-CO0032</t>
  </si>
  <si>
    <t>Hydrangea sundence (Yellow) (노랑)</t>
  </si>
  <si>
    <t>DEN01-TH0068</t>
  </si>
  <si>
    <t xml:space="preserve">Den. JK pink loose blooms </t>
  </si>
  <si>
    <t>DEN01-TH0067</t>
  </si>
  <si>
    <t>Den. Sonia loose blooms</t>
  </si>
  <si>
    <t>GER01-NL0060</t>
  </si>
  <si>
    <t xml:space="preserve">Gerbera Gerpasta Rosata </t>
  </si>
  <si>
    <t>MoQ x45</t>
  </si>
  <si>
    <t>GER01-NL0061</t>
  </si>
  <si>
    <t>Gerbera Gerpasta Carbonara</t>
  </si>
  <si>
    <t>GRE01-NL0003</t>
  </si>
  <si>
    <t xml:space="preserve">Grevillea baileyana Gold </t>
  </si>
  <si>
    <t xml:space="preserve">시즌: 39–48
길이: 70 cm
원산지:  이스라엘
MOQ / 최소 주문 수량: x20
박스 포장 단위: x120
단당 줄기 수: 10 스템 (발주 스템으로 함)</t>
  </si>
  <si>
    <t>GRE01-NL0004</t>
  </si>
  <si>
    <t>Cortaderia Dried Per Bunch Red</t>
  </si>
  <si>
    <t xml:space="preserve">길이: 70 cm
원산지: 네덜란드
MOQ / 최소 주문 수량: x6 (단)
단당 스템수:  10 스템
박스 포장 단위: x24</t>
  </si>
  <si>
    <t>GRE01-NL0005</t>
  </si>
  <si>
    <t>Cortaderia Dried Per Bunch Burgundy</t>
  </si>
  <si>
    <t xml:space="preserve">길이: 70 cm
원산지: 네덜란드
MOQ / 최소 주문 수량: x6 (단)
단당 스템수:  10 스템 
박스 포장 단위: x24</t>
  </si>
  <si>
    <t>GRE01-NL0006</t>
  </si>
  <si>
    <t xml:space="preserve">Cortaderia Dried Per Bunch Silvy Red </t>
  </si>
  <si>
    <t xml:space="preserve">길이: 80 cm
원산지: 네덜란드
MOQ / 최소 주문 수량: x10 (단)
단당 스템수:  10 스템
박스 포장 단위: x30</t>
  </si>
  <si>
    <t>HYD01-NL0130</t>
  </si>
  <si>
    <t>Hydrangea / Classic Rodeo Grey</t>
  </si>
  <si>
    <t>HYD01-NL0131</t>
  </si>
  <si>
    <t>Hydrangea / Classic My Matcha</t>
  </si>
  <si>
    <t>ANT01-NL0099</t>
  </si>
  <si>
    <t>Anthurium Red Love 11cm</t>
  </si>
  <si>
    <t xml:space="preserve">11cm 1박스 16 스템 </t>
  </si>
  <si>
    <t>ANT01-NL0100</t>
  </si>
  <si>
    <t>레드/11cm 1박스 16 스템</t>
  </si>
  <si>
    <t>AMA01-NL0032</t>
  </si>
  <si>
    <t>Amaryllis / Night Fever 15st</t>
  </si>
  <si>
    <t>RAN01-CHI001</t>
  </si>
  <si>
    <t xml:space="preserve">Ranunculus CHINA / 라넌큘러스 화이트(ranunculus white) </t>
  </si>
  <si>
    <t>RAN01-CHI002</t>
  </si>
  <si>
    <t xml:space="preserve">Ranunculus CHINA / 라넌큘러스 핑크 (ranunculus pink) </t>
  </si>
  <si>
    <t>RAN01-CHI003</t>
  </si>
  <si>
    <t xml:space="preserve">Ranunculus CHINA / 라넌큘러스 샴페인(ranunculus champagne) </t>
  </si>
  <si>
    <t>DEL01-CHI001</t>
  </si>
  <si>
    <t xml:space="preserve">Delphinium CHINA / 화이트 White </t>
  </si>
  <si>
    <t>DEL01-CHI002</t>
  </si>
  <si>
    <t>Delphinium CHINA / 연블루 Light Blue</t>
  </si>
  <si>
    <t>DEL01-CHI003</t>
  </si>
  <si>
    <t>Delphinium CHINA / 라벤더 Lavender</t>
  </si>
  <si>
    <t>DEN01-TH0226</t>
  </si>
  <si>
    <t>Den. Mix box loose blooms (Sonia, JK, JS,WB)</t>
  </si>
  <si>
    <t>EUC01-CHI009</t>
  </si>
  <si>
    <t>Scabiosa CHINA / 스카비오사 블루 (Blue)</t>
  </si>
  <si>
    <t>TUL01-NL0318</t>
  </si>
  <si>
    <t>[EZ] Tulip / Single Royal Virgen White</t>
  </si>
  <si>
    <t>TUL01-NL0319</t>
  </si>
  <si>
    <t>[EZ] Tulip / Single Antarctica</t>
  </si>
  <si>
    <t>TUL01-NL0320</t>
  </si>
  <si>
    <t>[EZ] Tulip / Single Dynasty L/Pink</t>
  </si>
  <si>
    <t>TUL01-NL0321</t>
  </si>
  <si>
    <t>[EZ] Tulip / Single Strong Gold Yellow</t>
  </si>
  <si>
    <t>HYD01-NL0132</t>
  </si>
  <si>
    <t>[EZ] Hydrangea / Rodeo Purple</t>
  </si>
  <si>
    <t>단색 시즌 05-10월</t>
  </si>
  <si>
    <t>ALS01-CO0238</t>
  </si>
  <si>
    <t xml:space="preserve">ALSTROMERIA MIX BOX (Orange queen, dubai) </t>
  </si>
  <si>
    <t>ALS01-NL0004</t>
  </si>
  <si>
    <t xml:space="preserve">ALSTROMERIA MIX BOX (Orange queen, lavender) </t>
  </si>
  <si>
    <t>HYA01-NL0107</t>
  </si>
  <si>
    <t>[EZ] Hyacinthus / Blue Future</t>
  </si>
  <si>
    <t>ANT01-NL0101</t>
  </si>
  <si>
    <t>[EZ] Anthurium Terrasol 13cm</t>
  </si>
  <si>
    <t>ANT01-NL0102</t>
  </si>
  <si>
    <t>[EZ] Anthurium Graciosa 13cm</t>
  </si>
  <si>
    <t>ANT01-NL0103</t>
  </si>
  <si>
    <t>[EZ] Anthurium Graciosa 15cm</t>
  </si>
  <si>
    <t>ANT01-NL0104</t>
  </si>
  <si>
    <t>[EZ] Anthurium Princess Alexia Bordeaux 9cm</t>
  </si>
  <si>
    <t>ANT01-NL0105</t>
  </si>
  <si>
    <t>[EZ] Anthurium Safari 13cm</t>
  </si>
  <si>
    <t>ANT01-NL0106</t>
  </si>
  <si>
    <t>[EZ] Anthurium Lunette 13cm</t>
  </si>
  <si>
    <t>ANT01-NL0107</t>
  </si>
  <si>
    <t>[EZ] Anthurium Nero 13cm</t>
  </si>
  <si>
    <t>ANT01-NL0108</t>
  </si>
  <si>
    <t>[EZ] Anthurium Nunzia 13cm</t>
  </si>
  <si>
    <t>ANT01-NL0109</t>
  </si>
  <si>
    <t>[EZ] Anthurium Prestige 13cm</t>
  </si>
  <si>
    <t>ANT01-NL0110</t>
  </si>
  <si>
    <t>[EZ] Anthurium Tequila 13cm</t>
  </si>
  <si>
    <t>HYA01-NL0106</t>
  </si>
  <si>
    <t>Hyacinthus / PAUL HERMAN</t>
  </si>
  <si>
    <t>ROS01-CHI269</t>
  </si>
  <si>
    <t>ROSE CHINA / MIX BOX [redness, adore, freedom, red (Heyun 농장)]</t>
  </si>
  <si>
    <t>샘플 믹스 박스</t>
  </si>
  <si>
    <t>ROS01-CHI259</t>
  </si>
  <si>
    <t>ROSE CHINA / 버터컵(Butter cup) DY</t>
  </si>
  <si>
    <t>ROS01-CHI205</t>
  </si>
  <si>
    <t>Amaranthus CHINA / 줄맨드라미 버건디(Burgundy)</t>
  </si>
  <si>
    <t>AMA01-NL0033</t>
  </si>
  <si>
    <t>Amaryllis / Night Fever 12st</t>
  </si>
  <si>
    <t>HYD01-NL0133</t>
  </si>
  <si>
    <t>Hydrangea / Classic Royal Parade Old Pink</t>
  </si>
  <si>
    <t>HYD01-NL0134</t>
  </si>
  <si>
    <t>Hydrangea / Classic Rodeo Lavender</t>
  </si>
  <si>
    <t xml:space="preserve">[EZ] Kangaroo / Paws Early Spring </t>
  </si>
  <si>
    <t xml:space="preserve">70cm 
MoQx20 </t>
  </si>
  <si>
    <t>ROS01-CHI260</t>
  </si>
  <si>
    <t>ROSE CHINA / 만달라(Mandala) MQ</t>
  </si>
  <si>
    <t>GRE01-NL0010</t>
  </si>
  <si>
    <t xml:space="preserve">[EZ] Grevillea baileyana Gold </t>
  </si>
  <si>
    <t>70cm</t>
  </si>
  <si>
    <t>HYA01-NL0108</t>
  </si>
  <si>
    <t>[EZ] Hyacinthus/ Polar Giant</t>
  </si>
  <si>
    <t>ERY01-NL0010</t>
  </si>
  <si>
    <t>Eryngium Orion Blue 40cm</t>
  </si>
  <si>
    <t>ROS01-CHI261</t>
  </si>
  <si>
    <t>ROSE CHINA / 안슬레이(Annesley/Katherin) A-grade 65-75cm</t>
  </si>
  <si>
    <t>ROS01-CHI262</t>
  </si>
  <si>
    <t>SPRAY ROSE CHINA / Yellow bubble</t>
  </si>
  <si>
    <t>UC01-CHI010</t>
  </si>
  <si>
    <t>TRICK CHINA / 그린석죽 (Green trick)</t>
  </si>
  <si>
    <t>CAR01-CO0532</t>
  </si>
  <si>
    <t>CARNATION Yukari Violet</t>
  </si>
  <si>
    <t>MIN01-CO0159</t>
  </si>
  <si>
    <t>Minicarnation MixBox (Sky line, Yellow)</t>
  </si>
  <si>
    <t>MIN01-CO0160</t>
  </si>
  <si>
    <t>Minicarnation MixBox (Athena, Malibu)</t>
  </si>
  <si>
    <t>CAR01-CO0533</t>
  </si>
  <si>
    <t>CARNATION Judi (pink)</t>
  </si>
  <si>
    <t>ALS01-CO0239</t>
  </si>
  <si>
    <t xml:space="preserve">ALSTROMERIA MIX BOX (Hot pepper, Fifi) </t>
  </si>
  <si>
    <t>ANT01-NL0111</t>
  </si>
  <si>
    <t>[EZ] Anthurium Caldonia 13cm</t>
  </si>
  <si>
    <t>HYD01-CO0033</t>
  </si>
  <si>
    <t>Hydrangea N. Pink 2 (중간 핑크2)</t>
  </si>
  <si>
    <t>ROS01-CHI263</t>
  </si>
  <si>
    <t>ROSE CHINA / 레드니스(Redness) HPJ</t>
  </si>
  <si>
    <t>ROS01-CHI264</t>
  </si>
  <si>
    <t>ROSE CHINA / 레드니스(Redness) Heyun</t>
  </si>
  <si>
    <t>ROS01-CHI265</t>
  </si>
  <si>
    <t>ROSE CHINA / Red Heyun</t>
  </si>
  <si>
    <t>ROS01-CHI266</t>
  </si>
  <si>
    <t>ROSE CHINA / 안슬레이(Annesley/Katherin) DY</t>
  </si>
  <si>
    <t>ANT01-NL0112</t>
  </si>
  <si>
    <t>[EZ] Anthurium Princess Alexia Bordeaux 11cm</t>
  </si>
  <si>
    <t>GOS01-ISL00002</t>
  </si>
  <si>
    <t>ISRAEL 목화. Gossipium COT. Hirsutum White (8F)</t>
  </si>
  <si>
    <t>GOS01-ISL00003</t>
  </si>
  <si>
    <t>ISRAEL 목화. Gossipium COT. Hirsutum White (10F)</t>
  </si>
  <si>
    <t>GRE01-ISL00001</t>
  </si>
  <si>
    <t xml:space="preserve">ISRAEL 그레빌레아. Grevillea Billiana Gold  70cm </t>
  </si>
  <si>
    <t>ROS01-CHI267</t>
  </si>
  <si>
    <t xml:space="preserve">ROSE CHINA / 핑크 플로이드 (Pink Floid) </t>
  </si>
  <si>
    <t>CAR01-CHI039</t>
  </si>
  <si>
    <t>Spray Carnation CHINA / 라이트핑크 테시노 (Light Pink Tessino)</t>
  </si>
  <si>
    <t>GOS01-ISL00004</t>
  </si>
  <si>
    <t>ISRAEL 유칼립투스. Sample Eucaliptus</t>
  </si>
  <si>
    <t>GOS01-ISL00005</t>
  </si>
  <si>
    <t>ISRAEL 루스쿠스. Sample Ruscus</t>
  </si>
  <si>
    <t>PEO01-NZ0017</t>
  </si>
  <si>
    <t>Peony / New Zealand. Bowl of Cream AAA (50cm/4.5cm)</t>
  </si>
  <si>
    <t>PEO01-NZ0018</t>
  </si>
  <si>
    <t>Peony / New Zealand. Coral Sunset AAA (60cm/4.5cm)</t>
  </si>
  <si>
    <t>HEL01-NL0030</t>
  </si>
  <si>
    <t>Hellebore / New Zealand. Green Double (30-40cm)</t>
  </si>
  <si>
    <t>MIN01-CO0161</t>
  </si>
  <si>
    <t>Minicarnation MixBox (Sky line, Juliana)</t>
  </si>
  <si>
    <t>PEO01-NZ0019</t>
  </si>
  <si>
    <t>Peony / New Zealand. Red Charm AAA (40cm/4.5cm)</t>
  </si>
  <si>
    <t>HEL01-NL0031</t>
  </si>
  <si>
    <t>Hellebore / New Zealand. Purple Double (30-40cm)</t>
  </si>
  <si>
    <t>PEO01-NZ0020</t>
  </si>
  <si>
    <t>Peony / New Zealand. Sarah Bernhardt AAA (60cm/4.5cm)</t>
  </si>
  <si>
    <t>ALS01-NL0005</t>
  </si>
  <si>
    <t>ALSTROMERIA MIX BOX (Intenz pink, mila)</t>
  </si>
  <si>
    <t>CAR01-CHI040</t>
  </si>
  <si>
    <t>Spray Carnation CHINA / Scarlett 스카렛 (Red with white)</t>
  </si>
  <si>
    <t>CAR01-CHI041</t>
  </si>
  <si>
    <t>Spray Carnation CHINA / Pink Jasmine 핑크 자스민 (Pink)</t>
  </si>
  <si>
    <t>ALS01-NL0006</t>
  </si>
  <si>
    <t xml:space="preserve">ALSTROMERIA MIX BOX (Hot pepper, Goldi) </t>
  </si>
  <si>
    <t>ALS01-NL0007</t>
  </si>
  <si>
    <t xml:space="preserve">ALSTROMERIA MIX BOX (lavender, dubai) </t>
  </si>
  <si>
    <t>PEO01-NZ0021</t>
  </si>
  <si>
    <t>Peony / New Zealand. Etched Salmon AA (60cm)</t>
  </si>
  <si>
    <t>PEO01-NZ0022</t>
  </si>
  <si>
    <t>Peony / New Zealand. Bridal Shower  AA (60cm/4cm)</t>
  </si>
  <si>
    <t>HYD01-CO0034</t>
  </si>
  <si>
    <t>Hydrangea Mini White (미니 화이트)</t>
  </si>
  <si>
    <t>CAR01-CO0535</t>
  </si>
  <si>
    <t>CARNATION Trueno</t>
  </si>
  <si>
    <t>CAR01-CO0536</t>
  </si>
  <si>
    <t>CARNATION Haiku</t>
  </si>
  <si>
    <t>CAR01-CO0537</t>
  </si>
  <si>
    <t>CARNATION Pomodoro</t>
  </si>
  <si>
    <t>ROS01-CHI270</t>
  </si>
  <si>
    <t>ROSE CHINA / MIX BOX [fairy kiss, star blush, yukihime, Apricot terraza]</t>
  </si>
  <si>
    <t>ROS01-CHI271</t>
  </si>
  <si>
    <t>ROSE CHINA / 만달라(Mandala) MJP</t>
  </si>
  <si>
    <t>LIN01-CHI007</t>
  </si>
  <si>
    <t>Lisianthus CHINA / 진보라 (Dark purple) 600g</t>
  </si>
  <si>
    <t>CAR01-CO0999</t>
  </si>
  <si>
    <t>CARNATION Sample</t>
  </si>
  <si>
    <t>CAR01-CO0538</t>
  </si>
  <si>
    <t>CARNATION Pastel damascus</t>
  </si>
  <si>
    <t>ROS01-CO226</t>
  </si>
  <si>
    <t>ROSE / Red Black</t>
  </si>
  <si>
    <t>Matina</t>
  </si>
  <si>
    <t>ROS01-CO227</t>
  </si>
  <si>
    <t>ROSE / Miracle</t>
  </si>
  <si>
    <t>CAR01-CO0539</t>
  </si>
  <si>
    <t>CARNATION Royal damascus</t>
  </si>
  <si>
    <t>ALS01-NL0008</t>
  </si>
  <si>
    <t xml:space="preserve">ALSTROMERIA MIX BOX (Lanverder judi, purple clarice) </t>
  </si>
  <si>
    <t>PEO01-NZ0023</t>
  </si>
  <si>
    <t>Peony / New Zealand. Mr.Ed AAA PREM (60cm/4.5cm)</t>
  </si>
  <si>
    <t>FEE03-KR0025</t>
  </si>
  <si>
    <t>더글라스 운송료</t>
  </si>
  <si>
    <t>FEE03-KR0028</t>
  </si>
  <si>
    <t>중국 운송료</t>
  </si>
  <si>
    <t>RAN01-CHI004</t>
  </si>
  <si>
    <t xml:space="preserve">Ranunculus CHINA / 라넌큘러스 레드 (ranunculus red) </t>
  </si>
  <si>
    <t>LIN01-CHI008</t>
  </si>
  <si>
    <t>Lisianthus CHINA / 크로마화이트 (Chroma white) 600g</t>
  </si>
  <si>
    <t>ROS01-CHI272</t>
  </si>
  <si>
    <t xml:space="preserve">ROSE CHINA / 칼로라(CAROLA) </t>
  </si>
  <si>
    <t>ANT01-NL0113</t>
  </si>
  <si>
    <t>Anthurium Pistache 13cm</t>
  </si>
  <si>
    <t>PEO01-NZ0024</t>
  </si>
  <si>
    <t>Peony / New Zealand. Fairys Petticoat AA (50cm/4cm)</t>
  </si>
  <si>
    <t>ROS01-CHI273</t>
  </si>
  <si>
    <t>ROSE CHINA / 프라우드 (White Proud) MQ</t>
  </si>
  <si>
    <t>PEO01-NZ0025</t>
  </si>
  <si>
    <t>Peony / New Zealand. Coral Sunset AA (60cm/4cm)</t>
  </si>
  <si>
    <t>PEO01-NZ0026</t>
  </si>
  <si>
    <t>Peony / New Zealand. Red Charm AAA (50cm/4.5cm)</t>
  </si>
  <si>
    <t>DEN01-MK0002</t>
  </si>
  <si>
    <t xml:space="preserve">모카라 샘플 </t>
  </si>
  <si>
    <t>DEN01-TH0236</t>
  </si>
  <si>
    <t>MOK Ruby Red L</t>
  </si>
  <si>
    <t>LIN01-CHI009</t>
  </si>
  <si>
    <t>Lisianthus CHINA / 보야지 블루 (Voyage Blue) 600g</t>
  </si>
  <si>
    <t>DEN01-TH0237</t>
  </si>
  <si>
    <t>MOK Kittilo Red L</t>
  </si>
  <si>
    <t>OS01-CHI274</t>
  </si>
  <si>
    <t xml:space="preserve">ROSE CHINA / 핫블러드(Hot Blood) </t>
  </si>
  <si>
    <t>MIN01-CO0162</t>
  </si>
  <si>
    <t>Minicarnation Diamond</t>
  </si>
  <si>
    <t>ROS01-CO228</t>
  </si>
  <si>
    <t>ROSE / Copa Govinda (50cm)</t>
  </si>
  <si>
    <t>나투</t>
  </si>
  <si>
    <t>ALS01-NL0009</t>
  </si>
  <si>
    <t>ALSTROMERIA MIX BOX (Orange, hot pepper)</t>
  </si>
  <si>
    <t>LIN01-CHI010</t>
  </si>
  <si>
    <t>Lisianthus CHINA / 샴페인 (Reina Champagne) 800g</t>
  </si>
  <si>
    <t>DEN01-TH0238</t>
  </si>
  <si>
    <t>MOK White XL</t>
  </si>
  <si>
    <t>ROS01-CO229</t>
  </si>
  <si>
    <t>ROSE / Freedom 50cm (Esperance)</t>
  </si>
  <si>
    <t>ROS01-CHI300</t>
  </si>
  <si>
    <t xml:space="preserve">SPRAY ROSE CHINA / 블랙뷰티 (Spray-Rose Black Beauty) </t>
  </si>
  <si>
    <t>ROS01-CO230</t>
  </si>
  <si>
    <t>ROSE / Rainbow pastel</t>
  </si>
  <si>
    <t xml:space="preserve">Circasia </t>
  </si>
  <si>
    <t>PEO01-NZ0027</t>
  </si>
  <si>
    <t>Peony / New Zealand. Christmas Velvet AAA (50cm/4.5cm)</t>
  </si>
  <si>
    <t>ALS01-CO0240</t>
  </si>
  <si>
    <t>ALSTROMERIA Sample</t>
  </si>
  <si>
    <t>LIN01-CHI011</t>
  </si>
  <si>
    <t>Lisianthus CHINA / 블루 (Rosita 4 Type blue) 600g</t>
  </si>
  <si>
    <t>DEN01-TH0239</t>
  </si>
  <si>
    <t>MOK Boonglong L</t>
  </si>
  <si>
    <t>DEN01-TH0240</t>
  </si>
  <si>
    <t>MOK Boonglong XL</t>
  </si>
  <si>
    <t>DOU01-US0002</t>
  </si>
  <si>
    <t>Beargrass</t>
  </si>
  <si>
    <t>CAR01-CO0540</t>
  </si>
  <si>
    <t>CARNATION Ilias</t>
  </si>
  <si>
    <t>CAR01-CO0541</t>
  </si>
  <si>
    <t>CARNATION Zenith</t>
  </si>
  <si>
    <t>PEO01-NZ0028</t>
  </si>
  <si>
    <t>Peony / New Zealand. Duchess de Nemoirs  AAA (60cm/4cm)</t>
  </si>
  <si>
    <t>ROS01-CO231</t>
  </si>
  <si>
    <t>ROSE / Dark Expression</t>
  </si>
  <si>
    <t>FEE03-KR0029</t>
  </si>
  <si>
    <t>알스트로 운송료</t>
  </si>
  <si>
    <t>ANTI1-NL0028</t>
  </si>
  <si>
    <t>[EZ] Anthurium Elizabeth 13cm</t>
  </si>
  <si>
    <t>ANTI1-NL0029</t>
  </si>
  <si>
    <t>[EZ] Anthurium Lovely Black Love 11cm</t>
  </si>
  <si>
    <t>LIN01-CHI012</t>
  </si>
  <si>
    <t>Lisianthus CHINA / 아레나 R1 2호 피플 피코티 (Areana R1 2 purple picotee) 600g</t>
  </si>
  <si>
    <t>ROS01-CHI27４</t>
  </si>
  <si>
    <t xml:space="preserve">ROSE CHINA / 실란토이(Silantoi) </t>
  </si>
  <si>
    <t>DEN01-TH0227</t>
  </si>
  <si>
    <t>Den. Sonia Dyed Red XL</t>
  </si>
  <si>
    <t>DEN01-TH0228</t>
  </si>
  <si>
    <t>Den. Sonia Dyed Red L</t>
  </si>
  <si>
    <t>TUL01-NL0375</t>
  </si>
  <si>
    <t>Tulip / Single Paul McCartney</t>
  </si>
  <si>
    <t>TUL01-NL0376</t>
  </si>
  <si>
    <t>Tulip / Single Snowboard</t>
  </si>
  <si>
    <t>ROS01-CO233</t>
  </si>
  <si>
    <t>CHINA / 코치아 (Kochia scoparia)</t>
  </si>
  <si>
    <t>TUL01-NL0377</t>
  </si>
  <si>
    <t>Tulip / Single Snowmen</t>
  </si>
  <si>
    <t>RAN01-CHI005</t>
  </si>
  <si>
    <t xml:space="preserve">Ranunculus CHINA / 라넌큘러스 노랑 (ranunculus yellow) </t>
  </si>
  <si>
    <t>DEN01-TH0241</t>
  </si>
  <si>
    <t>Mok.Sunrise L</t>
  </si>
  <si>
    <t>DEN01-TH0242</t>
  </si>
  <si>
    <t>Mok.SiamGold L</t>
  </si>
  <si>
    <t>DEN01-TH0243</t>
  </si>
  <si>
    <t>Mok.Saphire L</t>
  </si>
  <si>
    <t>DEN01-TH0244</t>
  </si>
  <si>
    <t>Mok. Pink Fairy L</t>
  </si>
  <si>
    <t>DEN01-TH00001</t>
  </si>
  <si>
    <t>온시디움 샘플</t>
  </si>
  <si>
    <t>DEN01-TH00002</t>
  </si>
  <si>
    <t>아란 샘플</t>
  </si>
  <si>
    <t>SWE01-NL0019</t>
  </si>
  <si>
    <t>Sweet Pea / Light Pink L</t>
  </si>
  <si>
    <t>SWE01-NL0020</t>
  </si>
  <si>
    <t>Sweet Pea / Blush L</t>
  </si>
  <si>
    <t>SWE01-NL0021</t>
  </si>
  <si>
    <t>Sweet Pea / Peach L</t>
  </si>
  <si>
    <t>SWE01-NL0022</t>
  </si>
  <si>
    <t>Sweet Pea / White L</t>
  </si>
  <si>
    <t>SWE01-NL0023</t>
  </si>
  <si>
    <t>Sweet Pea / Lavender L</t>
  </si>
  <si>
    <t>SWE01-NL0024</t>
  </si>
  <si>
    <t>Sweet Pea / Navy Blue L</t>
  </si>
  <si>
    <t>SWE01-NL0025</t>
  </si>
  <si>
    <t>Sweet Pea / Bi-Yellow/Pink L</t>
  </si>
  <si>
    <t>SWE01-NL0026</t>
  </si>
  <si>
    <t>Sweet Pea / Bi-Purple L</t>
  </si>
  <si>
    <t>SWE01-NL0027</t>
  </si>
  <si>
    <t>Sweet Pea / BI-Pink L</t>
  </si>
  <si>
    <t>SWE01-NL0028</t>
  </si>
  <si>
    <t>Sweet Pea /Royal Blue Light L</t>
  </si>
  <si>
    <t>SWE01-NL0029</t>
  </si>
  <si>
    <t>Sweet Pea / Sample Mix</t>
  </si>
  <si>
    <t>LIN01-CHI013</t>
  </si>
  <si>
    <t>Lisianthus CHINA / 베누스 핑크 (Venus pink) 600g</t>
  </si>
  <si>
    <t>LIN01-CHI014</t>
  </si>
  <si>
    <t>Lisianthus CHINA / 그린 (Rosita 4 Green) 600g</t>
  </si>
  <si>
    <t>ALS01-NL0010</t>
  </si>
  <si>
    <t>ALSTROMERIA MIX BOX (Orange, Gold)</t>
  </si>
  <si>
    <t>PEO01-NZ0029</t>
  </si>
  <si>
    <t>Peony / New Zealand. Red Charm AA (50cm/4cm)</t>
  </si>
  <si>
    <t>ALS01-NL0011</t>
  </si>
  <si>
    <t>ALSTROMERIA Red Queen</t>
  </si>
  <si>
    <t>SWE01-NL0030</t>
  </si>
  <si>
    <t>Sweet Pea / Hot Pink L</t>
  </si>
  <si>
    <t>ROS01-NL0051</t>
  </si>
  <si>
    <t>ROSE / Barista</t>
  </si>
  <si>
    <t>DEN01-TH0245</t>
  </si>
  <si>
    <t>Den.Miss Singapore L</t>
  </si>
  <si>
    <t>DEN01-TH0246</t>
  </si>
  <si>
    <t>Den. Big White Form Dyed Red L</t>
  </si>
  <si>
    <t>SWE01-NL0031</t>
  </si>
  <si>
    <t>Sweet Pea / Red L</t>
  </si>
  <si>
    <t>SWE01-NL0032</t>
  </si>
  <si>
    <t>Sweet Pea / Pink L</t>
  </si>
  <si>
    <t>SWE01-NL0033</t>
  </si>
  <si>
    <t>Sweet Pea / Salmon Pink L</t>
  </si>
  <si>
    <t>SWE01-NL0035</t>
  </si>
  <si>
    <t>Sweet Pea / Crimson L</t>
  </si>
  <si>
    <t>SWE01-NL0036</t>
  </si>
  <si>
    <t>Sweet Pea / Apricot Orange L</t>
  </si>
  <si>
    <t>TUL01-NL0378</t>
  </si>
  <si>
    <t>Tulip / Single Sissi</t>
  </si>
  <si>
    <t>SWE01-NL0040</t>
  </si>
  <si>
    <t>Sandersonia Japan / Sadersonia Orange 70cm</t>
  </si>
  <si>
    <t>MoQ  60</t>
  </si>
  <si>
    <t>SWE01-NL0039</t>
  </si>
  <si>
    <t>Sandersonia Japan / Sadersonia Orange 60cm</t>
  </si>
  <si>
    <t>MoQ 60</t>
  </si>
  <si>
    <t>SWE01-NL0038</t>
  </si>
  <si>
    <t>Sandersonia Japan / Sadersonia Orange 50cm</t>
  </si>
  <si>
    <t>moq 100</t>
  </si>
  <si>
    <t>CAR01-CO0542</t>
  </si>
  <si>
    <t>CARNATION Antibes</t>
  </si>
  <si>
    <t>SWE01-NL0037</t>
  </si>
  <si>
    <t>Sweet Pea / Light Lavender L</t>
  </si>
  <si>
    <t>ROS01-CHI301</t>
  </si>
  <si>
    <t xml:space="preserve">[MEL] ROSE CHINA / 플라터 레드 (Plateau Red) </t>
  </si>
  <si>
    <t>CAR01-CHI043</t>
  </si>
  <si>
    <t>Spray Carnation CHINA / 넘버원 (Number One)</t>
  </si>
  <si>
    <t>CAR01-CHI042</t>
  </si>
  <si>
    <t>Spray Carnation CHINA / 롤리팝 퍼플 (Lollipop purple)</t>
  </si>
  <si>
    <t>ROS01-CHI302</t>
  </si>
  <si>
    <t xml:space="preserve">[MEL] ROSE CHINA / 카롤라 (Carola) </t>
  </si>
  <si>
    <t>ROS01-CHI303</t>
  </si>
  <si>
    <t xml:space="preserve">[MEL] ROSE CHINA / 루어 샨 (Luo shen) </t>
  </si>
  <si>
    <t>ROS01-CHI304</t>
  </si>
  <si>
    <t xml:space="preserve">[MEL] ROSE CHINA / 핑크 스노우베르그 (Pink Snowberg) </t>
  </si>
  <si>
    <t>ROS01-CHI305</t>
  </si>
  <si>
    <t xml:space="preserve">[MEL] ROSE CHINA / 다이아나 (Diana) </t>
  </si>
  <si>
    <t>ROS01-CHI306</t>
  </si>
  <si>
    <t xml:space="preserve">[MEL] ROSE CHINA / 골렘 (Golestem) </t>
  </si>
  <si>
    <t>PEO01-NZ0030</t>
  </si>
  <si>
    <t>Peony / New Zealand. Duchess de Nemoirs AAA (60cm/4.5cm)</t>
  </si>
  <si>
    <t>ROS01-CHI307</t>
  </si>
  <si>
    <t xml:space="preserve">[MEL] ROSE CHINA / 프라우드 (Pride) </t>
  </si>
  <si>
    <t>PEO01-NZ0031</t>
  </si>
  <si>
    <t>Peony / New Zealand. Bowl of Cream AAA (60cm/5cm)</t>
  </si>
  <si>
    <t>ROS01-CHI308</t>
  </si>
  <si>
    <t xml:space="preserve">[MEL] ROSE CHINA / 크림 컵 (Cream cup) </t>
  </si>
  <si>
    <t>ROS01-CHI309</t>
  </si>
  <si>
    <t xml:space="preserve">[MEL] SPRAY ROSE CHINA / 레파인젠시 (Refingency) </t>
  </si>
  <si>
    <t>ROS01-CHI310</t>
  </si>
  <si>
    <t>[MEL] CHINA / 안개꽃 1Kg (Gypsophila white)</t>
  </si>
  <si>
    <t>Lisianthus CHINA / 믹스 (Mix) 800g</t>
  </si>
  <si>
    <t xml:space="preserve">Packing:0.8kg/bunch
Grade:A
Length:60-70cm
Weight:0.8kg
Color:Mixed COLOR</t>
  </si>
  <si>
    <t>ROS01-CHI312</t>
  </si>
  <si>
    <t xml:space="preserve">[MEL] ROSE CHINA / 에이샤 (Aisha) </t>
  </si>
  <si>
    <t>ANTI1-NL0030</t>
  </si>
  <si>
    <t>Anthurium Rambla 9cm</t>
  </si>
  <si>
    <t>LIN01-CHI015</t>
  </si>
  <si>
    <t>[MEL] Lisianthus CHINA / 믹스  (Mix) 800g</t>
  </si>
  <si>
    <t>ROS01-CHI313</t>
  </si>
  <si>
    <t>[MEL] CHINA / 리모늄 시네신스 화이트 (Sinensis white) 500g</t>
  </si>
  <si>
    <t>ROS01-CHI314</t>
  </si>
  <si>
    <t>[MEL] CHINA Eucalyptus / 블랙잭 (베이비 블루) (대) 1Kg</t>
  </si>
  <si>
    <t>ROS01-CHI315</t>
  </si>
  <si>
    <t xml:space="preserve">[오경] ROSE CHINA / 생긋 ( Sengkut) </t>
  </si>
  <si>
    <t>B급</t>
  </si>
  <si>
    <t>ROS01-CHI316</t>
  </si>
  <si>
    <t xml:space="preserve">[오경] ROSE CHINA /  주밀리아 (Jumilia) </t>
  </si>
  <si>
    <t>ROS01-CHI317</t>
  </si>
  <si>
    <t xml:space="preserve">[오경] ROSE CHINA / 런던아이 ( London Eye) </t>
  </si>
  <si>
    <t>ROS01-CHI318</t>
  </si>
  <si>
    <t xml:space="preserve">[오경] ROSE CHINA / 달라라 ( Darara) </t>
  </si>
  <si>
    <t>ROS01-CHI319</t>
  </si>
  <si>
    <t xml:space="preserve">[오경] ROSE CHINA / 프라우드 ( Proud) </t>
  </si>
  <si>
    <t>ROS01-CHI320</t>
  </si>
  <si>
    <t xml:space="preserve">[오경] ROSE CHINA / 레드 ( Red) </t>
  </si>
  <si>
    <t>ROS01-CHI321</t>
  </si>
  <si>
    <t xml:space="preserve">[오경] ROSE CHINA / 오데  ( Ode) </t>
  </si>
  <si>
    <t>ROS01-CHI322</t>
  </si>
  <si>
    <t xml:space="preserve">[오경] ROSE CHINA / 파이시스  ( Pisces) </t>
  </si>
  <si>
    <t>ROS01-CHI323</t>
  </si>
  <si>
    <t xml:space="preserve">[오경] ROSE CHINA / 샴페인   ( Champange) </t>
  </si>
  <si>
    <t>ROS01-CHI324</t>
  </si>
  <si>
    <t xml:space="preserve">[오경] ROSE CHINA / 버터컵  (Buttercup) </t>
  </si>
  <si>
    <t>ROS01-CHI325</t>
  </si>
  <si>
    <t xml:space="preserve">[오경] ROSE CHINA / 로사 (Rosa) </t>
  </si>
  <si>
    <t>ROS01-CHI326</t>
  </si>
  <si>
    <t xml:space="preserve">[오경] ROSE CHINA / 자하선자 (Jahasonja) </t>
  </si>
  <si>
    <t>ROS01-CHI327</t>
  </si>
  <si>
    <t xml:space="preserve">[오경] ROSE CHINA / 리바이벌 (Revival) </t>
  </si>
  <si>
    <t>ROS01-CHI328</t>
  </si>
  <si>
    <t xml:space="preserve">[오경] ROSE CHINA / 킹스데이 (Kings Day) </t>
  </si>
  <si>
    <t>ROS01-CHI329</t>
  </si>
  <si>
    <t xml:space="preserve">[오경] ROSE CHINA / 문리트 (Moonlight) </t>
  </si>
  <si>
    <t>ROS01-CHI330</t>
  </si>
  <si>
    <t>[MEL]CHINA / 왁스 화이트 (Wax White)</t>
  </si>
  <si>
    <t>ROS01-CHI331</t>
  </si>
  <si>
    <t>[MEL]CHINA / 왁스 핑크 (Wax Pink)</t>
  </si>
  <si>
    <t>ROS01-CHI332</t>
  </si>
  <si>
    <t>[MEL]CHINA / 왁스 오렌지 (Wax Orange)</t>
  </si>
  <si>
    <t>ROS01-CHI333</t>
  </si>
  <si>
    <t>[MEL]CHINA / 왁스 레드 (Wax Red)</t>
  </si>
  <si>
    <t>ROS01-CHI334</t>
  </si>
  <si>
    <t>[MEL]CHINA / 왁스 블루 (Wax Blue)</t>
  </si>
  <si>
    <t>ROS01-CHI335</t>
  </si>
  <si>
    <t>[MEL]CHINA / 왁스 노랑 (Wax Yellow)</t>
  </si>
  <si>
    <t>SWE01-NL0050</t>
  </si>
  <si>
    <t>Sweet Pea /Royal Blue Dark L</t>
  </si>
  <si>
    <t>ANTI1-NL0031</t>
  </si>
  <si>
    <t>Anthurium Tropical 9cm</t>
  </si>
  <si>
    <t>SWE01-NL0051</t>
  </si>
  <si>
    <t>Sweet Pea /Orange (tinted orange) L</t>
  </si>
  <si>
    <t>MIN01-CO0163</t>
  </si>
  <si>
    <t>Minicarnation Lobster</t>
  </si>
  <si>
    <t>MIN01-CO0164</t>
  </si>
  <si>
    <t>Minicarnation White Bunny</t>
  </si>
  <si>
    <t>SWE01-NL0052</t>
  </si>
  <si>
    <t>Sweet Pea / Light Pink LL</t>
  </si>
  <si>
    <t>SWE01-NL0053</t>
  </si>
  <si>
    <t>Sweet Pea / Blush LL</t>
  </si>
  <si>
    <t>SWE01-NL0054</t>
  </si>
  <si>
    <t>Sweet Pea / Peach LL</t>
  </si>
  <si>
    <t>SWE01-NL0055</t>
  </si>
  <si>
    <t>Sweet Pea / White LL</t>
  </si>
  <si>
    <t>SWE01-NL0056</t>
  </si>
  <si>
    <t>Sweet Pea / Lavender LL</t>
  </si>
  <si>
    <t>SWE01-NL0057</t>
  </si>
  <si>
    <t>Sweet Pea / Navy Blue LL</t>
  </si>
  <si>
    <t>SWE01-NL0058</t>
  </si>
  <si>
    <t>Sweet Pea / Bi-Yellow/Pink LL</t>
  </si>
  <si>
    <t>SWE01-NL0059</t>
  </si>
  <si>
    <t>Sweet Pea / Light Pink M</t>
  </si>
  <si>
    <t>SWE01-NL0060</t>
  </si>
  <si>
    <t>Sweet Pea / Bi-Purple LL</t>
  </si>
  <si>
    <t>SWE01-NL0061</t>
  </si>
  <si>
    <t>Sweet Pea / BI-Pink LL</t>
  </si>
  <si>
    <t>SWE01-NL0062</t>
  </si>
  <si>
    <t>Sweet Pea /Royal Blue Light LL</t>
  </si>
  <si>
    <t>SWE01-NL0063</t>
  </si>
  <si>
    <t>Sweet Pea / Hot Pink LL</t>
  </si>
  <si>
    <t>SWE01-NL0064</t>
  </si>
  <si>
    <t>Sweet Pea / Red LL</t>
  </si>
  <si>
    <t>SWE01-NL0065</t>
  </si>
  <si>
    <t>Sweet Pea / Pink LL</t>
  </si>
  <si>
    <t>SWE01-NL0066</t>
  </si>
  <si>
    <t>Sweet Pea / Salmon Pink LL</t>
  </si>
  <si>
    <t>SWE01-NL0067</t>
  </si>
  <si>
    <t>Sweet Pea / Crimson LL</t>
  </si>
  <si>
    <t>SWE01-NL0068</t>
  </si>
  <si>
    <t>Sweet Pea / Blush M</t>
  </si>
  <si>
    <t>SWE01-NL0069</t>
  </si>
  <si>
    <t>Sweet Pea / Apricot Orange LL</t>
  </si>
  <si>
    <t>SWE01-NL0070</t>
  </si>
  <si>
    <t>Sweet Pea / Peach M</t>
  </si>
  <si>
    <t>SWE01-NL0071</t>
  </si>
  <si>
    <t>Sweet Pea / Light Lavender LL</t>
  </si>
  <si>
    <t>SWE01-NL0072</t>
  </si>
  <si>
    <t>Sweet Pea / White M</t>
  </si>
  <si>
    <t>SWE01-NL0073</t>
  </si>
  <si>
    <t>Sweet Pea /Royal Blue Dark LL</t>
  </si>
  <si>
    <t>SWE01-NL0074</t>
  </si>
  <si>
    <t>Sweet Pea / Lavender M</t>
  </si>
  <si>
    <t>SWE01-NL0075</t>
  </si>
  <si>
    <t>Sweet Pea / Navy Blue M</t>
  </si>
  <si>
    <t>SWE01-NL0076</t>
  </si>
  <si>
    <t xml:space="preserve">Sweet Pea / Bi-Yellow/Pink M </t>
  </si>
  <si>
    <t>SWE01-NL0077</t>
  </si>
  <si>
    <t>Sweet Pea /Orange (tinted orange) LL</t>
  </si>
  <si>
    <t>SWE01-NL0078</t>
  </si>
  <si>
    <t>Sweet Pea / Bi-Purple M</t>
  </si>
  <si>
    <t>SWE01-NL0079</t>
  </si>
  <si>
    <t>Sweet Pea / BI-Pink M</t>
  </si>
  <si>
    <t>SWE01-NL0080</t>
  </si>
  <si>
    <t>Sweet Pea /Royal Blue Light M</t>
  </si>
  <si>
    <t>SWE01-NL0081</t>
  </si>
  <si>
    <t>Sweet Pea / Hot Pink M</t>
  </si>
  <si>
    <t>SWE01-NL0082</t>
  </si>
  <si>
    <t>Sweet Pea / Red M</t>
  </si>
  <si>
    <t>SWE01-NL0083</t>
  </si>
  <si>
    <t>Sweet Pea / Pink M</t>
  </si>
  <si>
    <t>SWE01-NL0084</t>
  </si>
  <si>
    <t>Sweet Pea / Salmon Pink M</t>
  </si>
  <si>
    <t>SWE01-NL0086</t>
  </si>
  <si>
    <t>Sweet Pea / Crimson M</t>
  </si>
  <si>
    <t>SWE01-NL0087</t>
  </si>
  <si>
    <t>Sweet Pea / Apricot Orange M</t>
  </si>
  <si>
    <t>CAR01-CO0543</t>
  </si>
  <si>
    <t>CARNATION Jelly</t>
  </si>
  <si>
    <t>CAR01-CO0544</t>
  </si>
  <si>
    <t>CARNATION Altair</t>
  </si>
  <si>
    <t>ROS01-NL0052</t>
  </si>
  <si>
    <t>ROSE / Movie Star</t>
  </si>
  <si>
    <t>MIN01-CO0166</t>
  </si>
  <si>
    <t>Minicarnation Hypster</t>
  </si>
  <si>
    <t>MIN01-CO0165</t>
  </si>
  <si>
    <t>Minicarnation Shellby</t>
  </si>
  <si>
    <t>MIN01-CO0167</t>
  </si>
  <si>
    <t>Minicarnation Lina</t>
  </si>
  <si>
    <t>HYA01-NL0109</t>
  </si>
  <si>
    <t>Hyacinthus / Pink Elephant/LPink</t>
  </si>
  <si>
    <t>HYA01-NL0110</t>
  </si>
  <si>
    <t>Hyacinthus / Orange Lion</t>
  </si>
  <si>
    <t>HYA01-NL0111</t>
  </si>
  <si>
    <t>[EZ] Hyacinthus / Fondant</t>
  </si>
  <si>
    <t>HYA01-NL0112</t>
  </si>
  <si>
    <t>[EZ] Hyacinthus / Deft Blue</t>
  </si>
  <si>
    <t>AST01-NL0010</t>
  </si>
  <si>
    <t>[EZ] Astilbe / Washington White</t>
  </si>
  <si>
    <t>AST01-NL0009</t>
  </si>
  <si>
    <t>[EZ] Astilbe / Europa L/Pink</t>
  </si>
  <si>
    <t>HYD01-NZ0100</t>
  </si>
  <si>
    <t>Hydrangea / New Zealand. AAA Pink (Hot) 40cm+ (limiited), (Masja (Hot Pink))</t>
  </si>
  <si>
    <t>HYD01-NZ0101</t>
  </si>
  <si>
    <t>Hydrangea / New Zealand. AAA Purple 40cm+ (limited), (Masja (Purple))</t>
  </si>
  <si>
    <t>ROS01-CHI336</t>
  </si>
  <si>
    <t>[MEL] CHINA / 리모늄 미스티 블루 (Limonium blue) 500g</t>
  </si>
  <si>
    <t>ROS01-CHI337</t>
  </si>
  <si>
    <t>[MEL]CHINA / 리모늄 스타티스 화이트 (Statice white)</t>
  </si>
  <si>
    <t>ROS01-CHI338</t>
  </si>
  <si>
    <t>[MEL]CHINA / 리모늄 스타티스 노랑 (Statice Yellow)</t>
  </si>
  <si>
    <t>ROS01-CHI339</t>
  </si>
  <si>
    <t>[MEL]CHINA / 리모늄 스타티스 연보라 (Statice light purple)</t>
  </si>
  <si>
    <t>ROS01-CHI340</t>
  </si>
  <si>
    <t>[MEL]CHINA / 리모늄 스타티스 연핑크 (Statice light pink)</t>
  </si>
  <si>
    <t>ROS01-CHI341</t>
  </si>
  <si>
    <t>[MEL]CHINA / 리모늄 스타티스 진보라 (Statice dark purple)</t>
  </si>
  <si>
    <t>ROS01-CHI342</t>
  </si>
  <si>
    <t>[MEL]CHINA / 리모늄 스타티스 진핑크 (Statice dark pink)</t>
  </si>
  <si>
    <t>ROS01-CHI343</t>
  </si>
  <si>
    <t>[MEL] SPRAY ROSE CHINA / 블랙 뷰티 (Dark red) SR18</t>
  </si>
  <si>
    <t>HYA01-NL0113</t>
  </si>
  <si>
    <t xml:space="preserve">Hyacinthus / White King </t>
  </si>
  <si>
    <t>HYA01-NL0114</t>
  </si>
  <si>
    <t>[EZ] Hyacinthus/  Antarctica</t>
  </si>
  <si>
    <t>NER01-NL0012</t>
  </si>
  <si>
    <t>Nerine Bowdenii Biancaperla</t>
  </si>
  <si>
    <t>DEN01-TH0300</t>
  </si>
  <si>
    <t>MOK Calipso Pink L</t>
  </si>
  <si>
    <t>LIN01-CHI024</t>
  </si>
  <si>
    <t>[MEL]Lisianthus CHINA / Eustoma Pink 600g</t>
  </si>
  <si>
    <t>LIN01-CHI025</t>
  </si>
  <si>
    <t>[MEL]Lisianthus CHINA / Eustoma White and Purple 600g</t>
  </si>
  <si>
    <t>LIN01-CHI026</t>
  </si>
  <si>
    <t>[MEL]Lisianthus CHINA / Eustoma White  600g</t>
  </si>
  <si>
    <t>HYA01-NL0115</t>
  </si>
  <si>
    <t>[EZ]Hyacinthus/ China white</t>
  </si>
  <si>
    <t>PEO01-NZ0032</t>
  </si>
  <si>
    <t>Peony / New Zealand. Bowl of Cream AA (60cm/4cm)</t>
  </si>
  <si>
    <t>ROS01-CHI347</t>
  </si>
  <si>
    <t xml:space="preserve">[MEL] ROSE CHINA / 케서린 (Catherine) </t>
  </si>
  <si>
    <t>ROS01-CHI348</t>
  </si>
  <si>
    <t xml:space="preserve">[MEL] ROSE CHINA / 줄리엣 (Juliet) </t>
  </si>
  <si>
    <t>ROS01-CHI349</t>
  </si>
  <si>
    <t>[MEL]CHINA / 코치아 (Kochia scoparia)</t>
  </si>
  <si>
    <t>ROS01-CHI350</t>
  </si>
  <si>
    <t xml:space="preserve">[MEL] ROSE CHINA / 오션송 (Song of the ocean) </t>
  </si>
  <si>
    <t>ROS01-CHI351</t>
  </si>
  <si>
    <t xml:space="preserve">[MEL] SPRAY ROSE CHINA / 레드로즈 (Red rose) </t>
  </si>
  <si>
    <t>ROS01-CHI352</t>
  </si>
  <si>
    <t>[MEL] ROSE CHINA / 샴페인 (Champagne)</t>
  </si>
  <si>
    <t>SWE01-NL0088</t>
  </si>
  <si>
    <t>Sweet Pea / Purplish pink L</t>
  </si>
  <si>
    <t>SWE01-NL0089</t>
  </si>
  <si>
    <t>Sweet Pea / Cream Ivory L</t>
  </si>
  <si>
    <t>SWE01-NL0090</t>
  </si>
  <si>
    <t>Sweet Pea / Violet Purple L</t>
  </si>
  <si>
    <t>SWE01-NL0091</t>
  </si>
  <si>
    <t>Sweet Pea / Mint Blue L (tinted)</t>
  </si>
  <si>
    <t>ROS01-CHI353</t>
  </si>
  <si>
    <t>[MEL] ROSE CHINA / 멘탈아우라 (Mental Aura)</t>
  </si>
  <si>
    <t>CAR01-CHI044</t>
  </si>
  <si>
    <t>Spray Carnation CHINA / 스타 스노우 테시노 (Star Snow Tessino)</t>
  </si>
  <si>
    <t>ROS01-CHI354</t>
  </si>
  <si>
    <t xml:space="preserve">[MEL] ROSE CHINA / 송 오브 조이 (Song of Joy) </t>
  </si>
  <si>
    <t>CAR01-CO0545</t>
  </si>
  <si>
    <t>CARNATION Baraccat Purple</t>
  </si>
  <si>
    <t>PEO01-NZ0033</t>
  </si>
  <si>
    <t>Hydrangea / New Zealand. AA Dark Blue , Renate</t>
  </si>
  <si>
    <t>ALS01-NL0012</t>
  </si>
  <si>
    <t>ALSTROMERIA Red Sacha</t>
  </si>
  <si>
    <t>FEE03-KR0080</t>
  </si>
  <si>
    <t>태국 운송료</t>
  </si>
  <si>
    <t>FEE03-KR0081</t>
  </si>
  <si>
    <t>일본 운송료</t>
  </si>
  <si>
    <t>ANTI1-NL0032</t>
  </si>
  <si>
    <t>[EZ] Anthurium Safari 15cm</t>
  </si>
  <si>
    <t>MIN01-CO0168</t>
  </si>
  <si>
    <t>Minicarnation Yellow</t>
  </si>
  <si>
    <t>HYA01-NL0116</t>
  </si>
  <si>
    <t>Hyacinthus / City of Bradford</t>
  </si>
  <si>
    <t>TUL01-NL0379</t>
  </si>
  <si>
    <t>Tulip / Albatros</t>
  </si>
  <si>
    <t>ROS01-CO232</t>
  </si>
  <si>
    <t>ROSE / Lollipop White Pink 50cm</t>
  </si>
  <si>
    <t>SWE01-NL0092</t>
  </si>
  <si>
    <t>Sweet Pea / Lavender-white LL</t>
  </si>
  <si>
    <t>SWE01-NL0093</t>
  </si>
  <si>
    <t>Sweet Pea / BI Red- Purple</t>
  </si>
  <si>
    <t>AST01-NL0011</t>
  </si>
  <si>
    <t>[EZ] Astilbe / Erika</t>
  </si>
  <si>
    <t>ROS01-CHI355</t>
  </si>
  <si>
    <t xml:space="preserve">ROSE CHINA / 리틀 핑크 라비트 (Little pink rabbit) </t>
  </si>
  <si>
    <t>CAR01-CO0546</t>
  </si>
  <si>
    <t>CARNATION Chrono Golem</t>
  </si>
  <si>
    <t>CAR01-CO0547</t>
  </si>
  <si>
    <t>CARNATION Donatello</t>
  </si>
  <si>
    <t>HYA01-NL0117</t>
  </si>
  <si>
    <t>Hyacinthus / China Pink</t>
  </si>
  <si>
    <t>TUL01-NL0380</t>
  </si>
  <si>
    <t>Tulip / White Marvel</t>
  </si>
  <si>
    <t>TUL01-NL0381</t>
  </si>
  <si>
    <t>Tulip / Fgardens Rhapsody</t>
  </si>
  <si>
    <t>HYA01-NL0118</t>
  </si>
  <si>
    <t>Hyacinthus/ China white</t>
  </si>
  <si>
    <t>ANT01-NL0114</t>
  </si>
  <si>
    <t>[EZ] Anthurium Graciosa 11cm</t>
  </si>
  <si>
    <t>ROS01-CHI400</t>
  </si>
  <si>
    <t xml:space="preserve">[MEL] CHINA GoldenWatree / 골든와트리 </t>
  </si>
  <si>
    <t>ROS01-CO333</t>
  </si>
  <si>
    <t>ROSE / Cobalt Blue</t>
  </si>
  <si>
    <t>ROS01-CHI404</t>
  </si>
  <si>
    <t xml:space="preserve">[MEL] SPRAY ROSE CHINA / 알리스 (Alice) </t>
  </si>
  <si>
    <t>ROS01-CO334</t>
  </si>
  <si>
    <t>ROSE / Deep Frozen</t>
  </si>
  <si>
    <t>ROS01-CHI403</t>
  </si>
  <si>
    <t xml:space="preserve">[MEL] SPRAY ROSE CHINA / 발코니 (Fruit Juice Balcony) </t>
  </si>
  <si>
    <t>ROS01-CHI402</t>
  </si>
  <si>
    <t xml:space="preserve">[MEL] SPRAY ROSE CHINA / 베이비 소피 (Sophie Baby) </t>
  </si>
  <si>
    <t>ROS01-CHI401</t>
  </si>
  <si>
    <t xml:space="preserve">[MEL] SPRAY ROSE CHINA / 루루 공주 (Lulu Princess) </t>
  </si>
  <si>
    <t>ALS01-CO0241</t>
  </si>
  <si>
    <t>ALSTROMERIA Himalaya Butterplus</t>
  </si>
  <si>
    <t>EUC01-CHI016</t>
  </si>
  <si>
    <t>[MEL] Pong Pong CHINA / 퐁퐁 화이트 (Pong Pong – white)</t>
  </si>
  <si>
    <t>EUC01-CHI017</t>
  </si>
  <si>
    <t>[MEL] Pong Pong CHINA / 퐁퐁 노랑 (Pong Pong – Yellow)</t>
  </si>
  <si>
    <t>EUC01-CHI018</t>
  </si>
  <si>
    <t>[MEL] Pong Pong CHINA / 퐁퐁 핑크 (Pong Pong – PINK)</t>
  </si>
  <si>
    <t>HYA01-NL0119</t>
  </si>
  <si>
    <t>Hyacinthus/ Aiolos</t>
  </si>
  <si>
    <t>CAR01-CHI045</t>
  </si>
  <si>
    <t xml:space="preserve">Spray Carnation CHINA / 펄 파우더 Pearl powder </t>
  </si>
  <si>
    <t>CAR01-CHI046</t>
  </si>
  <si>
    <t>Spray Carnation CHINA / 스트로베리 파이 Strawberry pie</t>
  </si>
  <si>
    <t>CAR01-CHI047</t>
  </si>
  <si>
    <t xml:space="preserve">[MEL] SPRAY ROSE CHINA / 블랙뷰티 (Spray-Rose Black Beauty) </t>
  </si>
  <si>
    <t>PEO01-NZ0034</t>
  </si>
  <si>
    <t>Hydrangea / New Zealand. AA Pink (Hot) 40cm+ (limiited), (Alpine Glow (Hot Pink))</t>
  </si>
  <si>
    <t>PEO01-NZ0035</t>
  </si>
  <si>
    <t>Hydrangea / New Zealand. AAA Pink (Hot) 40cm+ (limiited), (Alpine Glow (Hot Pink))</t>
  </si>
  <si>
    <t>ANT01-NL0115</t>
  </si>
  <si>
    <t>Anthurium Lovely Snowy 11cm</t>
  </si>
  <si>
    <t>TUL01-NL0382</t>
  </si>
  <si>
    <t>[EZ] Tulip / Single Thijs Boots</t>
  </si>
  <si>
    <t>ERY01-NL0011</t>
  </si>
  <si>
    <t>Eryngium Orion Blue 80cm</t>
  </si>
  <si>
    <t>ROS01-CO335</t>
  </si>
  <si>
    <t>ROSE / Be Sweet mc 50cm</t>
  </si>
  <si>
    <t>ROS01-CO336</t>
  </si>
  <si>
    <t>ROSE / Brighton mc 50cm</t>
  </si>
  <si>
    <t>ROS01-CO337</t>
  </si>
  <si>
    <t xml:space="preserve">ROSE / Coral Reef mc 50cm </t>
  </si>
  <si>
    <t>ROS01-CO338</t>
  </si>
  <si>
    <t>ROSE / Deep Silver mc 50cm</t>
  </si>
  <si>
    <t>ROS01-CO339</t>
  </si>
  <si>
    <t xml:space="preserve">ROSE / Freedom mc 50cm </t>
  </si>
  <si>
    <t>ROS01-CO340</t>
  </si>
  <si>
    <t xml:space="preserve">ROSE / Malibu mc 50cm </t>
  </si>
  <si>
    <t>ROS01-CO341</t>
  </si>
  <si>
    <t>ROSE / Mandala mc 50cm</t>
  </si>
  <si>
    <t>ROS01-CO342</t>
  </si>
  <si>
    <t>ROSE / Momentum mc 50cm</t>
  </si>
  <si>
    <t>ROS01-CO343</t>
  </si>
  <si>
    <t>ROSE / Mondial White mc 50cm</t>
  </si>
  <si>
    <t>ROS01-CO344</t>
  </si>
  <si>
    <t xml:space="preserve">ROSE / Pink Mondial mc 50cm </t>
  </si>
  <si>
    <t>ROS01-CO345</t>
  </si>
  <si>
    <t>ROSE / Pink Floyd (Hot Pink) mc 50cm</t>
  </si>
  <si>
    <t>ROS01-CO346</t>
  </si>
  <si>
    <t>ROSE / Silantoi mc 50cm</t>
  </si>
  <si>
    <t>ROS01-CO347</t>
  </si>
  <si>
    <t>ROSE / Sweetness mc 50cm</t>
  </si>
  <si>
    <t>ROS01-CHI405</t>
  </si>
  <si>
    <t xml:space="preserve">[MEL] ROSE CHINA / 시시아 페어리 (Zixia Fairy) </t>
  </si>
  <si>
    <t>SIN01-CHI011</t>
  </si>
  <si>
    <t>[MEL] CHINA / 안개꽃 1Kg (Gypsophila white type 2, big buds)</t>
  </si>
  <si>
    <t>MIN01-CO0169</t>
  </si>
  <si>
    <t>MiniCarnation 피치(DANNY)</t>
  </si>
  <si>
    <t>ROS01-CHI406</t>
  </si>
  <si>
    <t>[MEL] ROSE CHINA / 애플잭 (Apple Jack)</t>
  </si>
  <si>
    <t>CAR01-CO0551</t>
  </si>
  <si>
    <t>CARNATION Cobalt Thrill</t>
  </si>
  <si>
    <t>CAR01-CO0550</t>
  </si>
  <si>
    <t>CARNATION Eminence</t>
  </si>
  <si>
    <t>CAR01-CO0549</t>
  </si>
  <si>
    <t>CARNATION Kino</t>
  </si>
  <si>
    <t>CAR01-CO0548</t>
  </si>
  <si>
    <t>CARNATION Olympia</t>
  </si>
  <si>
    <t>ROS01-EC0231</t>
  </si>
  <si>
    <t>Ecuador Tinted Baby Blue</t>
  </si>
  <si>
    <t>ROS01-CO348</t>
  </si>
  <si>
    <t>ROSE / Cosmic Blue 50cm</t>
  </si>
  <si>
    <t>ROS01-CO349</t>
  </si>
  <si>
    <t>ROSE / Turquoise Sky 50cm</t>
  </si>
  <si>
    <t>DEN01-TH0301</t>
  </si>
  <si>
    <t>MOK Robin Red XL</t>
  </si>
  <si>
    <t>ROS01-CO350</t>
  </si>
  <si>
    <t>ROSE / Candy Xpression</t>
  </si>
  <si>
    <t>ROS01-CO351</t>
  </si>
  <si>
    <t>ROSE / Freedom 110cm</t>
  </si>
  <si>
    <t>ROS01-CHI409</t>
  </si>
  <si>
    <t xml:space="preserve">[MEL] SPRAY ROSE CHINA / 미드나잇 매직 (Midnight magic) </t>
  </si>
  <si>
    <t>ROS01-CHI407</t>
  </si>
  <si>
    <t xml:space="preserve">[MEL] SPRAY  ROSE CHINA / 달링턴 (Darlington) </t>
  </si>
  <si>
    <t>ROS01-CHI408</t>
  </si>
  <si>
    <t>[MEL] SPRAY ROSE CHINA / 아프리콧 주스 (Apricot juice)</t>
  </si>
  <si>
    <t>ROS01-CHI410</t>
  </si>
  <si>
    <t xml:space="preserve">[MEL] SPRAY ROSE CHINA / 베를린 걸 (Berlin girl) </t>
  </si>
  <si>
    <t>CAR01-CO0552</t>
  </si>
  <si>
    <t>CARNATION Don Luis</t>
  </si>
  <si>
    <t>HYD01-CO0035</t>
  </si>
  <si>
    <t>Hydrangea Bright Pink (브라이트 핑크)</t>
  </si>
  <si>
    <t>HYD01-CO0036</t>
  </si>
  <si>
    <t>시베리아</t>
  </si>
  <si>
    <t>CAR01-CHI050</t>
  </si>
  <si>
    <t>Spray Carnation CHINA / 카림보 (Carimbo)</t>
  </si>
  <si>
    <t>CAR01-CHI051</t>
  </si>
  <si>
    <t>Spray Carnation CHINA / 리나 (Lina)</t>
  </si>
  <si>
    <t>TUL01-NL0383</t>
  </si>
  <si>
    <t xml:space="preserve">Tulip / Single Ad Rem </t>
  </si>
  <si>
    <t>GLA01-CHI001</t>
  </si>
  <si>
    <t>CHINA / 라스라지 화이트 (Gladiolus White)</t>
  </si>
  <si>
    <t>PEO01-NZ0043</t>
  </si>
  <si>
    <t>Peony / Mary Nicholls White</t>
  </si>
  <si>
    <t>CAL01-NL0224</t>
  </si>
  <si>
    <t>Calla / Odessa 55cm Decorum Black</t>
  </si>
  <si>
    <t>Credit Colombia Rose</t>
  </si>
  <si>
    <t>수입부용 코드</t>
  </si>
  <si>
    <t>ROS01-CHI411</t>
  </si>
  <si>
    <t>[MEL] SPRAY ROSE CHINA / 핑크 라라 (Spray-Rose Pink Lala)</t>
  </si>
  <si>
    <t>PEO01-NZ0042</t>
  </si>
  <si>
    <t xml:space="preserve">Peony / Bowl of  Cream 볼오브크림 </t>
  </si>
  <si>
    <t>PEO01-NZ0041</t>
  </si>
  <si>
    <t>Peony / Bridal Shower (브라이덜샤워)</t>
  </si>
  <si>
    <t>ROS01-CHI412</t>
  </si>
  <si>
    <t>CHINA / 블러싱 브라이드(Serruria Florida)</t>
  </si>
  <si>
    <t xml:space="preserve">시즌: 12월-3월
55-65cm</t>
  </si>
  <si>
    <t>ROS01-CO352</t>
  </si>
  <si>
    <t>ROSE / Freedom 80cm</t>
  </si>
  <si>
    <t>DEN01-TH0100</t>
  </si>
  <si>
    <t>Anthurium Sample box</t>
  </si>
  <si>
    <t>TUL01-NL0384</t>
  </si>
  <si>
    <t xml:space="preserve">Tulip / Standar Red Antarctica Fire </t>
  </si>
  <si>
    <t>DEN01-TH0302</t>
  </si>
  <si>
    <t>MOK Jubkuan Pink XL</t>
  </si>
  <si>
    <t>DEN01-TH0303</t>
  </si>
  <si>
    <t>Den Siam Blue( SIB ) XL</t>
  </si>
  <si>
    <t>LIN01-CHI016</t>
  </si>
  <si>
    <t>Lisianthus CHINA / 포콜로 블루 림 (Piccolo Blue rim) 600g</t>
  </si>
  <si>
    <t>LIN01-CHI017</t>
  </si>
  <si>
    <t>Lisianthus CHINA / 로잔 3호 그린 (Rosanne 2 Green) 600g</t>
  </si>
  <si>
    <t>ROS01-CHI415</t>
  </si>
  <si>
    <t>DAHLIA CHINA / 달리아 블랙 (Dahlia Cocoa beans)</t>
  </si>
  <si>
    <t>RUS01-CO0002</t>
  </si>
  <si>
    <t xml:space="preserve">Ruscus Green 50cm </t>
  </si>
  <si>
    <t>HYD01-CO0037</t>
  </si>
  <si>
    <t>Hydrangea Super light pink (연연핑크) (BA)</t>
  </si>
  <si>
    <t>ROS01-CHI413</t>
  </si>
  <si>
    <t>[MEL] ROSE CHINA / 퀵샌드 (Drift Sand)</t>
  </si>
  <si>
    <t>ROS01-CHI414</t>
  </si>
  <si>
    <t>[MEL] ROSE CHINA / 테니크(Tennick)</t>
  </si>
  <si>
    <t>ROS01-CHI416</t>
  </si>
  <si>
    <t>ROSE CHINA / 골드핀치 (Goldfinch)</t>
  </si>
  <si>
    <t>yellow</t>
  </si>
  <si>
    <t>ROS01-CO353</t>
  </si>
  <si>
    <t>ROSE / Explorer 60cm</t>
  </si>
  <si>
    <t>ROS01-CHI417</t>
  </si>
  <si>
    <t>DAHLIA CHINA / 달리아 카라멜 (caramel)</t>
  </si>
  <si>
    <t>ROS01-CHI418</t>
  </si>
  <si>
    <t>DAHLIA CHINA / 달리아 핑크 (Dahlia Wizard of OZ)</t>
  </si>
  <si>
    <t>ROS01-CHI419</t>
  </si>
  <si>
    <t>DAHLIA CHINA / 달리아 코랄 (Coral pearl)</t>
  </si>
  <si>
    <t>ROS01-CHI420</t>
  </si>
  <si>
    <t>DAHLIA CHINA / 달리아 오렌지 (Orange Stone)</t>
  </si>
  <si>
    <t>DEN01-TH0101</t>
  </si>
  <si>
    <t>Anthurium White Angel M</t>
  </si>
  <si>
    <t>DEN01-TH01012</t>
  </si>
  <si>
    <t>Anthurium White Moment M</t>
  </si>
  <si>
    <t>DEN01-TH01013</t>
  </si>
  <si>
    <t>Anthurium Red Narita M</t>
  </si>
  <si>
    <t>DEN01-TH01014</t>
  </si>
  <si>
    <t>Anthurium Green Pistache M</t>
  </si>
  <si>
    <t>TUL01-NL0385</t>
  </si>
  <si>
    <t>Tulip / Double Kickstart</t>
  </si>
  <si>
    <t>ROS01-CHI421</t>
  </si>
  <si>
    <t>DAHLIA CHINA / 달리아 화이트 (White Quartz)</t>
  </si>
  <si>
    <t>ROS01-CHI422</t>
  </si>
  <si>
    <t>DAHLIA CHINA / 달리아 화이트/핑크 (Marshmallow)</t>
  </si>
  <si>
    <t>ROS01-CHI423</t>
  </si>
  <si>
    <t>DAHLIA CHINA / 달리아 화이트/핑크 (Margarita)</t>
  </si>
  <si>
    <t>ROS01-CHI424</t>
  </si>
  <si>
    <t>DAHLIA CHINA / 달리아 진핑그/화이트 (Angelina)</t>
  </si>
  <si>
    <t>ROS01-CHI425</t>
  </si>
  <si>
    <t>DAHLIA CHINA / 달리아 연레드 (Ruby)</t>
  </si>
  <si>
    <t>ROS01-CHI426</t>
  </si>
  <si>
    <t>DAHLIA CHINA / 달리아 진핑크 (silty quartz)</t>
  </si>
  <si>
    <t>ROS01-CHI427</t>
  </si>
  <si>
    <t>DAHLIA CHINA / 달리아 진핑크 (Esoteric Buddhism)</t>
  </si>
  <si>
    <t>ROS01-CHI428</t>
  </si>
  <si>
    <t>DAHLIA CHINA / 달리아 진핑크 (Capuchino)</t>
  </si>
  <si>
    <t>ROS01-CHI429</t>
  </si>
  <si>
    <t>DAHLIA CHINA / 달리아 보라 (Moon Stone)</t>
  </si>
  <si>
    <t>ROS01-CHI430</t>
  </si>
  <si>
    <t>DAHLIA CHINA / 달리아 레드 (Red Pising Sun)</t>
  </si>
  <si>
    <t>ROS01-CHI431</t>
  </si>
  <si>
    <t>DAHLIA CHINA / 달리아 오렌지 노랑 (Sunshine Orange)</t>
  </si>
  <si>
    <t>ROS01-CHI432</t>
  </si>
  <si>
    <t>DAHLIA CHINA / 달리아 오렌지 (Feast)</t>
  </si>
  <si>
    <t>ROS01-CHI433</t>
  </si>
  <si>
    <t>DAHLIA CHINA / 달리아 노랑 (Bright  Future)</t>
  </si>
  <si>
    <t>ROS01-CHI434</t>
  </si>
  <si>
    <t>DAHLIA CHINA / 달리아 오렌지 (Bright Orange)</t>
  </si>
  <si>
    <t xml:space="preserve">샘플 오렌지
</t>
  </si>
  <si>
    <t>TUL01-NL0386</t>
  </si>
  <si>
    <t>Tulip / Single Crown White</t>
  </si>
  <si>
    <t>ERY01-NL0012</t>
  </si>
  <si>
    <t>Eryngium Orion Blue 70cm</t>
  </si>
  <si>
    <t>MIN01-CO0170</t>
  </si>
  <si>
    <t>MiniCarnation Athena (연핑크)</t>
  </si>
  <si>
    <t>CAR01-CO0553</t>
  </si>
  <si>
    <t>CARNATION Yellow Stone (Geoflora)</t>
  </si>
  <si>
    <t>CAR01-CO0554</t>
  </si>
  <si>
    <t>CARNATION Cobalt thrill (Geoflora)</t>
  </si>
  <si>
    <t>CAR01-CO0555</t>
  </si>
  <si>
    <t>CARNATION Frenesi (Geoflora)</t>
  </si>
  <si>
    <t>ROS01-CHI445</t>
  </si>
  <si>
    <t>[MEL] SPRAY ROSE CHINA / 오렌지 (Eyeliner)</t>
  </si>
  <si>
    <t>BUS01-AU0005</t>
  </si>
  <si>
    <t xml:space="preserve">Wolly Bush Green Tip </t>
  </si>
  <si>
    <t>BUS01-AU0006</t>
  </si>
  <si>
    <t>Wolly Bush Red Tip</t>
  </si>
  <si>
    <t>FER01-AU0007</t>
  </si>
  <si>
    <t>Copper Glow</t>
  </si>
  <si>
    <t>ALL01-NL0022</t>
  </si>
  <si>
    <t>Allium / Neapolitanum Spray White</t>
  </si>
  <si>
    <t>MOQ x20</t>
  </si>
  <si>
    <t>TUL01-NL0387</t>
  </si>
  <si>
    <t>Tulip / Double Hashtag</t>
  </si>
  <si>
    <t>ROS01-CHI436</t>
  </si>
  <si>
    <t>DAHLIA CHINA / 달리아 라운드 화이트 (Round White quartz)</t>
  </si>
  <si>
    <t>GLA01-CHI005</t>
  </si>
  <si>
    <t>[MEL] CHINA / 라스라지 화이트 (Gladiolus White)</t>
  </si>
  <si>
    <t>GLA01-CHI006</t>
  </si>
  <si>
    <t>[MEL] CHINA / 라스라지 연보라 (Gladiolus Taro purple)</t>
  </si>
  <si>
    <t>CAR01-CHI052</t>
  </si>
  <si>
    <t>[MEL] Spray Carnation CHINA / 펄핑크 (Pearl Pink)</t>
  </si>
  <si>
    <t>CAR01-CHI053</t>
  </si>
  <si>
    <t>[MEL] Spray Carnation CHINA / 체리 핑크 (Cherry price)</t>
  </si>
  <si>
    <t>CAR01-CHI054</t>
  </si>
  <si>
    <t>[MEL] Spray Carnation CHINA / 롤리팝 퍼플 (Lollipop)</t>
  </si>
  <si>
    <t>CAR01-CHI055</t>
  </si>
  <si>
    <t>[MEL] Spray Carnation CHINA / 노랑 (Yellow)</t>
  </si>
  <si>
    <t>CAR01-CHI056</t>
  </si>
  <si>
    <t>[MEL] Spray Carnation CHINA / 트렌디 테시노 (Fashion Prince)</t>
  </si>
  <si>
    <t>PON01-VT0001</t>
  </si>
  <si>
    <t xml:space="preserve">POMPON VIETNAM / 퐁퐁 골든 (Golden) </t>
  </si>
  <si>
    <t>퐁퐁 Pong Pong</t>
  </si>
  <si>
    <t>PON01-VT0002</t>
  </si>
  <si>
    <t xml:space="preserve">POMPON VIETNAM / 퐁퐁 화이트 (White) </t>
  </si>
  <si>
    <t>PON01-VT0003</t>
  </si>
  <si>
    <t xml:space="preserve">POMPON VIETNAM / 퐁퐁 연핑크 (Momoko) </t>
  </si>
  <si>
    <t>PON01-VT0004</t>
  </si>
  <si>
    <t xml:space="preserve">POMPON VIETNAM / 퐁퐁 진핑크 (Zariah) </t>
  </si>
  <si>
    <t>PON01-VT0005</t>
  </si>
  <si>
    <t xml:space="preserve">POMPON VIETNAM / 퐁퐁 그린 (Green) </t>
  </si>
  <si>
    <t>PON01-VT0006</t>
  </si>
  <si>
    <t xml:space="preserve">POMPON VIETNAM / 퐁퐁 노란 (Borg) </t>
  </si>
  <si>
    <t>PEO01-VT0001</t>
  </si>
  <si>
    <t xml:space="preserve">PEONY VIETNAM / 피어니 화이트 (White) </t>
  </si>
  <si>
    <t>ROS01-CHI446</t>
  </si>
  <si>
    <t>[MEL] SPRAY ROSE CHINA / 문라이트 (Moonlight walk)</t>
  </si>
  <si>
    <t>ERY01-NL0013</t>
  </si>
  <si>
    <t xml:space="preserve">Eryngium Sirius Questar White 60cm </t>
  </si>
  <si>
    <t>ERY01-NL0014</t>
  </si>
  <si>
    <t xml:space="preserve">Eryngium Sirius Questar White 50cm </t>
  </si>
  <si>
    <t>ERY01-NL0015</t>
  </si>
  <si>
    <t xml:space="preserve">Eryngium Sirius Questar White 70cm </t>
  </si>
  <si>
    <t>ROS01-CHI447</t>
  </si>
  <si>
    <t xml:space="preserve">[MEL] ROSE CHINA / 레바이벌 (Wake Up) </t>
  </si>
  <si>
    <t>RUS01-CO0003</t>
  </si>
  <si>
    <t xml:space="preserve">Ruscus Green 70cm </t>
  </si>
  <si>
    <t>CAR01-CHI057</t>
  </si>
  <si>
    <t xml:space="preserve">[MEL] Spray Carnation CHINA / 보라 화이트 (Purple prince) </t>
  </si>
  <si>
    <t>LIL01-CHI001</t>
  </si>
  <si>
    <t>CHINA / 백합 컨 드럼 (Cone Drums) Single head</t>
  </si>
  <si>
    <t>ROS01-CHI448</t>
  </si>
  <si>
    <t>SPRAY ROSE CHINA / 체로키 (Cherokee)</t>
  </si>
  <si>
    <t>LIL01-CHI002</t>
  </si>
  <si>
    <t>CHINA / 백합 화이트 (Oriental white) 2 Buds/봉오리</t>
  </si>
  <si>
    <t>ROS01-CHI488</t>
  </si>
  <si>
    <t>Eucalyptus CHINA / 포퓰러스 시드, 다이브 (populus seed)</t>
  </si>
  <si>
    <t>ROS01-CO234</t>
  </si>
  <si>
    <t>CHINA / 솔리다고 (Solidago)</t>
  </si>
  <si>
    <t>ROS01-CO235</t>
  </si>
  <si>
    <t>[MEL] CHINA / 솔리다고 (Solidago)</t>
  </si>
  <si>
    <t>ROS01-CHI489</t>
  </si>
  <si>
    <t>[MEL] Eucalyptus CHINA / 포퓰러스 시드, 다이브 (Eucalyptus with fruit)</t>
  </si>
  <si>
    <t>ROS01-CHI206</t>
  </si>
  <si>
    <t>Amaranthus CHINA Fresh / 줄맨드라미 생화 그린</t>
  </si>
  <si>
    <t>일반 꽃 관새</t>
  </si>
  <si>
    <t>ROS01-CHI207</t>
  </si>
  <si>
    <t>Amaranthus CHINA Fresh / 줄맨드라미 생화 래드</t>
  </si>
  <si>
    <t>ROS01-CHI449</t>
  </si>
  <si>
    <t>[오경] ROSE CHINA / 문리트 (Moonlit stroll)</t>
  </si>
  <si>
    <t>ERY01-NL0016</t>
  </si>
  <si>
    <t xml:space="preserve">Eryngium Planum Gemini Questar </t>
  </si>
  <si>
    <t>ROS01-CHI450</t>
  </si>
  <si>
    <t>[오경] ROSE CHINA / 만달라(Mandala)</t>
  </si>
  <si>
    <t>DEN01-TH0304</t>
  </si>
  <si>
    <t>MOK Nora blue L</t>
  </si>
  <si>
    <t>ANTI1-NL0033</t>
  </si>
  <si>
    <t>Anthurium Extase 15cm</t>
  </si>
  <si>
    <t>SPI01-CHI008</t>
  </si>
  <si>
    <t>CHINA / 조팝 (Spiraea spp, Bridal wreath)</t>
  </si>
  <si>
    <t>CAR01-CHI058</t>
  </si>
  <si>
    <t>[MEL] Spray Carnation CHINA / 스타스노우 (White star prince)</t>
  </si>
  <si>
    <t>CAR01-CHI059</t>
  </si>
  <si>
    <t>[MEL] Spray Carnation CHINA / 핑크 스타 프린스 (Pink star prince)</t>
  </si>
  <si>
    <t>TUL01-NL0388</t>
  </si>
  <si>
    <t>Tulip / Frill Ice Crystal</t>
  </si>
  <si>
    <t>ORC01-VT0001</t>
  </si>
  <si>
    <t xml:space="preserve">ORCHID VIETNAM / 호접란  화이트 7-8 (Party grade White 7-8) </t>
  </si>
  <si>
    <t>호접난 Orchid</t>
  </si>
  <si>
    <t>ORC01-VT0002</t>
  </si>
  <si>
    <t xml:space="preserve">ORCHID VIETNAM / 호접란  연핑크 7 (Party grade Single Sprayed 7F, Soft Pink) </t>
  </si>
  <si>
    <t>ORC01-VT0003</t>
  </si>
  <si>
    <t xml:space="preserve">ORCHID VIETNAM / 호접란  핑크 7 (Party grade Single Sprayed 7F, Perfect Pink) </t>
  </si>
  <si>
    <t>CAR01-CO0556</t>
  </si>
  <si>
    <t>CARNATION Orange Flame</t>
  </si>
  <si>
    <t>ROS01-CHI454</t>
  </si>
  <si>
    <t>ROSE CHINA / 메두사 (Medusa)</t>
  </si>
  <si>
    <t>DEL01-CHI004</t>
  </si>
  <si>
    <t>Delphinium CHINA / 연보라 Light Purple</t>
  </si>
  <si>
    <t>SIN01-CHI015</t>
  </si>
  <si>
    <t>CHINA / 리모늄 보라 (Limonium purple) 500g</t>
  </si>
  <si>
    <t>CAR01-CHI060</t>
  </si>
  <si>
    <t>[MEL] Carnation CHINA / 마스터 레드 (Master Red)</t>
  </si>
  <si>
    <t>AMA01-NL0034</t>
  </si>
  <si>
    <t>Amaryllis / White Symphony 12st White</t>
  </si>
  <si>
    <t>CAR01-CHI080</t>
  </si>
  <si>
    <t>[MEL] Spray Carnation CHINA / 솔로미오 Solomio Ed (White)</t>
  </si>
  <si>
    <t>CAR01-CHI079</t>
  </si>
  <si>
    <t>[MEL] Spray Carnation CHINA / 솔로미오 Solomio Fire Feather (Yellow)</t>
  </si>
  <si>
    <t>CAR01-CHI078</t>
  </si>
  <si>
    <t>[MEL] Spray Carnation CHINA / 솔로미오 Solomio Pink Butterfly (Pink)</t>
  </si>
  <si>
    <t>CAR01-CHI077</t>
  </si>
  <si>
    <t>[MEL] Spray Carnation CHINA / 솔로미오 Solomio Peach (White, pink lines)</t>
  </si>
  <si>
    <t>CAR01-CHI076</t>
  </si>
  <si>
    <t>[MEL] Spray Carnation CHINA / 솔로미오 Solomio Down (Cream)</t>
  </si>
  <si>
    <t>CAR01-CHI075</t>
  </si>
  <si>
    <t>[MEL] Spray Carnation CHINA / 솔로미오 Solomio Little Strawberry (Bi Pink,Red)</t>
  </si>
  <si>
    <t>CAR01-CHI074</t>
  </si>
  <si>
    <t>[MEL] Spray Carnation CHINA / 솔로미오 Solomio Cliff (Apple red)</t>
  </si>
  <si>
    <t>CAR01-CHI073</t>
  </si>
  <si>
    <t>[MEL] Spray Carnation CHINA / 솔로미오 Solomio Hoh Xil (Peach)</t>
  </si>
  <si>
    <t>CAR01-CHI072</t>
  </si>
  <si>
    <t>[MEL] Spray Carnation CHINA / 솔로미오 Solomio Swamp (Pink, White)</t>
  </si>
  <si>
    <t>CAR01-CHI071</t>
  </si>
  <si>
    <t>[MEL] Spray Carnation CHINA / 솔로미오 Solomio Salmon (Salmon)</t>
  </si>
  <si>
    <t>CAR01-CHI081</t>
  </si>
  <si>
    <t>[MEL] Spray Carnation CHINA / 솔로미오 Solomio Sakura (PastelPink)</t>
  </si>
  <si>
    <t>CAR01-CO0557</t>
  </si>
  <si>
    <t>CARNATION Safari</t>
  </si>
  <si>
    <t>ROS01-CO354</t>
  </si>
  <si>
    <t>ROSE / Blue Eclipse</t>
  </si>
  <si>
    <t>CAR01-CHI082</t>
  </si>
  <si>
    <t>[MEL] Spray Carnation CHINA / 래드 (Barbra Red-multi)</t>
  </si>
  <si>
    <t>CAR01-CHI083</t>
  </si>
  <si>
    <t>[MEL] Spray Carnation CHINA / 화이트 (White-multiheads)</t>
  </si>
  <si>
    <t>CAR01-CHI084</t>
  </si>
  <si>
    <t>[MEL] Spray Carnation CHINA / 노랑 (Yellow-multiheads)</t>
  </si>
  <si>
    <t>HYD01-CO0038</t>
  </si>
  <si>
    <t>Hydrangea Yellow Lemon Ice (옐로우 레몬 아이스)</t>
  </si>
  <si>
    <t>AMA01-NL0035</t>
  </si>
  <si>
    <t>Amaryllis / White Symphony 10st White</t>
  </si>
  <si>
    <t>ORC01-VT0004</t>
  </si>
  <si>
    <t>ORC01-VT0005</t>
  </si>
  <si>
    <t>ROS01-CHI208</t>
  </si>
  <si>
    <t>[MEL] Amaranthus CHINA DRY WHITE/ 줄맨드라미 프리저브드 화이트</t>
  </si>
  <si>
    <t>25% 관새</t>
  </si>
  <si>
    <t>ROS01-CHI209</t>
  </si>
  <si>
    <t>[MEL] Amaranthus CHINA Fresh GREEN / 줄맨드라미 생화 그린</t>
  </si>
  <si>
    <t>ROS01-CHI210</t>
  </si>
  <si>
    <t>[MEL] Amaranthus CHINA Fresh RED / 줄맨드라미 생화 레드</t>
  </si>
  <si>
    <t>LIN01-CHI023</t>
  </si>
  <si>
    <t>[MEL] Lisianthus CHINA WHITE / 화이트 600g</t>
  </si>
  <si>
    <t>LIN01-CHI022</t>
  </si>
  <si>
    <t>[MEL]Lisianthus CHINA / Eustoma Pink 800g</t>
  </si>
  <si>
    <t>LIN01-CHI021</t>
  </si>
  <si>
    <t>[MEL]Lisianthus CHINA / Eustoma White 800g</t>
  </si>
  <si>
    <t>LIN01-CHI020</t>
  </si>
  <si>
    <t>[MEL]Lisianthus CHINA / Eustoma White&amp;Purple 800g</t>
  </si>
  <si>
    <t>CAR01-CHI085</t>
  </si>
  <si>
    <t>[MEL] Spray Carnation CHINA / 피치 (Hamada)</t>
  </si>
  <si>
    <t>CAR01-CHI086</t>
  </si>
  <si>
    <t>[MEL] Spray Carnation CHINA / 스칼렛 (Scarlett)</t>
  </si>
  <si>
    <t>LIN01-CHI018</t>
  </si>
  <si>
    <t>[MEL] Lisianthus CHINA / 핑크 (mariachi Light pink) 600g</t>
  </si>
  <si>
    <t>RUS01-CO0004</t>
  </si>
  <si>
    <t xml:space="preserve">Ruscus Green 40cm </t>
  </si>
  <si>
    <t>ASP01-CHI002</t>
  </si>
  <si>
    <t>[MEL] ASPARAGUS CHINA Preserved Blue / 미디오 (연블루)</t>
  </si>
  <si>
    <t>55cm</t>
  </si>
  <si>
    <t>ASP01-CHI001</t>
  </si>
  <si>
    <t>[MEL] ASPARAGUS CHINA Preserved Dark red / 미디오 (찐레드)</t>
  </si>
  <si>
    <t>ASP01-CHI003</t>
  </si>
  <si>
    <t>[MEL] ASPARAGUS CHINA Preserved White / 미디오 (화이트)</t>
  </si>
  <si>
    <t xml:space="preserve">미디오 프리져브드.MELODY
name: Asparagus
season: 1년 내내
price:21yuan 10,269원 부가세X
bunch/box:25bunches/box
Stem/bunch:3stems
size(cm):55cm</t>
  </si>
  <si>
    <t>ASP01-CHI004</t>
  </si>
  <si>
    <t>[MEL] ASPARAGUS CHINA Preserved Pink / 미디오 (연핑크)</t>
  </si>
  <si>
    <t>ROS01-CHI490</t>
  </si>
  <si>
    <t>[MEL] ROSE CHINA / KING DAY</t>
  </si>
  <si>
    <t>POL01-NL0001</t>
  </si>
  <si>
    <t>Polygonatum Multiflo</t>
  </si>
  <si>
    <t>CAR01-CO0558</t>
  </si>
  <si>
    <t>CARNATION Olimpia</t>
  </si>
  <si>
    <t>ROS01-CHI491</t>
  </si>
  <si>
    <t>[MEL] ROSE CHINA / 케서린 (Catherine) 65-75cm</t>
  </si>
  <si>
    <t>TUL01-NL0389</t>
  </si>
  <si>
    <t>Tulip / Double White Foxtrot</t>
  </si>
  <si>
    <t>ROS01-CHI492</t>
  </si>
  <si>
    <t>ROSE CHINA / 버터컵(Butter cup) 65-75cm</t>
  </si>
  <si>
    <t>SIN01-CHI016</t>
  </si>
  <si>
    <t>CHINA / 리모늄 시네신스 연핑크 (Sinensis Light Pink) 500g</t>
  </si>
  <si>
    <t>CAR01-CHI087</t>
  </si>
  <si>
    <t>[MEL] Spray Carnation CHINA / 솔로미오 Solomio Original Inspection (Kai,Red)</t>
  </si>
  <si>
    <t>SIN01-CHI017</t>
  </si>
  <si>
    <t>[MEL] CHINA / 리모늄 시네신스 연핀크 (Sinensis light pink) 500g</t>
  </si>
  <si>
    <t>CAR01-CO0559</t>
  </si>
  <si>
    <t>CARNATION Montoya</t>
  </si>
  <si>
    <t>Gross weight</t>
  </si>
  <si>
    <t>Chargeable weight</t>
  </si>
  <si>
    <t>POL01-NL0002</t>
  </si>
  <si>
    <t>Cordyline Leaf Per Bunch Black Ti</t>
  </si>
  <si>
    <t xml:space="preserve">단당 x10
MoQ x5 단
박스당 35 단</t>
  </si>
  <si>
    <t>ROS01-CHI493</t>
  </si>
  <si>
    <t xml:space="preserve">[MEL] ROSE CHINA / 파이시스,킴벌리 (Pisces) </t>
  </si>
  <si>
    <t>ROS01-CO355</t>
  </si>
  <si>
    <t>ROSE Preserved / Magna (princess white)</t>
  </si>
  <si>
    <t xml:space="preserve">Magna  장미 
얼굴 크기 100mm
박스 사이즈 60x50x26 CMB 13kg (60송의)
박스 무게 7.3kg
1씩 포장 됩니더 
송의당 CBM 0.2167
FOB 4.25$
예상 도착원가: 7950원/송의 부가세 포함 
(참고: 적용 확률 1500, 운인비 2.5,  관세 0%)</t>
  </si>
  <si>
    <t>LIN01-CHI019</t>
  </si>
  <si>
    <t>[MEL]Lisianthus CHINA / Light Pink 800g</t>
  </si>
  <si>
    <t>ROS01-CHI494</t>
  </si>
  <si>
    <t>[MEL] Eucalyptus CHINA / 유칼리튭스-시네리아 (Cinerea)</t>
  </si>
  <si>
    <t>[MEL] Eucalyptus CHINA / 포퓰러스 그레인, 열매 (round with fruit) 600g</t>
  </si>
  <si>
    <t>ROS01-CHI495</t>
  </si>
  <si>
    <t>CLEMATIS CHINA / 클레마티스 연보라 (Rooguchi Sophie Light purple)</t>
  </si>
  <si>
    <t>3-10월</t>
  </si>
  <si>
    <t>CAR01-CHI088</t>
  </si>
  <si>
    <t>[MEL] Carnation CHINA / 핑크 뷰티 (Pink Beauty)</t>
  </si>
  <si>
    <t>CAR01-CHI090</t>
  </si>
  <si>
    <t>[MEL] Spray Carnation CHINA / 연핑크 (Barbra light pink multi)</t>
  </si>
  <si>
    <t>CAR01-CHI089</t>
  </si>
  <si>
    <t>[MEL] Spray Carnation CHINA / 핑크 프린스 (Pink Prince)</t>
  </si>
  <si>
    <t>CAR01-CHI091</t>
  </si>
  <si>
    <t>[MEL] Spray Carnation CHINA / 화이트, 핑크 (Pakchoi)</t>
  </si>
  <si>
    <t>CAR01-CHI092</t>
  </si>
  <si>
    <t>[MEL] Spray Carnation CHINA / 피치 (Barbra peach multi)</t>
  </si>
  <si>
    <t>CAR01-CHI093</t>
  </si>
  <si>
    <t>[MEL] Spray Carnation CHINA / 펄핑크 (Spray Pearl Pink)</t>
  </si>
  <si>
    <t>LIN01-CHI027</t>
  </si>
  <si>
    <t>[MEL]Lisianthus CHINA / Eustoma Champagne 800g</t>
  </si>
  <si>
    <t>TUL01-NL0390</t>
  </si>
  <si>
    <t>Tulip / Double Online</t>
  </si>
  <si>
    <t>ROS01-CHI496</t>
  </si>
  <si>
    <t>[MEL] Rice Flower CHINA  / 라이스 플라워 핑크 (Pink)</t>
  </si>
  <si>
    <t>300g</t>
  </si>
  <si>
    <t>ROS01-CHI497</t>
  </si>
  <si>
    <t>Eucalyptus CHINA / 포퓰러스 폴리 (populus) 500g</t>
  </si>
  <si>
    <t>ROS01-CHI498</t>
  </si>
  <si>
    <t>Greens CHINA / 에리카 골드 (Melaleuca) 400g</t>
  </si>
  <si>
    <t>ASP01-CHI005</t>
  </si>
  <si>
    <t>Greens CHINA / 비짜루 (Asparagus grass) 500g</t>
  </si>
  <si>
    <t xml:space="preserve">30-40 box
600-700g</t>
  </si>
  <si>
    <t>ALL01-CHI001</t>
  </si>
  <si>
    <t>Greens CHINA / 스네이크 알륨 (Allium fistulosum) 200g</t>
  </si>
  <si>
    <t>200-300g</t>
  </si>
  <si>
    <t>ROS01-CHI555</t>
  </si>
  <si>
    <t>GREENS CHINA / 홍철나무 (Loropetalum) 500g</t>
  </si>
  <si>
    <t>TUL01-NL1112</t>
  </si>
  <si>
    <t>Tulip / Double Valdivia</t>
  </si>
  <si>
    <t>HYD01-CO0039</t>
  </si>
  <si>
    <t>Hydrangea Burgundy (버건디)</t>
  </si>
  <si>
    <t>Antioquia</t>
  </si>
  <si>
    <t>ROS01-CHI499</t>
  </si>
  <si>
    <t>[MEL] ROSE CHINA / 아도레 (Adore)</t>
  </si>
  <si>
    <t>ROS01-CHI500</t>
  </si>
  <si>
    <t>[MEL] ROSE CHINA / 로맨틱 비치(Romantic Beach)</t>
  </si>
  <si>
    <t>ROS01-CHI501</t>
  </si>
  <si>
    <t>[MEL] ROSE CHINA / 쉬머 (Glimmer)</t>
  </si>
  <si>
    <t>ROS01-CHI502</t>
  </si>
  <si>
    <t>[MEL] ROSE CHINA / 티나 (Tina)</t>
  </si>
  <si>
    <t>ROS01-CHI503</t>
  </si>
  <si>
    <t>Greens CHINA / 에버그린 (Evergreen) 300g</t>
  </si>
  <si>
    <t>ROS01-CHI505</t>
  </si>
  <si>
    <t>Greens CHINA /미스칸투스 (Miscanthus) 80g</t>
  </si>
  <si>
    <t>ROS01-CHI506</t>
  </si>
  <si>
    <t>Greens CHINA / 제로필룸 (Xerophyllum) 60g</t>
  </si>
  <si>
    <t>ROS01-CHI504</t>
  </si>
  <si>
    <t>Greens CHINA / 석죽 (Dianthus green) 300g</t>
  </si>
  <si>
    <t>ROS01-CHI507</t>
  </si>
  <si>
    <t>[MEL] ROSE CHINA / 루어 샨 (Luo shen) 65-75cm</t>
  </si>
  <si>
    <t>ROS01-CHI508</t>
  </si>
  <si>
    <t>[MEL] ROSE CHINA / 프라우드 (Pride) 65-75cm</t>
  </si>
  <si>
    <t>ROS01-CHI509</t>
  </si>
  <si>
    <t>[MEL] ROSE CHINA / 다이아나 (Diana) 65-75cm</t>
  </si>
  <si>
    <t>ROS01-CHI510</t>
  </si>
  <si>
    <t>[MEL] ROSE CHINA / 만달라(Luoshen) 65-75cm</t>
  </si>
  <si>
    <t>ALL01-CHI002</t>
  </si>
  <si>
    <t>Greens CHINA / 스네이크 알륨 개화 전 (Allium fistulosum Before Blooming) 200g</t>
  </si>
  <si>
    <t>ASP01-CHI007</t>
  </si>
  <si>
    <t>[MEL] Greens CHINA / 비짜루 (Asparagus grass SCHOBERIOIDES KUNTH) 550g</t>
  </si>
  <si>
    <t xml:space="preserve">Melody 비짜루
asparagus grass
연중
10yuan 6,495.74 도착원가/단 부가세x
15bunch/box
550g
1.5m</t>
  </si>
  <si>
    <t>HYA01-NL0120</t>
  </si>
  <si>
    <t>Hyacinthus / Louvre</t>
  </si>
  <si>
    <t>HYD01-CO0040</t>
  </si>
  <si>
    <t>Hydrangea Red (레드)</t>
  </si>
  <si>
    <t>ROS01-CHI511</t>
  </si>
  <si>
    <t>[MEL] ROSE CHINA / 프루테토, 큐피트 (Pink Cupid)</t>
  </si>
  <si>
    <t>ROS01-CHI512</t>
  </si>
  <si>
    <t>[MEL] ROSE CHINA / 크림 컵 (Cream cup) 65-75cm</t>
  </si>
  <si>
    <t>ROS01-CHI513</t>
  </si>
  <si>
    <t>[MEL] ROSE CHINA / 레드니스(Redness)</t>
  </si>
  <si>
    <t>ORC01-VT0006</t>
  </si>
  <si>
    <t xml:space="preserve">ORCHID VIETNAM / 호접란  연블루　( Spray slight soft blue) </t>
  </si>
  <si>
    <t>ORC01-VT0007</t>
  </si>
  <si>
    <t xml:space="preserve">ORCHID VIETNAM / 호접란  보라블루　( Spray slight French blue) </t>
  </si>
  <si>
    <t>ROS01-CHI514</t>
  </si>
  <si>
    <t>[MEL] ROSE CHINA / 만타 (Manta)</t>
  </si>
  <si>
    <t>ROS01-CHI515</t>
  </si>
  <si>
    <t>ROSE CHINA / 만타 (Manta)</t>
  </si>
  <si>
    <t>ROS01-CHI516</t>
  </si>
  <si>
    <t>[MEL] ROSE CHINA / 디아오찬 (Diao chan)</t>
  </si>
  <si>
    <t>ROS01-CHI517</t>
  </si>
  <si>
    <t>ROSE CHINA / 디아오찬 (Diao chan)</t>
  </si>
  <si>
    <t>EUC01-CHI019</t>
  </si>
  <si>
    <t>[MEL] Greens CHINA / 에리카 골드 (Melaleuca) 400g</t>
  </si>
  <si>
    <t>EUC01-CHI020</t>
  </si>
  <si>
    <t>[MEL] Greens CHINA / 석죽 (Dianthus green) 300g</t>
  </si>
  <si>
    <t>ALL01-CHI003</t>
  </si>
  <si>
    <t>[MEL] Greens CHINA / 스네이크 알륨 개화 전 (Allium fistulosum Before Blooming) 200g</t>
  </si>
  <si>
    <t>TUL01-NL0391</t>
  </si>
  <si>
    <t>[EZ] Tulip / Double Price Lavender</t>
  </si>
  <si>
    <t>TUL01-NL0392</t>
  </si>
  <si>
    <t>[EZ] Tulip / Single Orange Juice</t>
  </si>
  <si>
    <t>EUC01-CHI024</t>
  </si>
  <si>
    <t>Greens CHINA / 체팔란투스 파이버옵틱스 (Cephalanthus tetrandrus) 300g</t>
  </si>
  <si>
    <t>EUC01-CHI025</t>
  </si>
  <si>
    <t>Greens CHINA / 안개나무 (Cotinus coggygria) 300g</t>
  </si>
  <si>
    <t>EUC01-CHI026</t>
  </si>
  <si>
    <t>CHINA / 캥거루발톱꽃/잎추출물 (Anigozanthos) 250g</t>
  </si>
  <si>
    <t>SKI01-NL0012</t>
  </si>
  <si>
    <t>[EZ] Skimmia / Conf Kew Ger Green</t>
  </si>
  <si>
    <t>CYM01-NL0010</t>
  </si>
  <si>
    <t>Cymbidium / Alice Anderson - 60cm(8송이)</t>
  </si>
  <si>
    <t>STI01-NL0003</t>
  </si>
  <si>
    <t>[EZ] Stipa / Dyed Light Pink</t>
  </si>
  <si>
    <t>ROS01-CO356</t>
  </si>
  <si>
    <t>ROSE / Blue Bleeze</t>
  </si>
  <si>
    <t>마티나</t>
  </si>
  <si>
    <t>ROS01-CHI518</t>
  </si>
  <si>
    <t>ROSE CHINA / 골렘 (Golestem)</t>
  </si>
  <si>
    <t>ROS01-CHI470</t>
  </si>
  <si>
    <t>[MEL] ROSE CHINA / 프라우드(White proud) [red box]</t>
  </si>
  <si>
    <t>SKI01-NL0013</t>
  </si>
  <si>
    <t>[EZ] Skimmia / Jap Rubella Red</t>
  </si>
  <si>
    <t>TUL01-NL0393</t>
  </si>
  <si>
    <t>[EZ] Tulip / Single Crown Dynasty L/Pink</t>
  </si>
  <si>
    <t>TUL01-NL00100</t>
  </si>
  <si>
    <t>Tulip / Double Iceberg</t>
  </si>
  <si>
    <t>ROS01-CHI519</t>
  </si>
  <si>
    <t>ROSE CHINA / 다이아나(Diana) 65-75cm</t>
  </si>
  <si>
    <t>ROS01-CHI520</t>
  </si>
  <si>
    <t>ROSE CHINA / 프루테토, 큐피드 (Frutteto, Cupid) 65-75cm</t>
  </si>
  <si>
    <t>ROS01-CHI521</t>
  </si>
  <si>
    <t>[MEL] ROSE CHINA / 퀵샌드 (Drift Sand) 65-75cm</t>
  </si>
  <si>
    <t>LON01-NL0009</t>
  </si>
  <si>
    <t>Lily Oriental Double Roselily Aisha 2+</t>
  </si>
  <si>
    <t>ROS01-CHI522</t>
  </si>
  <si>
    <t>ROSE CHINA / 레드니스(Redness) 65-75cm</t>
  </si>
  <si>
    <t>ROS01-CHI523</t>
  </si>
  <si>
    <t>[MEL] ROSE CHINA / 레드니스(Redness) 65-75cm</t>
  </si>
  <si>
    <t>DEN01-TH0305</t>
  </si>
  <si>
    <t>Den. Mix box loose blooms (WB(화) 13 + JS(피) 4)</t>
  </si>
  <si>
    <t>ORC01-VT0008</t>
  </si>
  <si>
    <t>ORCHID VIETNAM / 호접란  연노랑　( Single dyed color YELLOW)</t>
  </si>
  <si>
    <t>ROS01-CHI451</t>
  </si>
  <si>
    <t>CLEMATIS CHINA / 클레마티스 화이트 (Rooguchi Sophie White) 200g</t>
  </si>
  <si>
    <t>ROS01-CO357</t>
  </si>
  <si>
    <t>ROSE / Crystal Fairy 50cm</t>
  </si>
  <si>
    <t>ROS01-CO358</t>
  </si>
  <si>
    <t>ROSE / Mama Mia 50cm</t>
  </si>
  <si>
    <t>ROS01-CHI524</t>
  </si>
  <si>
    <t>ROSE CHINA / 프라우드(White proud) 75-80cm</t>
  </si>
  <si>
    <t>CAR01-CO0600</t>
  </si>
  <si>
    <t>CARNATION Mochi</t>
  </si>
  <si>
    <t>ROS01-CHI525</t>
  </si>
  <si>
    <t>ROSE CHINA / 나이팅게일(Nightingale, Purple Fairy) 65-75cm</t>
  </si>
  <si>
    <t>ROS01-CHI526</t>
  </si>
  <si>
    <t xml:space="preserve">[MEL] ROSE CHINA / 행복 (Happiness) </t>
  </si>
  <si>
    <t>EUC01-CHI027</t>
  </si>
  <si>
    <t>[MEL] CHINA / 백합 시베리아 화이트 (Siberia White) 2 Buds/봉오리</t>
  </si>
  <si>
    <t>ROS01-CHI527</t>
  </si>
  <si>
    <t>ROSE CHINA / 행복 (Happiness)</t>
  </si>
  <si>
    <t>ALL01-NL0023</t>
  </si>
  <si>
    <t>Allium / Rosy Bells</t>
  </si>
  <si>
    <t>ALL01-NL0024</t>
  </si>
  <si>
    <t>Allium / Nigrum</t>
  </si>
  <si>
    <t>ROS01-CHI528</t>
  </si>
  <si>
    <t>[MEL] ROSE CHINA / 프라우드(White pride) 75-80cm</t>
  </si>
  <si>
    <t>ROS01-CO359</t>
  </si>
  <si>
    <t>ROSE / Yellow Summer 50cm</t>
  </si>
  <si>
    <t>ROS01-CO360</t>
  </si>
  <si>
    <t>ROSE / Garden Mayra Bridal Pink 50cm</t>
  </si>
  <si>
    <t>ROS01-CO361</t>
  </si>
  <si>
    <t>ROSE / Sweet Cake 50cm</t>
  </si>
  <si>
    <t>ROS01-CHI529</t>
  </si>
  <si>
    <t>ROSE CHINA / 프라우드(White proud) [red box] 75-80cm</t>
  </si>
  <si>
    <t>ROS01-CHI530</t>
  </si>
  <si>
    <t>ROSE CHINA / 프라우드(White proud) 65-70cm JCF</t>
  </si>
  <si>
    <t>LIL01-CHI003</t>
  </si>
  <si>
    <t>CHINA / 백합 시베리아 화이트 (Siberia White) 2 Buds/봉오리 Double</t>
  </si>
  <si>
    <t>80cm</t>
  </si>
  <si>
    <t>ASP01-CHI008</t>
  </si>
  <si>
    <t>ASPARAGUS CHINA Preserved White / 미디오 (화이트)</t>
  </si>
  <si>
    <t xml:space="preserve">미디오 프리져브드
name: Asparagus
season: 1년 내내
price:20yuan
bunch/box:25bunches/box
Stem/bunch:3stems
size(cm):55cm</t>
  </si>
  <si>
    <t>ALL01-NL0025</t>
  </si>
  <si>
    <t>Allium Globemaster</t>
  </si>
  <si>
    <t>ROS01-CHI531</t>
  </si>
  <si>
    <t>ROSE CHINA / 버터컵(Butter cup) 65-70cm JCF</t>
  </si>
  <si>
    <t>ROS01-CHI532</t>
  </si>
  <si>
    <t>ROSE CHINA / 안슬레이(Annesley/Katherin) 65-70cm JCF</t>
  </si>
  <si>
    <t>NUT01-NL0007</t>
  </si>
  <si>
    <t>Nutan / Tango</t>
  </si>
  <si>
    <t>MIN01-CO0171</t>
  </si>
  <si>
    <t>MiniCarnation Moca Sweet (모카 스위트)</t>
  </si>
  <si>
    <t>CAR01-CO0601</t>
  </si>
  <si>
    <t>CARNATION Pastel Crimea</t>
  </si>
  <si>
    <t>ROS01-CHI533</t>
  </si>
  <si>
    <t>ROSE CHINA / 프라우드(White proud) 75-80cm JCF</t>
  </si>
  <si>
    <t>Amaranthus CHINA DRY WHITE/ 줄맨드라미 프리저브드 화이트</t>
  </si>
  <si>
    <t>ROS01-CO362</t>
  </si>
  <si>
    <t>ROSE / Full Monty 50cm</t>
  </si>
  <si>
    <t>ROS01-CO363</t>
  </si>
  <si>
    <t>ROSE / Sweet Memory 50cm</t>
  </si>
  <si>
    <t>ROS01-CO364</t>
  </si>
  <si>
    <t>ROSE / Jet Set 50cm</t>
  </si>
  <si>
    <t>ROS01-CO365</t>
  </si>
  <si>
    <t>ROSE / Pink Amaretto 50cm</t>
  </si>
  <si>
    <t>CAR01-CO0602</t>
  </si>
  <si>
    <t>CARNATION Jungle (정글)</t>
  </si>
  <si>
    <t>ROS01-CHI534</t>
  </si>
  <si>
    <t>ROSE CHINA / 화이트 아발란체 (White Avalanche) 40cm</t>
  </si>
  <si>
    <t xml:space="preserve">1박스당 / 15단씩
꽃잎용</t>
  </si>
  <si>
    <t>HYD01-CO0041</t>
  </si>
  <si>
    <t>Hydrangea tinted lime green (염색연그린) AT</t>
  </si>
  <si>
    <t>HYD01-CO0042</t>
  </si>
  <si>
    <t>Hydrangea tinted ligth green (염색연그린) GL</t>
  </si>
  <si>
    <t>ASP01-CHI010</t>
  </si>
  <si>
    <t>ASPARAGUS CHINA Preserved Blue / 미디오 (연블루)</t>
  </si>
  <si>
    <t>55CM</t>
  </si>
  <si>
    <t>ASP01-CHI009</t>
  </si>
  <si>
    <t>ASPARAGUS CHINA Preserved Dark red / 미디오 (찐레드)</t>
  </si>
  <si>
    <t>ASP01-CHI011</t>
  </si>
  <si>
    <t>ASPARAGUS CHINA Preserved Pink / 미디오 (연핑크)</t>
  </si>
  <si>
    <t xml:space="preserve">name: Asparagus
season: 1년 내내
price:21yuan 10,269원 부가세X
bunch/box:25bunches/box
Stem/bunch:3stems
size(cm):55cm</t>
  </si>
  <si>
    <t>HYD01-CO0043</t>
  </si>
  <si>
    <t>Hydrangea Ligth Pink Antioquena (피치 핑크) 라움 전용</t>
  </si>
  <si>
    <t>ROS01-CO366</t>
  </si>
  <si>
    <t>ROSE / Tinted Cosmic Green</t>
  </si>
  <si>
    <t>ROS01-CO367</t>
  </si>
  <si>
    <t xml:space="preserve">ROSE / Tinted Gray Ash </t>
  </si>
  <si>
    <t>ROS01-CO368</t>
  </si>
  <si>
    <t>ROSE / High &amp; Sunshine 60cm</t>
  </si>
  <si>
    <t>DEN01-TH0096</t>
  </si>
  <si>
    <t>White Necklace (2m- 130ea)</t>
  </si>
  <si>
    <t>1단 =1 목걸이</t>
  </si>
  <si>
    <t>HYD01-CO0045</t>
  </si>
  <si>
    <t>Hydrangea Natural lila [ANT] (자연 라벤더)</t>
  </si>
  <si>
    <t>HYD01-CO0046</t>
  </si>
  <si>
    <t>Hydrangea Tinted Light lavender (Flor) (염색 연한 라벤더)</t>
  </si>
  <si>
    <t>CAR01-CO0604</t>
  </si>
  <si>
    <t>Spray carnation Caja A (Artic, Chatteau)</t>
  </si>
  <si>
    <t>CAR01-CO0603</t>
  </si>
  <si>
    <t>Spray Carnation Caja B (Caesar, Romany Orange)</t>
  </si>
  <si>
    <t>CAR01-CO0605</t>
  </si>
  <si>
    <t>Spray Carnation Caja C (Hamada, Pink pigeon)</t>
  </si>
  <si>
    <t>CAR01-CO0606</t>
  </si>
  <si>
    <t>Spray Carnation Caja D (Pigeon Hot Pink, Purple)</t>
  </si>
  <si>
    <t>ROS01-CHI535</t>
  </si>
  <si>
    <t>DAHLIA CHINA / 달리아 투톤 연핑크 (Chen Yingjun)</t>
  </si>
  <si>
    <t xml:space="preserve">Cloud 23 yuan
60cm</t>
  </si>
  <si>
    <t>GYP01-EC0001</t>
  </si>
  <si>
    <t>Ecuador/ Gysophila sample box</t>
  </si>
  <si>
    <t>안개</t>
  </si>
  <si>
    <t>ROS01-CHI536</t>
  </si>
  <si>
    <t>SPRAY ROSE CHINA / 레파인젠시 (Refingency)</t>
  </si>
  <si>
    <t>CAR01-CO0607</t>
  </si>
  <si>
    <t>CARNATION Tinted light blue (Don Eusebio) 염색 연블루</t>
  </si>
  <si>
    <t>라움 발주건</t>
  </si>
  <si>
    <t>ROS01-CHI537</t>
  </si>
  <si>
    <t>Spray Carnation CHINA / 인어 공주 (Mermaid Princess)</t>
  </si>
  <si>
    <t>HYD01-CO0047</t>
  </si>
  <si>
    <t>Hydrangea Antique Green Base  Florentina (안티케 그린 베이스)</t>
  </si>
  <si>
    <t>ORC01-VT0009</t>
  </si>
  <si>
    <t>ORCHID VIETNAM / 염색 연핑크 (Slight - Perfect Pink)</t>
  </si>
  <si>
    <t>MOL01-NL0001</t>
  </si>
  <si>
    <t xml:space="preserve"> Molucella (Bells Of Ireland)</t>
  </si>
  <si>
    <t>DEN01-TH0306</t>
  </si>
  <si>
    <t>MOK Dark Orange L</t>
  </si>
  <si>
    <t>PRO01-NL0003</t>
  </si>
  <si>
    <t xml:space="preserve">Protea Cynaroides 60cm </t>
  </si>
  <si>
    <t>ASP01-NL0030</t>
  </si>
  <si>
    <t>Asparagus Umbellatus (60cm)</t>
  </si>
  <si>
    <t xml:space="preserve">길이: 40 / 50 / 60 / 70cm
가격 (스템당 / 웹샵 기준, 가격 변동이 크지 않음)  도착원가 부가세 포함 (단)
40cm €0.32/스템 ₩850
50cm €0.56/스템 ₩1,485
60cm €0.70/스템 ₩1,855
70cm €0.94/스템 ₩2,485</t>
  </si>
  <si>
    <t>DEL01-CHI005</t>
  </si>
  <si>
    <t>Delphinium CHINA / 진블루 Blue</t>
  </si>
  <si>
    <t xml:space="preserve">20단에서 10단 바꿈
300g</t>
  </si>
  <si>
    <t>VAN01-TH0001</t>
  </si>
  <si>
    <t>Vanda Pachara Blue mix size</t>
  </si>
  <si>
    <t>VAN01-TH0002</t>
  </si>
  <si>
    <t>Vanda Red mix size</t>
  </si>
  <si>
    <t>ROS01-EC0232</t>
  </si>
  <si>
    <t>Ecuador /ROSE / Sample</t>
  </si>
  <si>
    <t>DID01-CHI004</t>
  </si>
  <si>
    <t>CHINA / 디디스커스 블루 (Didiscus blue)</t>
  </si>
  <si>
    <t>ROS01-CHI538</t>
  </si>
  <si>
    <t>ROSE CHINA / 스터닝블루(stoning blue) 75-80cm</t>
  </si>
  <si>
    <t>ROS01-CHI539</t>
  </si>
  <si>
    <t xml:space="preserve">ROSE CHINA / 빌라 릴라(Villa Lila) </t>
  </si>
  <si>
    <t>HYD01-CO0048</t>
  </si>
  <si>
    <t>Hydrangea Tinted Light lavender (Antioquia) (염색 연한 라벤더)</t>
  </si>
  <si>
    <t>ROS01-CO369</t>
  </si>
  <si>
    <t>CARNATION MIx Box F (Caroline. Goblin, yukari oscuro)</t>
  </si>
  <si>
    <t>DAHLIA CHINA / 달리아 투톤 연핑크 2 (Chen baby girl)</t>
  </si>
  <si>
    <t>HYD01-CO0049</t>
  </si>
  <si>
    <t>Hydrangea Light pink peach (연핑크피치) (GL)</t>
  </si>
  <si>
    <t>PRO01-NL0004</t>
  </si>
  <si>
    <t xml:space="preserve">Protea Arctic Ice (King) 60cm </t>
  </si>
  <si>
    <t>DEN01-TH0307</t>
  </si>
  <si>
    <t>Mok.Saphire XL</t>
  </si>
  <si>
    <t>Hydrangea White Select (화이트 셀렉트)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</si>
</sst>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_-* #,##0_-;-* #,##0_-;_-* &quot;-&quot;_-;_-@_-"/>
    <numFmt numFmtId="165" formatCode="_-&quot;₩&quot;* #,##0_-;-&quot;₩&quot;* #,##0_-;_-&quot;₩&quot;* &quot;-&quot;_-;_-@_-"/>
    <numFmt numFmtId="166" formatCode="_-[$₩-412]* #,##0_-;-[$₩-412]* #,##0_-;_-[$₩-412]* &quot;-&quot;??_-;_-@_-"/>
    <numFmt numFmtId="167" formatCode="_-[$$-409]* #,##0.00_ ;_-[$$-409]* -#,##0.00 ;_-[$$-409]* &quot;-&quot;??_ ;_-@_ "/>
    <numFmt numFmtId="168" formatCode="_-* #,##0.00_-;-* #,##0.00_-;_-* &quot;-&quot;_-;_-@_-"/>
    <numFmt numFmtId="169" formatCode="_-[$€-2] * #,##0.00_-;-[$€-2] * #,##0.00_-;_-[$€-2] * &quot;-&quot;??_-;_-@_-"/>
    <numFmt numFmtId="170" formatCode="_ [$¥-804]* #,##0.00_ ;_ [$¥-804]* -#,##0.00_ ;_ [$¥-804]* &quot;-&quot;??_ ;_ @_ "/>
    <numFmt numFmtId="171" formatCode="_-[$₩-412]* #,##0.00_-;-[$₩-412]* #,##0.00_-;_-[$₩-412]* &quot;-&quot;??_-;_-@_-"/>
    <numFmt numFmtId="172" formatCode="_-&quot;₩&quot;* #,##0.00_-;-&quot;₩&quot;* #,##0.00_-;_-&quot;₩&quot;* &quot;-&quot;??_-;_-@_-"/>
    <numFmt numFmtId="173" formatCode="_-* #,##0.00_-;-* #,##0.00_-;_-* &quot;-&quot;??_-;_-@_-"/>
    <numFmt numFmtId="174" formatCode="_-* #,##0.0_-;-* #,##0.0_-;_-* &quot;-&quot;?_-;_-@_-"/>
    <numFmt numFmtId="175" formatCode="_-* #,##0_-;-* #,##0_-;_-* &quot;-&quot;?_-;_-@_-"/>
    <numFmt numFmtId="176" formatCode="&quot;$&quot;#,##0.00_);[Red]&quot;($&quot;#,##0.00)"/>
    <numFmt numFmtId="177" formatCode="&quot;$&quot;#,##0_);[Red](&quot;$&quot;#,##0)"/>
    <numFmt numFmtId="178" formatCode="0.0%"/>
    <numFmt numFmtId="179" formatCode="0_);[Red](0)"/>
    <numFmt numFmtId="180" formatCode="_(&quot;$&quot;* #,##0.00_);_(&quot;$&quot;* (#,##0.00);_(&quot;$&quot;* &quot;-&quot;??_);_(@_)"/>
    <numFmt numFmtId="181" formatCode="&quot;₩&quot;#,##0_);[Red](&quot;₩&quot;#,##0)"/>
    <numFmt numFmtId="182" formatCode="&quot;₩&quot;#,##0"/>
  </numFmts>
  <fonts count="44" x14ac:knownFonts="1">
    <font>
      <color theme="1"/>
      <family val="2"/>
      <scheme val="minor"/>
      <sz val="11"/>
      <name val="Calibri"/>
    </font>
    <font>
      <b/>
      <u/>
      <charset val="129"/>
      <color theme="1"/>
      <family val="3"/>
      <scheme val="minor"/>
      <sz val="24"/>
      <name val="맑은 고딕"/>
    </font>
    <font>
      <u/>
      <charset val="129"/>
      <color theme="1"/>
      <family val="3"/>
      <scheme val="minor"/>
      <sz val="20"/>
      <name val="맑은 고딕"/>
    </font>
    <font>
      <b/>
      <charset val="129"/>
      <color theme="1"/>
      <family val="3"/>
      <scheme val="minor"/>
      <sz val="16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cheme val="minor"/>
      <sz val="14"/>
      <name val="맑은 고딕"/>
    </font>
    <font>
      <b/>
      <charset val="129"/>
      <color theme="1"/>
      <family val="3"/>
      <scheme val="minor"/>
      <sz val="14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2"/>
      <scheme val="minor"/>
      <sz val="14"/>
      <name val="맑은 고딕"/>
    </font>
    <font>
      <charset val="129"/>
      <family val="3"/>
      <sz val="12"/>
      <name val="Malgun Gothic"/>
    </font>
    <font>
      <charset val="129"/>
      <color rgb="FF000000"/>
      <family val="3"/>
      <sz val="11"/>
      <name val="맑은 고딕"/>
    </font>
    <font>
      <charset val="129"/>
      <color theme="1"/>
      <family val="3"/>
      <sz val="11"/>
      <name val="굴림체"/>
    </font>
    <font>
      <b/>
      <family val="2"/>
      <sz val="11"/>
      <name val="Arial"/>
    </font>
    <font>
      <b/>
      <charset val="129"/>
      <family val="3"/>
      <sz val="12"/>
      <name val="Malgun Gothic"/>
    </font>
    <font>
      <charset val="129"/>
      <family val="3"/>
      <sz val="11"/>
      <name val="굴림체"/>
    </font>
    <font>
      <b/>
      <charset val="129"/>
      <family val="3"/>
      <sz val="11"/>
      <name val="Arial"/>
    </font>
    <font>
      <family val="2"/>
      <sz val="11"/>
      <name val="Calibri"/>
    </font>
    <font>
      <color theme="1"/>
      <family val="2"/>
      <sz val="11"/>
      <name val="Calibri"/>
    </font>
    <font>
      <charset val="129"/>
      <family val="3"/>
      <sz val="11"/>
      <name val="굴림"/>
    </font>
    <font>
      <charset val="129"/>
      <family val="3"/>
      <sz val="11"/>
      <name val="맑은 고딕"/>
    </font>
    <font>
      <charset val="129"/>
      <family val="3"/>
      <sz val="11"/>
      <name val="돋움"/>
    </font>
    <font>
      <family val="3"/>
      <sz val="11"/>
      <name val="Calibri"/>
    </font>
    <font>
      <charset val="129"/>
      <family val="2"/>
      <sz val="11"/>
      <name val="돋움"/>
    </font>
    <font>
      <charset val="129"/>
      <family val="2"/>
      <sz val="11"/>
      <name val="맑은 고딕"/>
    </font>
    <font>
      <charset val="129"/>
      <color theme="1"/>
      <family val="3"/>
      <sz val="18"/>
      <name val="맑은 고딕"/>
    </font>
    <font>
      <charset val="129"/>
      <color theme="1"/>
      <family val="3"/>
      <sz val="11"/>
      <name val="맑은 고딕 Semilight"/>
    </font>
    <font>
      <b/>
      <charset val="129"/>
      <color theme="1"/>
      <family val="3"/>
      <sz val="18"/>
      <name val="맑은 고딕 Semilight"/>
    </font>
    <font>
      <charset val="129"/>
      <color theme="1"/>
      <family val="3"/>
      <sz val="10"/>
      <name val="맑은 고딕 Semilight"/>
    </font>
    <font>
      <charset val="129"/>
      <color rgb="FF000000"/>
      <family val="3"/>
      <sz val="11"/>
      <name val="맑은 고딕 Semilight"/>
    </font>
    <font>
      <charset val="129"/>
      <color rgb="FF000000"/>
      <family val="3"/>
      <sz val="10"/>
      <name val="맑은 고딕 Semilight"/>
    </font>
    <font>
      <charset val="129"/>
      <color theme="1"/>
      <family val="3"/>
      <sz val="9"/>
      <name val="맑은 고딕 Semilight"/>
    </font>
    <font>
      <b/>
      <charset val="129"/>
      <color theme="1"/>
      <family val="3"/>
      <sz val="11"/>
      <name val="맑은 고딕 Semilight"/>
    </font>
    <font>
      <charset val="129"/>
      <color rgb="FF000000"/>
      <family val="3"/>
      <sz val="9"/>
      <name val="맑은 고딕 Semilight"/>
    </font>
    <font>
      <color theme="1"/>
      <family val="2"/>
      <sz val="10"/>
      <name val="Leelawadee UI Semilight"/>
    </font>
    <font>
      <color theme="1"/>
      <family val="2"/>
      <sz val="11"/>
      <name val="Leelawadee UI Semilight"/>
    </font>
    <font>
      <color theme="1"/>
      <family val="2"/>
      <sz val="9"/>
      <name val="Leelawadee UI Semilight"/>
    </font>
    <font>
      <color rgb="FFFF0000"/>
      <family val="2"/>
      <sz val="9"/>
      <name val="Leelawadee UI Semilight"/>
    </font>
    <font>
      <color theme="1"/>
      <family val="2"/>
      <scheme val="minor"/>
      <sz val="11"/>
      <name val="맑은 고딕"/>
    </font>
    <font>
      <color rgb="FF000000"/>
      <family val="2"/>
      <sz val="8"/>
      <name val="Tahoma"/>
    </font>
    <font>
      <charset val="129"/>
      <color rgb="FF000000"/>
      <family val="3"/>
      <sz val="9"/>
      <name val="굴림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7F7F7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999999"/>
      </left>
      <right style="thin">
        <color rgb="FF999999"/>
      </right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3" fontId="7" fillId="0" borderId="7" xfId="0" applyNumberFormat="1" applyFont="1" applyBorder="1" applyAlignment="1">
      <alignment vertical="center"/>
    </xf>
    <xf numFmtId="10" fontId="7" fillId="0" borderId="7" xfId="0" applyNumberFormat="1" applyFont="1" applyBorder="1" applyAlignment="1">
      <alignment vertical="center"/>
    </xf>
    <xf numFmtId="164" fontId="7" fillId="0" borderId="7" xfId="0" applyNumberFormat="1" applyFont="1" applyBorder="1" applyAlignment="1">
      <alignment vertical="center"/>
    </xf>
    <xf numFmtId="164" fontId="7" fillId="0" borderId="8" xfId="0" applyNumberFormat="1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10" fontId="8" fillId="0" borderId="10" xfId="0" applyNumberFormat="1" applyFont="1" applyBorder="1" applyAlignment="1">
      <alignment vertical="center"/>
    </xf>
    <xf numFmtId="3" fontId="9" fillId="0" borderId="11" xfId="0" applyNumberFormat="1" applyFont="1" applyBorder="1" applyAlignment="1">
      <alignment horizontal="right" vertical="center"/>
    </xf>
    <xf numFmtId="10" fontId="7" fillId="0" borderId="10" xfId="0" applyNumberFormat="1" applyFont="1" applyBorder="1" applyAlignment="1">
      <alignment vertical="center"/>
    </xf>
    <xf numFmtId="165" fontId="7" fillId="0" borderId="11" xfId="0" applyNumberFormat="1" applyFont="1" applyBorder="1" applyAlignment="1">
      <alignment vertical="center"/>
    </xf>
    <xf numFmtId="166" fontId="7" fillId="0" borderId="7" xfId="0" applyNumberFormat="1" applyFont="1" applyBorder="1" applyAlignment="1">
      <alignment vertical="center"/>
    </xf>
    <xf numFmtId="167" fontId="10" fillId="0" borderId="7" xfId="0" applyNumberFormat="1" applyFont="1" applyBorder="1" applyAlignment="1">
      <alignment vertical="center"/>
    </xf>
    <xf numFmtId="168" fontId="7" fillId="0" borderId="7" xfId="0" applyNumberFormat="1" applyFont="1" applyBorder="1" applyAlignment="1">
      <alignment vertical="center"/>
    </xf>
    <xf numFmtId="167" fontId="7" fillId="0" borderId="7" xfId="0" applyNumberFormat="1" applyFont="1" applyBorder="1" applyAlignment="1">
      <alignment vertical="center"/>
    </xf>
    <xf numFmtId="9" fontId="7" fillId="0" borderId="7" xfId="0" applyNumberFormat="1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9" fillId="0" borderId="7" xfId="0" applyNumberFormat="1" applyFont="1" applyBorder="1" applyAlignment="1">
      <alignment vertical="center"/>
    </xf>
    <xf numFmtId="10" fontId="7" fillId="0" borderId="13" xfId="0" applyNumberFormat="1" applyFont="1" applyBorder="1" applyAlignment="1">
      <alignment vertical="center"/>
    </xf>
    <xf numFmtId="166" fontId="7" fillId="0" borderId="8" xfId="0" applyNumberFormat="1" applyFont="1" applyBorder="1" applyAlignment="1">
      <alignment vertical="center"/>
    </xf>
    <xf numFmtId="167" fontId="7" fillId="0" borderId="8" xfId="0" applyNumberFormat="1" applyFont="1" applyBorder="1" applyAlignment="1">
      <alignment vertical="center"/>
    </xf>
    <xf numFmtId="9" fontId="7" fillId="0" borderId="8" xfId="0" applyNumberFormat="1" applyFont="1" applyBorder="1" applyAlignment="1">
      <alignment vertical="center"/>
    </xf>
    <xf numFmtId="164" fontId="9" fillId="0" borderId="11" xfId="0" applyNumberFormat="1" applyFont="1" applyBorder="1" applyAlignment="1">
      <alignment horizontal="right" vertical="center"/>
    </xf>
    <xf numFmtId="168" fontId="7" fillId="0" borderId="8" xfId="0" applyNumberFormat="1" applyFont="1" applyBorder="1" applyAlignment="1">
      <alignment vertical="center"/>
    </xf>
    <xf numFmtId="169" fontId="7" fillId="0" borderId="7" xfId="0" applyNumberFormat="1" applyFont="1" applyBorder="1" applyAlignment="1">
      <alignment vertical="center"/>
    </xf>
    <xf numFmtId="170" fontId="10" fillId="0" borderId="7" xfId="0" applyNumberFormat="1" applyFont="1" applyBorder="1" applyAlignment="1">
      <alignment vertical="center"/>
    </xf>
    <xf numFmtId="170" fontId="7" fillId="0" borderId="7" xfId="0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0" fontId="7" fillId="0" borderId="15" xfId="0" applyNumberFormat="1" applyFont="1" applyBorder="1" applyAlignment="1">
      <alignment vertical="center"/>
    </xf>
    <xf numFmtId="164" fontId="7" fillId="0" borderId="16" xfId="0" applyNumberFormat="1" applyFont="1" applyBorder="1" applyAlignment="1">
      <alignment vertical="center"/>
    </xf>
    <xf numFmtId="10" fontId="7" fillId="0" borderId="17" xfId="0" applyNumberFormat="1" applyFont="1" applyBorder="1" applyAlignment="1">
      <alignment vertical="center"/>
    </xf>
    <xf numFmtId="165" fontId="7" fillId="0" borderId="18" xfId="0" applyNumberFormat="1" applyFont="1" applyBorder="1" applyAlignment="1">
      <alignment vertical="center"/>
    </xf>
    <xf numFmtId="3" fontId="7" fillId="0" borderId="15" xfId="0" applyNumberFormat="1" applyFont="1" applyBorder="1" applyAlignment="1">
      <alignment vertical="center"/>
    </xf>
    <xf numFmtId="166" fontId="7" fillId="0" borderId="16" xfId="0" applyNumberFormat="1" applyFont="1" applyBorder="1" applyAlignment="1">
      <alignment vertical="center"/>
    </xf>
    <xf numFmtId="167" fontId="10" fillId="0" borderId="15" xfId="0" applyNumberFormat="1" applyFont="1" applyBorder="1" applyAlignment="1">
      <alignment vertical="center"/>
    </xf>
    <xf numFmtId="168" fontId="7" fillId="0" borderId="15" xfId="0" applyNumberFormat="1" applyFont="1" applyBorder="1" applyAlignment="1">
      <alignment vertical="center"/>
    </xf>
    <xf numFmtId="167" fontId="7" fillId="0" borderId="15" xfId="0" applyNumberFormat="1" applyFont="1" applyBorder="1" applyAlignment="1">
      <alignment vertical="center"/>
    </xf>
    <xf numFmtId="9" fontId="7" fillId="0" borderId="16" xfId="0" applyNumberFormat="1" applyFont="1" applyBorder="1" applyAlignment="1">
      <alignment vertical="center"/>
    </xf>
    <xf numFmtId="10" fontId="7" fillId="0" borderId="16" xfId="0" applyNumberFormat="1" applyFont="1" applyBorder="1" applyAlignment="1">
      <alignment vertical="center"/>
    </xf>
    <xf numFmtId="10" fontId="8" fillId="0" borderId="19" xfId="0" applyNumberFormat="1" applyFont="1" applyBorder="1" applyAlignment="1">
      <alignment vertical="center"/>
    </xf>
    <xf numFmtId="165" fontId="7" fillId="0" borderId="20" xfId="0" applyNumberFormat="1" applyFont="1" applyBorder="1" applyAlignment="1">
      <alignment vertical="center"/>
    </xf>
    <xf numFmtId="3" fontId="7" fillId="0" borderId="8" xfId="0" applyNumberFormat="1" applyFont="1" applyBorder="1" applyAlignment="1">
      <alignment vertical="center"/>
    </xf>
    <xf numFmtId="171" fontId="10" fillId="0" borderId="8" xfId="0" applyNumberFormat="1" applyFont="1" applyBorder="1" applyAlignment="1">
      <alignment vertical="center"/>
    </xf>
    <xf numFmtId="168" fontId="7" fillId="0" borderId="16" xfId="0" applyNumberFormat="1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2" xfId="0" applyFont="1" applyBorder="1" applyAlignment="1">
      <alignment vertical="center"/>
    </xf>
    <xf numFmtId="165" fontId="8" fillId="0" borderId="23" xfId="0" applyNumberFormat="1" applyFont="1" applyBorder="1" applyAlignment="1">
      <alignment vertical="center"/>
    </xf>
    <xf numFmtId="10" fontId="8" fillId="0" borderId="23" xfId="0" applyNumberFormat="1" applyFont="1" applyBorder="1" applyAlignment="1">
      <alignment vertical="center"/>
    </xf>
    <xf numFmtId="165" fontId="8" fillId="0" borderId="24" xfId="0" applyNumberFormat="1" applyFont="1" applyBorder="1" applyAlignment="1">
      <alignment vertical="center"/>
    </xf>
    <xf numFmtId="165" fontId="8" fillId="0" borderId="22" xfId="0" applyNumberFormat="1" applyFont="1" applyBorder="1" applyAlignment="1">
      <alignment vertical="center"/>
    </xf>
    <xf numFmtId="10" fontId="8" fillId="0" borderId="25" xfId="0" applyNumberFormat="1" applyFont="1" applyBorder="1" applyAlignment="1">
      <alignment vertical="center"/>
    </xf>
    <xf numFmtId="165" fontId="8" fillId="0" borderId="26" xfId="0" applyNumberFormat="1" applyFont="1" applyBorder="1" applyAlignment="1">
      <alignment vertical="center"/>
    </xf>
    <xf numFmtId="165" fontId="8" fillId="0" borderId="27" xfId="0" applyNumberFormat="1" applyFont="1" applyBorder="1" applyAlignment="1">
      <alignment vertical="center"/>
    </xf>
    <xf numFmtId="165" fontId="8" fillId="0" borderId="28" xfId="0" applyNumberFormat="1" applyFont="1" applyBorder="1" applyAlignment="1">
      <alignment vertical="center"/>
    </xf>
    <xf numFmtId="166" fontId="8" fillId="0" borderId="28" xfId="0" applyNumberFormat="1" applyFont="1" applyBorder="1" applyAlignment="1">
      <alignment vertical="center"/>
    </xf>
    <xf numFmtId="168" fontId="8" fillId="0" borderId="28" xfId="0" applyNumberFormat="1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67" fontId="8" fillId="0" borderId="28" xfId="0" applyNumberFormat="1" applyFont="1" applyBorder="1" applyAlignment="1">
      <alignment vertical="center"/>
    </xf>
    <xf numFmtId="9" fontId="8" fillId="0" borderId="2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29" xfId="0" applyFont="1" applyBorder="1" applyAlignment="1">
      <alignment vertical="center"/>
    </xf>
    <xf numFmtId="9" fontId="12" fillId="0" borderId="30" xfId="0" applyNumberFormat="1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10" fontId="4" fillId="0" borderId="0" xfId="0" applyNumberFormat="1" applyFont="1" applyAlignment="1">
      <alignment vertical="center"/>
    </xf>
    <xf numFmtId="0" fontId="5" fillId="0" borderId="3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172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4" fillId="2" borderId="0" xfId="0" applyNumberFormat="1" applyFont="1" applyFill="1" applyAlignment="1">
      <alignment vertical="center"/>
    </xf>
    <xf numFmtId="173" fontId="4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4" fontId="4" fillId="0" borderId="38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164" fontId="4" fillId="2" borderId="8" xfId="0" applyNumberFormat="1" applyFont="1" applyFill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174" fontId="4" fillId="0" borderId="0" xfId="0" applyNumberFormat="1" applyFont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168" fontId="4" fillId="0" borderId="15" xfId="0" applyNumberFormat="1" applyFont="1" applyBorder="1" applyAlignment="1">
      <alignment vertical="center"/>
    </xf>
    <xf numFmtId="164" fontId="4" fillId="0" borderId="18" xfId="0" applyNumberFormat="1" applyFont="1" applyBorder="1" applyAlignment="1">
      <alignment vertical="center"/>
    </xf>
    <xf numFmtId="168" fontId="4" fillId="0" borderId="0" xfId="0" applyNumberFormat="1" applyFont="1" applyAlignment="1">
      <alignment vertical="center"/>
    </xf>
    <xf numFmtId="0" fontId="4" fillId="0" borderId="38" xfId="0" applyFont="1" applyBorder="1" applyAlignment="1">
      <alignment vertical="center"/>
    </xf>
    <xf numFmtId="3" fontId="13" fillId="0" borderId="41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164" fontId="4" fillId="0" borderId="40" xfId="0" applyNumberFormat="1" applyFont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175" fontId="4" fillId="0" borderId="8" xfId="0" applyNumberFormat="1" applyFont="1" applyBorder="1" applyAlignment="1">
      <alignment vertical="center"/>
    </xf>
    <xf numFmtId="164" fontId="4" fillId="0" borderId="42" xfId="0" applyNumberFormat="1" applyFont="1" applyBorder="1" applyAlignment="1">
      <alignment vertical="center"/>
    </xf>
    <xf numFmtId="174" fontId="4" fillId="0" borderId="8" xfId="0" applyNumberFormat="1" applyFont="1" applyBorder="1" applyAlignment="1">
      <alignment vertical="center"/>
    </xf>
    <xf numFmtId="164" fontId="14" fillId="0" borderId="8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41" xfId="0" applyFont="1" applyBorder="1" applyAlignment="1">
      <alignment horizontal="center" vertical="center" wrapText="1"/>
    </xf>
    <xf numFmtId="0" fontId="17" fillId="4" borderId="41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left" vertical="center" wrapText="1"/>
    </xf>
    <xf numFmtId="3" fontId="13" fillId="0" borderId="41" xfId="0" applyNumberFormat="1" applyFont="1" applyBorder="1" applyAlignment="1">
      <alignment horizontal="right" vertical="center"/>
    </xf>
    <xf numFmtId="4" fontId="13" fillId="0" borderId="41" xfId="0" applyNumberFormat="1" applyFont="1" applyBorder="1" applyAlignment="1">
      <alignment horizontal="right" vertical="center"/>
    </xf>
    <xf numFmtId="4" fontId="13" fillId="0" borderId="41" xfId="0" applyNumberFormat="1" applyFont="1" applyBorder="1" applyAlignment="1">
      <alignment horizontal="right" vertical="center" wrapText="1"/>
    </xf>
    <xf numFmtId="0" fontId="18" fillId="0" borderId="43" xfId="0" applyFont="1" applyBorder="1" applyAlignment="1">
      <alignment horizontal="left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4" fontId="20" fillId="0" borderId="0" xfId="0" applyNumberFormat="1" applyFont="1" applyAlignment="1">
      <alignment vertical="center"/>
    </xf>
    <xf numFmtId="164" fontId="21" fillId="0" borderId="0" xfId="0" applyNumberFormat="1" applyFont="1" applyAlignment="1">
      <alignment vertical="center"/>
    </xf>
    <xf numFmtId="0" fontId="22" fillId="0" borderId="0" xfId="0" applyFont="1"/>
    <xf numFmtId="0" fontId="20" fillId="2" borderId="0" xfId="0" applyFont="1" applyFill="1"/>
    <xf numFmtId="0" fontId="23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64" fontId="20" fillId="2" borderId="0" xfId="0" applyNumberFormat="1" applyFont="1" applyFill="1" applyAlignment="1">
      <alignment vertical="center"/>
    </xf>
    <xf numFmtId="164" fontId="4" fillId="0" borderId="0" xfId="0" applyNumberFormat="1" applyFont="1"/>
    <xf numFmtId="0" fontId="24" fillId="0" borderId="0" xfId="0" applyFont="1"/>
    <xf numFmtId="0" fontId="21" fillId="0" borderId="0" xfId="0" applyFont="1"/>
    <xf numFmtId="0" fontId="25" fillId="0" borderId="0" xfId="0" applyFont="1"/>
    <xf numFmtId="0" fontId="26" fillId="0" borderId="0" xfId="0" applyFont="1"/>
    <xf numFmtId="0" fontId="13" fillId="0" borderId="41" xfId="0" applyFont="1" applyBorder="1" applyAlignment="1">
      <alignment horizontal="left" vertical="center"/>
    </xf>
    <xf numFmtId="0" fontId="27" fillId="0" borderId="0" xfId="0" applyFont="1"/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5" borderId="39" xfId="0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171" fontId="31" fillId="0" borderId="8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3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170" fontId="31" fillId="0" borderId="8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4" fontId="32" fillId="5" borderId="8" xfId="0" applyNumberFormat="1" applyFont="1" applyFill="1" applyBorder="1" applyAlignment="1">
      <alignment horizontal="center" vertical="center"/>
    </xf>
    <xf numFmtId="176" fontId="33" fillId="0" borderId="8" xfId="0" applyNumberFormat="1" applyFont="1" applyBorder="1" applyAlignment="1">
      <alignment horizontal="center" vertical="center"/>
    </xf>
    <xf numFmtId="177" fontId="31" fillId="0" borderId="0" xfId="0" applyNumberFormat="1" applyFont="1" applyAlignment="1">
      <alignment horizontal="center" vertical="center"/>
    </xf>
    <xf numFmtId="164" fontId="29" fillId="0" borderId="8" xfId="0" applyNumberFormat="1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178" fontId="34" fillId="0" borderId="8" xfId="0" applyNumberFormat="1" applyFont="1" applyBorder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0" fontId="29" fillId="0" borderId="47" xfId="0" applyFont="1" applyBorder="1" applyAlignment="1">
      <alignment vertical="center"/>
    </xf>
    <xf numFmtId="0" fontId="29" fillId="0" borderId="47" xfId="0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64" fontId="29" fillId="0" borderId="8" xfId="0" applyNumberFormat="1" applyFont="1" applyBorder="1" applyAlignment="1">
      <alignment vertical="center"/>
    </xf>
    <xf numFmtId="0" fontId="32" fillId="5" borderId="20" xfId="0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164" fontId="36" fillId="0" borderId="8" xfId="0" applyNumberFormat="1" applyFont="1" applyBorder="1" applyAlignment="1">
      <alignment horizontal="center" vertical="center"/>
    </xf>
    <xf numFmtId="179" fontId="36" fillId="5" borderId="8" xfId="0" applyNumberFormat="1" applyFont="1" applyFill="1" applyBorder="1" applyAlignment="1">
      <alignment horizontal="center" vertical="center"/>
    </xf>
    <xf numFmtId="165" fontId="36" fillId="0" borderId="8" xfId="0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164" fontId="29" fillId="0" borderId="47" xfId="0" applyNumberFormat="1" applyFont="1" applyBorder="1" applyAlignment="1">
      <alignment vertical="center"/>
    </xf>
    <xf numFmtId="164" fontId="29" fillId="0" borderId="0" xfId="0" applyNumberFormat="1" applyFont="1" applyAlignment="1">
      <alignment vertical="center"/>
    </xf>
    <xf numFmtId="0" fontId="31" fillId="5" borderId="8" xfId="0" applyFont="1" applyFill="1" applyBorder="1" applyAlignment="1">
      <alignment horizontal="center" vertical="center"/>
    </xf>
    <xf numFmtId="0" fontId="37" fillId="5" borderId="8" xfId="0" applyFont="1" applyFill="1" applyBorder="1" applyAlignment="1">
      <alignment horizontal="center" vertical="center"/>
    </xf>
    <xf numFmtId="0" fontId="31" fillId="5" borderId="8" xfId="0" applyFont="1" applyFill="1" applyBorder="1" applyAlignment="1">
      <alignment horizontal="center" vertical="center" wrapText="1"/>
    </xf>
    <xf numFmtId="0" fontId="37" fillId="5" borderId="40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31" fillId="5" borderId="39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4" fillId="0" borderId="8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180" fontId="39" fillId="6" borderId="8" xfId="0" applyNumberFormat="1" applyFont="1" applyFill="1" applyBorder="1" applyAlignment="1">
      <alignment horizontal="center" vertical="center"/>
    </xf>
    <xf numFmtId="181" fontId="39" fillId="6" borderId="8" xfId="0" applyNumberFormat="1" applyFont="1" applyFill="1" applyBorder="1" applyAlignment="1">
      <alignment vertical="center"/>
    </xf>
    <xf numFmtId="181" fontId="39" fillId="6" borderId="39" xfId="0" applyNumberFormat="1" applyFont="1" applyFill="1" applyBorder="1" applyAlignment="1">
      <alignment vertical="center"/>
    </xf>
    <xf numFmtId="181" fontId="39" fillId="6" borderId="40" xfId="0" applyNumberFormat="1" applyFont="1" applyFill="1" applyBorder="1" applyAlignment="1">
      <alignment vertical="center"/>
    </xf>
    <xf numFmtId="181" fontId="39" fillId="6" borderId="20" xfId="0" applyNumberFormat="1" applyFont="1" applyFill="1" applyBorder="1" applyAlignment="1">
      <alignment vertical="center"/>
    </xf>
    <xf numFmtId="181" fontId="39" fillId="6" borderId="39" xfId="0" applyNumberFormat="1" applyFont="1" applyFill="1" applyBorder="1" applyAlignment="1">
      <alignment horizontal="center" vertical="center"/>
    </xf>
    <xf numFmtId="165" fontId="38" fillId="6" borderId="8" xfId="0" applyNumberFormat="1" applyFont="1" applyFill="1" applyBorder="1" applyAlignment="1">
      <alignment horizontal="center" vertical="center"/>
    </xf>
    <xf numFmtId="182" fontId="39" fillId="6" borderId="8" xfId="0" applyNumberFormat="1" applyFont="1" applyFill="1" applyBorder="1" applyAlignment="1">
      <alignment horizontal="center" vertical="center"/>
    </xf>
    <xf numFmtId="10" fontId="40" fillId="6" borderId="8" xfId="0" applyNumberFormat="1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0" fontId="29" fillId="5" borderId="8" xfId="0" applyFont="1" applyFill="1" applyBorder="1" applyAlignment="1">
      <alignment vertical="center"/>
    </xf>
    <xf numFmtId="0" fontId="29" fillId="0" borderId="44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9" fontId="40" fillId="6" borderId="8" xfId="0" applyNumberFormat="1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1" fillId="0" borderId="0" xfId="0" applyFont="1"/>
    <xf numFmtId="49" fontId="42" fillId="7" borderId="48" xfId="0" applyNumberFormat="1" applyFont="1" applyFill="1" applyBorder="1" applyAlignment="1">
      <alignment horizontal="center" vertical="center" readingOrder="1"/>
    </xf>
    <xf numFmtId="0" fontId="43" fillId="8" borderId="48" xfId="0" applyFont="1" applyFill="1" applyBorder="1" applyAlignment="1">
      <alignment horizontal="center" vertical="center" readingOrder="1"/>
    </xf>
    <xf numFmtId="49" fontId="43" fillId="8" borderId="48" xfId="0" applyNumberFormat="1" applyFont="1" applyFill="1" applyBorder="1" applyAlignment="1">
      <alignment horizontal="center" vertical="center" readingOrder="1"/>
    </xf>
    <xf numFmtId="49" fontId="43" fillId="8" borderId="48" xfId="0" applyNumberFormat="1" applyFont="1" applyFill="1" applyBorder="1" applyAlignment="1">
      <alignment horizontal="left" vertical="center" readingOrder="1"/>
    </xf>
    <xf numFmtId="0" fontId="43" fillId="8" borderId="48" xfId="0" applyFont="1" applyFill="1" applyBorder="1" applyAlignment="1">
      <alignment horizontal="right" vertical="center" readingOrder="1"/>
    </xf>
    <xf numFmtId="0" fontId="43" fillId="8" borderId="48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14.xml"/><Relationship Id="rId6" Type="http://schemas.openxmlformats.org/officeDocument/2006/relationships/worksheet" Target="worksheets/sheet21.xml"/><Relationship Id="rId7" Type="http://schemas.openxmlformats.org/officeDocument/2006/relationships/worksheet" Target="worksheets/sheet24.xml"/><Relationship Id="rId8" Type="http://schemas.openxmlformats.org/officeDocument/2006/relationships/worksheet" Target="worksheets/sheet28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27.xml"/><Relationship Id="rId11" Type="http://schemas.openxmlformats.org/officeDocument/2006/relationships/worksheet" Target="worksheets/sheet32.xml"/><Relationship Id="rId12" Type="http://schemas.openxmlformats.org/officeDocument/2006/relationships/worksheet" Target="worksheets/sheet25.xml"/><Relationship Id="rId13" Type="http://schemas.openxmlformats.org/officeDocument/2006/relationships/worksheet" Target="worksheets/sheet26.xml"/><Relationship Id="rId14" Type="http://schemas.openxmlformats.org/officeDocument/2006/relationships/worksheet" Target="worksheets/sheet3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453037</xdr:colOff>
      <xdr:row>0</xdr:row>
      <xdr:rowOff>224118</xdr:rowOff>
    </xdr:from>
    <xdr:to>
      <xdr:col>21</xdr:col>
      <xdr:colOff>49490</xdr:colOff>
      <xdr:row>3</xdr:row>
      <xdr:rowOff>162912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209"/>
  <sheetViews>
    <sheetView workbookViewId="0" zoomScale="100" zoomScaleNormal="100">
      <selection activeCell="I167" sqref="I167"/>
    </sheetView>
  </sheetViews>
  <sheetFormatPr defaultRowHeight="15" outlineLevelRow="0" outlineLevelCol="0" x14ac:dyDescent="0"/>
  <cols>
    <col min="1" max="1" width="31.625" style="135" customWidth="1"/>
    <col min="2" max="2" width="54.5" style="136" customWidth="1"/>
    <col min="3" max="3" width="9" style="137" customWidth="1"/>
    <col min="4" max="4" width="11" style="138" customWidth="1"/>
    <col min="5" max="5" width="13" style="138" customWidth="1"/>
    <col min="6" max="6" width="10.875" style="138" customWidth="1"/>
    <col min="7" max="7" width="11.875" style="139" customWidth="1"/>
    <col min="8" max="8" width="9" style="137" customWidth="1"/>
    <col min="9" max="9" width="18.375" style="140" customWidth="1"/>
    <col min="10" max="10" width="35.75" style="135" customWidth="1"/>
    <col min="11" max="16384" width="9" style="135" customWidth="1"/>
  </cols>
  <sheetData>
    <row r="3" ht="15" customHeight="1" spans="1:9" x14ac:dyDescent="0.25">
      <c r="A3" s="141" t="s">
        <v>180</v>
      </c>
      <c r="B3" s="142" t="s">
        <v>181</v>
      </c>
      <c r="C3" s="143" t="s">
        <v>182</v>
      </c>
      <c r="D3" s="144" t="s">
        <v>183</v>
      </c>
      <c r="E3" s="144" t="s">
        <v>143</v>
      </c>
      <c r="F3" s="144" t="s">
        <v>184</v>
      </c>
      <c r="G3" s="144" t="s">
        <v>185</v>
      </c>
      <c r="I3" s="140" t="s">
        <v>3</v>
      </c>
    </row>
    <row r="4" ht="15" customHeight="1" spans="1:9" x14ac:dyDescent="0.25">
      <c r="A4" s="135"/>
      <c r="B4" s="137"/>
      <c r="C4" s="137"/>
      <c r="D4" s="139"/>
      <c r="E4" s="139"/>
      <c r="F4" s="139"/>
      <c r="G4" s="139"/>
      <c r="I4" s="140">
        <f>IFERROR(IF(INDEX(품목리스트!$E$2:$E$9000,MATCH(TRIM(SUBSTITUTE(SUBSTITUTE(SUBSTITUTE(CLEAN(B4)," 계",""),"계",""),CHAR(160)," "))&amp;"*",TRIM(SUBSTITUTE(SUBSTITUTE(CLEAN(품목리스트!$C$2:$C$9000),CHAR(160)," "),CHAR(9)," ")),0))="콜롬비아",IF(ISNUMBER(SEARCH("Hydrangea",B4)),"콜롬비아 수국",IF(ISNUMBER(SEARCH("carnation",B4)),"콜롬비아 카네이션",IF(ISNUMBER(SEARCH("Rose",B4)),"콜롬비아 장미",IF(ISNUMBER(SEARCH("ruscus",B4)),"콜롬비아 루스커스",IF(ISNUMBER(SEARCH("ALSTROMERIA",B4)),"콜롬비아 알스트로","콜롬비아"))))),INDEX(품목리스트!$E$2:$E$9000,MATCH(TRIM(SUBSTITUTE(SUBSTITUTE(SUBSTITUTE(CLEAN(B4)," 계",""),"계",""),CHAR(160)," "))&amp;"*",TRIM(SUBSTITUTE(SUBSTITUTE(CLEAN(품목리스트!$C$2:$C$9000),CHAR(160)," "),CHAR(9)," ")),0))),IF(ISNUMBER(SEARCH("ALSTROMERIA",B4)),"콜롬비아 알스트로",IF(ISNUMBER(SEARCH("Den.",B4)),"태국",IF(ISNUMBER(SEARCH("CHINA",B4)),"중국",IF(AND(ISNUMBER(SEARCH("rose",B4)),NOT(ISNUMBER(SEARCH("CHINA",B4)))),"콜롬비아 장미",IF(AND(ISNUMBER(SEARCH("carnation",B4)),NOT(ISNUMBER(SEARCH("CHINA",B4)))),"콜롬비아 카네이션",IF(ISNUMBER(SEARCH("Peony",B4)),"뉴질랜드",IF(ISNUMBER(SEARCH("Amaryllis",B4)),"네덜란드",IF(ISNUMBER(SEARCH("Sweet pea",B4)),"일본","")))))))))</f>
      </c>
    </row>
    <row r="5" ht="15" customHeight="1" spans="1:9" x14ac:dyDescent="0.25">
      <c r="A5" s="135"/>
      <c r="B5" s="137"/>
      <c r="C5" s="137"/>
      <c r="D5" s="139"/>
      <c r="E5" s="139"/>
      <c r="F5" s="139"/>
      <c r="G5" s="139"/>
      <c r="I5" s="140"/>
    </row>
    <row r="6" ht="15" customHeight="1" spans="1:9" x14ac:dyDescent="0.25">
      <c r="A6" s="135"/>
      <c r="B6" s="137"/>
      <c r="C6" s="137"/>
      <c r="D6" s="139"/>
      <c r="E6" s="139"/>
      <c r="F6" s="139"/>
      <c r="G6" s="139"/>
      <c r="I6" s="140"/>
    </row>
    <row r="7" ht="15" customHeight="1" spans="1:9" x14ac:dyDescent="0.25">
      <c r="A7" s="135"/>
      <c r="B7" s="137"/>
      <c r="C7" s="137"/>
      <c r="D7" s="139"/>
      <c r="E7" s="139"/>
      <c r="F7" s="139"/>
      <c r="G7" s="139"/>
      <c r="I7" s="140"/>
    </row>
    <row r="8" ht="15" customHeight="1" spans="1:9" x14ac:dyDescent="0.25">
      <c r="A8" s="135"/>
      <c r="B8" s="137"/>
      <c r="C8" s="137"/>
      <c r="D8" s="139"/>
      <c r="E8" s="139"/>
      <c r="F8" s="139"/>
      <c r="G8" s="139"/>
      <c r="I8" s="140"/>
    </row>
    <row r="9" ht="15" customHeight="1" spans="1:9" x14ac:dyDescent="0.25">
      <c r="A9" s="135"/>
      <c r="B9" s="137"/>
      <c r="C9" s="137"/>
      <c r="D9" s="139"/>
      <c r="E9" s="139"/>
      <c r="F9" s="139"/>
      <c r="G9" s="139"/>
      <c r="I9" s="140"/>
    </row>
    <row r="10" ht="15" customHeight="1" spans="1:9" x14ac:dyDescent="0.25">
      <c r="A10" s="135"/>
      <c r="B10" s="137"/>
      <c r="C10" s="137"/>
      <c r="D10" s="139"/>
      <c r="E10" s="139"/>
      <c r="F10" s="139"/>
      <c r="G10" s="139"/>
      <c r="I10" s="140"/>
    </row>
    <row r="11" ht="15" customHeight="1" spans="1:9" x14ac:dyDescent="0.25">
      <c r="A11" s="135"/>
      <c r="B11" s="137"/>
      <c r="C11" s="137"/>
      <c r="D11" s="139"/>
      <c r="E11" s="139"/>
      <c r="F11" s="139"/>
      <c r="G11" s="139"/>
      <c r="I11" s="140"/>
    </row>
    <row r="12" ht="15" customHeight="1" spans="1:9" x14ac:dyDescent="0.25">
      <c r="A12" s="135"/>
      <c r="B12" s="137"/>
      <c r="C12" s="137"/>
      <c r="D12" s="139"/>
      <c r="E12" s="139"/>
      <c r="F12" s="139"/>
      <c r="G12" s="139"/>
      <c r="I12" s="140"/>
    </row>
    <row r="13" ht="15" customHeight="1" spans="1:9" x14ac:dyDescent="0.25">
      <c r="A13" s="135"/>
      <c r="B13" s="137"/>
      <c r="C13" s="137"/>
      <c r="D13" s="139"/>
      <c r="E13" s="139"/>
      <c r="F13" s="139"/>
      <c r="G13" s="139"/>
      <c r="I13" s="140"/>
    </row>
    <row r="14" ht="15" customHeight="1" spans="1:9" x14ac:dyDescent="0.25">
      <c r="A14" s="135"/>
      <c r="B14" s="137"/>
      <c r="C14" s="137"/>
      <c r="D14" s="139"/>
      <c r="E14" s="139"/>
      <c r="F14" s="139"/>
      <c r="G14" s="139"/>
      <c r="I14" s="140"/>
    </row>
    <row r="15" ht="15" customHeight="1" spans="1:9" x14ac:dyDescent="0.25">
      <c r="A15" s="135"/>
      <c r="B15" s="137"/>
      <c r="C15" s="137"/>
      <c r="D15" s="139"/>
      <c r="E15" s="139"/>
      <c r="F15" s="139"/>
      <c r="G15" s="139"/>
      <c r="I15" s="140"/>
    </row>
    <row r="16" ht="15" customHeight="1" spans="1:9" x14ac:dyDescent="0.25">
      <c r="A16" s="135"/>
      <c r="B16" s="137"/>
      <c r="C16" s="137"/>
      <c r="D16" s="139"/>
      <c r="E16" s="139"/>
      <c r="F16" s="139"/>
      <c r="G16" s="139"/>
      <c r="I16" s="140"/>
    </row>
    <row r="17" ht="15" customHeight="1" spans="1:9" x14ac:dyDescent="0.25">
      <c r="A17" s="135"/>
      <c r="B17" s="137"/>
      <c r="C17" s="137"/>
      <c r="D17" s="139"/>
      <c r="E17" s="139"/>
      <c r="F17" s="139"/>
      <c r="G17" s="139"/>
      <c r="I17" s="140"/>
    </row>
    <row r="18" ht="15" customHeight="1" spans="1:9" x14ac:dyDescent="0.25">
      <c r="A18" s="135"/>
      <c r="B18" s="137"/>
      <c r="C18" s="137"/>
      <c r="D18" s="139"/>
      <c r="E18" s="139"/>
      <c r="F18" s="139"/>
      <c r="G18" s="139"/>
      <c r="I18" s="140"/>
    </row>
    <row r="19" ht="15" customHeight="1" spans="1:9" x14ac:dyDescent="0.25">
      <c r="A19" s="135"/>
      <c r="B19" s="137"/>
      <c r="C19" s="137"/>
      <c r="D19" s="139"/>
      <c r="E19" s="139"/>
      <c r="F19" s="139"/>
      <c r="G19" s="139"/>
      <c r="I19" s="140"/>
    </row>
    <row r="20" ht="15" customHeight="1" spans="1:9" x14ac:dyDescent="0.25">
      <c r="A20" s="135"/>
      <c r="B20" s="137"/>
      <c r="C20" s="137"/>
      <c r="D20" s="139"/>
      <c r="E20" s="139"/>
      <c r="F20" s="139"/>
      <c r="G20" s="139"/>
      <c r="I20" s="140"/>
    </row>
    <row r="21" ht="15" customHeight="1" spans="1:9" x14ac:dyDescent="0.25">
      <c r="A21" s="135"/>
      <c r="B21" s="137"/>
      <c r="C21" s="137"/>
      <c r="D21" s="139"/>
      <c r="E21" s="139"/>
      <c r="F21" s="139"/>
      <c r="G21" s="139"/>
      <c r="I21" s="140"/>
    </row>
    <row r="22" ht="15" customHeight="1" spans="1:9" x14ac:dyDescent="0.25">
      <c r="A22" s="135"/>
      <c r="B22" s="137"/>
      <c r="C22" s="137"/>
      <c r="D22" s="139"/>
      <c r="E22" s="139"/>
      <c r="F22" s="139"/>
      <c r="G22" s="139"/>
      <c r="I22" s="140"/>
    </row>
    <row r="23" ht="15" customHeight="1" spans="1:9" x14ac:dyDescent="0.25">
      <c r="A23" s="135"/>
      <c r="B23" s="137"/>
      <c r="C23" s="137"/>
      <c r="D23" s="139"/>
      <c r="E23" s="139"/>
      <c r="F23" s="139"/>
      <c r="G23" s="139"/>
      <c r="I23" s="140"/>
    </row>
    <row r="24" ht="15" customHeight="1" spans="1:9" x14ac:dyDescent="0.25">
      <c r="A24" s="135"/>
      <c r="B24" s="137"/>
      <c r="C24" s="137"/>
      <c r="D24" s="139"/>
      <c r="E24" s="139"/>
      <c r="F24" s="139"/>
      <c r="G24" s="139"/>
      <c r="I24" s="140"/>
    </row>
    <row r="25" ht="15" customHeight="1" spans="1:9" x14ac:dyDescent="0.25">
      <c r="A25" s="135"/>
      <c r="B25" s="137"/>
      <c r="C25" s="137"/>
      <c r="D25" s="139"/>
      <c r="E25" s="139"/>
      <c r="F25" s="139"/>
      <c r="G25" s="139"/>
      <c r="I25" s="140"/>
    </row>
    <row r="26" ht="15" customHeight="1" spans="1:9" x14ac:dyDescent="0.25">
      <c r="A26" s="135"/>
      <c r="B26" s="137"/>
      <c r="C26" s="137"/>
      <c r="D26" s="139"/>
      <c r="E26" s="139"/>
      <c r="F26" s="139"/>
      <c r="G26" s="139"/>
      <c r="I26" s="140"/>
    </row>
    <row r="27" ht="15" customHeight="1" spans="1:9" x14ac:dyDescent="0.25">
      <c r="A27" s="135"/>
      <c r="B27" s="137"/>
      <c r="C27" s="137"/>
      <c r="D27" s="139"/>
      <c r="E27" s="139"/>
      <c r="F27" s="139"/>
      <c r="G27" s="139"/>
      <c r="I27" s="140"/>
    </row>
    <row r="28" ht="15" customHeight="1" spans="1:9" x14ac:dyDescent="0.25">
      <c r="A28" s="135"/>
      <c r="B28" s="137"/>
      <c r="C28" s="137"/>
      <c r="D28" s="139"/>
      <c r="E28" s="139"/>
      <c r="F28" s="139"/>
      <c r="G28" s="139"/>
      <c r="I28" s="140"/>
    </row>
    <row r="29" ht="15" customHeight="1" spans="1:9" x14ac:dyDescent="0.25">
      <c r="A29" s="135"/>
      <c r="B29" s="137"/>
      <c r="C29" s="137"/>
      <c r="D29" s="139"/>
      <c r="E29" s="139"/>
      <c r="F29" s="139"/>
      <c r="G29" s="139"/>
      <c r="I29" s="140"/>
    </row>
    <row r="30" ht="15" customHeight="1" spans="1:9" x14ac:dyDescent="0.25">
      <c r="A30" s="135"/>
      <c r="B30" s="137"/>
      <c r="C30" s="137"/>
      <c r="D30" s="139"/>
      <c r="E30" s="139"/>
      <c r="F30" s="139"/>
      <c r="G30" s="139"/>
      <c r="I30" s="140"/>
    </row>
    <row r="31" ht="15" customHeight="1" spans="1:9" x14ac:dyDescent="0.25">
      <c r="A31" s="135"/>
      <c r="B31" s="137"/>
      <c r="C31" s="137"/>
      <c r="D31" s="139"/>
      <c r="E31" s="139"/>
      <c r="F31" s="139"/>
      <c r="G31" s="139"/>
      <c r="I31" s="140"/>
    </row>
    <row r="32" ht="15" customHeight="1" spans="1:9" x14ac:dyDescent="0.25">
      <c r="A32" s="135"/>
      <c r="B32" s="137"/>
      <c r="C32" s="137"/>
      <c r="D32" s="139"/>
      <c r="E32" s="139"/>
      <c r="F32" s="139"/>
      <c r="G32" s="139"/>
      <c r="H32" s="137" t="s">
        <v>186</v>
      </c>
      <c r="I32" s="140"/>
    </row>
    <row r="33" ht="15" customHeight="1" spans="1:9" x14ac:dyDescent="0.25">
      <c r="A33" s="135"/>
      <c r="B33" s="137"/>
      <c r="C33" s="137"/>
      <c r="D33" s="139"/>
      <c r="E33" s="139"/>
      <c r="F33" s="139"/>
      <c r="G33" s="139"/>
      <c r="H33" s="137" t="s">
        <v>186</v>
      </c>
      <c r="I33" s="140"/>
    </row>
    <row r="34" ht="15" customHeight="1" spans="1:9" x14ac:dyDescent="0.25">
      <c r="A34" s="135"/>
      <c r="B34" s="137"/>
      <c r="C34" s="137"/>
      <c r="D34" s="139"/>
      <c r="E34" s="139"/>
      <c r="F34" s="139"/>
      <c r="G34" s="139"/>
      <c r="H34" s="137" t="s">
        <v>186</v>
      </c>
      <c r="I34" s="140"/>
    </row>
    <row r="35" ht="15" customHeight="1" spans="1:9" x14ac:dyDescent="0.25">
      <c r="A35" s="135"/>
      <c r="B35" s="137"/>
      <c r="C35" s="137"/>
      <c r="D35" s="139"/>
      <c r="E35" s="139"/>
      <c r="F35" s="139"/>
      <c r="G35" s="139"/>
      <c r="H35" s="137" t="s">
        <v>186</v>
      </c>
      <c r="I35" s="140"/>
    </row>
    <row r="36" ht="15" customHeight="1" spans="1:9" x14ac:dyDescent="0.25">
      <c r="A36" s="135"/>
      <c r="B36" s="137"/>
      <c r="C36" s="137"/>
      <c r="D36" s="139"/>
      <c r="E36" s="139"/>
      <c r="F36" s="139"/>
      <c r="G36" s="139"/>
      <c r="I36" s="140"/>
    </row>
    <row r="37" ht="15" customHeight="1" spans="1:9" x14ac:dyDescent="0.25">
      <c r="A37" s="135"/>
      <c r="B37" s="137"/>
      <c r="C37" s="137"/>
      <c r="D37" s="139"/>
      <c r="E37" s="139"/>
      <c r="F37" s="139"/>
      <c r="G37" s="139"/>
      <c r="I37" s="140"/>
    </row>
    <row r="38" ht="15" customHeight="1" spans="1:9" x14ac:dyDescent="0.25">
      <c r="A38" s="135"/>
      <c r="B38" s="137"/>
      <c r="C38" s="137"/>
      <c r="D38" s="139"/>
      <c r="E38" s="139"/>
      <c r="F38" s="139"/>
      <c r="G38" s="139"/>
      <c r="I38" s="140"/>
    </row>
    <row r="39" ht="15" customHeight="1" spans="1:9" x14ac:dyDescent="0.25">
      <c r="A39" s="135"/>
      <c r="B39" s="137"/>
      <c r="C39" s="137"/>
      <c r="D39" s="139"/>
      <c r="E39" s="139"/>
      <c r="F39" s="139"/>
      <c r="G39" s="139"/>
      <c r="I39" s="140"/>
    </row>
    <row r="40" ht="15" customHeight="1" spans="1:9" x14ac:dyDescent="0.25">
      <c r="A40" s="135"/>
      <c r="B40" s="137"/>
      <c r="C40" s="137"/>
      <c r="D40" s="139"/>
      <c r="E40" s="139"/>
      <c r="F40" s="139"/>
      <c r="G40" s="139"/>
      <c r="I40" s="140"/>
    </row>
    <row r="41" ht="15" customHeight="1" spans="1:9" x14ac:dyDescent="0.25">
      <c r="A41" s="135"/>
      <c r="B41" s="137"/>
      <c r="C41" s="137"/>
      <c r="D41" s="139"/>
      <c r="E41" s="139"/>
      <c r="F41" s="139"/>
      <c r="G41" s="139"/>
      <c r="I41" s="140"/>
    </row>
    <row r="42" ht="15" customHeight="1" spans="1:9" x14ac:dyDescent="0.25">
      <c r="A42" s="135"/>
      <c r="B42" s="137"/>
      <c r="C42" s="137"/>
      <c r="D42" s="139"/>
      <c r="E42" s="139"/>
      <c r="F42" s="139"/>
      <c r="G42" s="139"/>
      <c r="I42" s="140"/>
    </row>
    <row r="43" ht="15" customHeight="1" spans="1:14" x14ac:dyDescent="0.25">
      <c r="A43" s="135"/>
      <c r="B43" s="137"/>
      <c r="C43" s="137"/>
      <c r="D43" s="139"/>
      <c r="E43" s="139"/>
      <c r="F43" s="139"/>
      <c r="G43" s="139"/>
      <c r="I43" s="140"/>
      <c r="J43" s="123"/>
      <c r="K43" s="145"/>
      <c r="L43" s="145"/>
      <c r="M43" s="145"/>
      <c r="N43" s="146"/>
    </row>
    <row r="44" ht="15" customHeight="1" spans="1:14" x14ac:dyDescent="0.25">
      <c r="A44" s="135"/>
      <c r="B44" s="137"/>
      <c r="C44" s="137"/>
      <c r="D44" s="139"/>
      <c r="E44" s="139"/>
      <c r="F44" s="139"/>
      <c r="G44" s="139"/>
      <c r="I44" s="140"/>
      <c r="J44" s="123"/>
      <c r="K44" s="145"/>
      <c r="L44" s="145"/>
      <c r="M44" s="145"/>
      <c r="N44" s="146"/>
    </row>
    <row r="45" ht="15" customHeight="1" spans="1:14" x14ac:dyDescent="0.25">
      <c r="A45" s="135"/>
      <c r="B45" s="137"/>
      <c r="C45" s="137"/>
      <c r="D45" s="139"/>
      <c r="E45" s="139"/>
      <c r="F45" s="139"/>
      <c r="G45" s="139"/>
      <c r="H45" s="137" t="s">
        <v>186</v>
      </c>
      <c r="I45" s="140"/>
      <c r="J45" s="123"/>
      <c r="K45" s="145"/>
      <c r="L45" s="145"/>
      <c r="M45" s="145"/>
      <c r="N45" s="146"/>
    </row>
    <row r="46" ht="15" customHeight="1" spans="1:14" x14ac:dyDescent="0.25">
      <c r="A46" s="135"/>
      <c r="B46" s="137"/>
      <c r="C46" s="137"/>
      <c r="D46" s="139"/>
      <c r="E46" s="139"/>
      <c r="F46" s="139"/>
      <c r="G46" s="139"/>
      <c r="I46" s="140"/>
      <c r="J46" s="123"/>
      <c r="K46" s="145"/>
      <c r="L46" s="145"/>
      <c r="M46" s="145"/>
      <c r="N46" s="146"/>
    </row>
    <row r="47" ht="15" customHeight="1" spans="1:14" x14ac:dyDescent="0.25">
      <c r="A47" s="135"/>
      <c r="B47" s="137"/>
      <c r="C47" s="137"/>
      <c r="D47" s="139"/>
      <c r="E47" s="139"/>
      <c r="F47" s="139"/>
      <c r="G47" s="139"/>
      <c r="I47" s="140"/>
      <c r="J47" s="123"/>
      <c r="K47" s="145"/>
      <c r="L47" s="145"/>
      <c r="M47" s="145"/>
      <c r="N47" s="146"/>
    </row>
    <row r="48" ht="15" customHeight="1" spans="1:14" x14ac:dyDescent="0.25">
      <c r="A48" s="135"/>
      <c r="B48" s="137"/>
      <c r="C48" s="137"/>
      <c r="D48" s="139"/>
      <c r="E48" s="139"/>
      <c r="F48" s="139"/>
      <c r="G48" s="139"/>
      <c r="I48" s="140"/>
      <c r="J48" s="123"/>
      <c r="K48" s="145"/>
      <c r="L48" s="145"/>
      <c r="M48" s="145"/>
      <c r="N48" s="146"/>
    </row>
    <row r="49" ht="15" customHeight="1" spans="1:14" x14ac:dyDescent="0.25">
      <c r="A49" s="135"/>
      <c r="B49" s="137"/>
      <c r="C49" s="137"/>
      <c r="D49" s="139"/>
      <c r="E49" s="139"/>
      <c r="F49" s="139"/>
      <c r="G49" s="139"/>
      <c r="I49" s="140"/>
      <c r="J49" s="123"/>
      <c r="K49" s="145"/>
      <c r="L49" s="145"/>
      <c r="M49" s="145"/>
      <c r="N49" s="146"/>
    </row>
    <row r="50" ht="15" customHeight="1" spans="1:14" x14ac:dyDescent="0.25">
      <c r="A50" s="135"/>
      <c r="B50" s="137"/>
      <c r="C50" s="137"/>
      <c r="D50" s="139"/>
      <c r="E50" s="139"/>
      <c r="F50" s="139"/>
      <c r="G50" s="139"/>
      <c r="I50" s="140"/>
      <c r="J50" s="123"/>
      <c r="K50" s="145"/>
      <c r="L50" s="145"/>
      <c r="M50" s="145"/>
      <c r="N50" s="146"/>
    </row>
    <row r="51" ht="15" customHeight="1" spans="1:14" x14ac:dyDescent="0.25">
      <c r="A51" s="135"/>
      <c r="B51" s="137"/>
      <c r="C51" s="137"/>
      <c r="D51" s="139"/>
      <c r="E51" s="139"/>
      <c r="F51" s="139"/>
      <c r="G51" s="139"/>
      <c r="I51" s="140"/>
      <c r="J51" s="123"/>
      <c r="K51" s="145"/>
      <c r="L51" s="145"/>
      <c r="M51" s="145"/>
      <c r="N51" s="146"/>
    </row>
    <row r="52" ht="15" customHeight="1" spans="1:14" x14ac:dyDescent="0.25">
      <c r="A52" s="135"/>
      <c r="B52" s="137"/>
      <c r="C52" s="137"/>
      <c r="D52" s="139"/>
      <c r="E52" s="139"/>
      <c r="F52" s="139"/>
      <c r="G52" s="139"/>
      <c r="I52" s="140"/>
      <c r="J52" s="123"/>
      <c r="K52" s="145"/>
      <c r="L52" s="145"/>
      <c r="M52" s="145"/>
      <c r="N52" s="146"/>
    </row>
    <row r="53" ht="15" customHeight="1" spans="1:14" x14ac:dyDescent="0.25">
      <c r="A53" s="135"/>
      <c r="B53" s="137"/>
      <c r="C53" s="137"/>
      <c r="D53" s="139"/>
      <c r="E53" s="139"/>
      <c r="F53" s="139"/>
      <c r="G53" s="139"/>
      <c r="I53" s="140"/>
      <c r="J53" s="123"/>
      <c r="K53" s="145"/>
      <c r="L53" s="145"/>
      <c r="M53" s="145"/>
      <c r="N53" s="146"/>
    </row>
    <row r="54" ht="15" customHeight="1" spans="1:14" x14ac:dyDescent="0.25">
      <c r="A54" s="135"/>
      <c r="B54" s="137"/>
      <c r="C54" s="137"/>
      <c r="D54" s="139"/>
      <c r="E54" s="139"/>
      <c r="F54" s="139"/>
      <c r="G54" s="139"/>
      <c r="I54" s="140"/>
      <c r="J54" s="123"/>
      <c r="K54" s="145"/>
      <c r="L54" s="145"/>
      <c r="M54" s="145"/>
      <c r="N54" s="146"/>
    </row>
    <row r="55" ht="15" customHeight="1" spans="1:14" x14ac:dyDescent="0.25">
      <c r="A55" s="135"/>
      <c r="B55" s="137"/>
      <c r="C55" s="137"/>
      <c r="D55" s="139"/>
      <c r="E55" s="139"/>
      <c r="F55" s="139"/>
      <c r="G55" s="139"/>
      <c r="I55" s="140"/>
      <c r="J55" s="123"/>
      <c r="K55" s="145"/>
      <c r="L55" s="145"/>
      <c r="M55" s="145"/>
      <c r="N55" s="146"/>
    </row>
    <row r="56" ht="15" customHeight="1" spans="1:14" x14ac:dyDescent="0.25">
      <c r="A56" s="135"/>
      <c r="B56" s="137"/>
      <c r="C56" s="137"/>
      <c r="D56" s="139"/>
      <c r="E56" s="139"/>
      <c r="F56" s="139"/>
      <c r="G56" s="139"/>
      <c r="I56" s="140"/>
      <c r="J56" s="123"/>
      <c r="K56" s="145"/>
      <c r="L56" s="145"/>
      <c r="M56" s="145"/>
      <c r="N56" s="146"/>
    </row>
    <row r="57" ht="15" customHeight="1" spans="1:14" x14ac:dyDescent="0.25">
      <c r="A57" s="135"/>
      <c r="B57" s="137"/>
      <c r="C57" s="137"/>
      <c r="D57" s="139"/>
      <c r="E57" s="139"/>
      <c r="F57" s="139"/>
      <c r="G57" s="139"/>
      <c r="I57" s="140"/>
      <c r="J57" s="123"/>
      <c r="K57" s="145"/>
      <c r="L57" s="145"/>
      <c r="M57" s="145"/>
      <c r="N57" s="146"/>
    </row>
    <row r="58" ht="15" customHeight="1" spans="1:14" x14ac:dyDescent="0.25">
      <c r="A58" s="135"/>
      <c r="B58" s="137"/>
      <c r="C58" s="137"/>
      <c r="D58" s="139"/>
      <c r="E58" s="139"/>
      <c r="F58" s="139"/>
      <c r="G58" s="139"/>
      <c r="I58" s="140"/>
      <c r="J58" s="123"/>
      <c r="K58" s="145"/>
      <c r="L58" s="145"/>
      <c r="M58" s="145"/>
      <c r="N58" s="146"/>
    </row>
    <row r="59" ht="15" customHeight="1" spans="1:14" x14ac:dyDescent="0.25">
      <c r="A59" s="135"/>
      <c r="B59" s="137"/>
      <c r="C59" s="137"/>
      <c r="D59" s="139"/>
      <c r="E59" s="139"/>
      <c r="F59" s="139"/>
      <c r="G59" s="139"/>
      <c r="I59" s="140"/>
      <c r="J59" s="123"/>
      <c r="K59" s="145"/>
      <c r="L59" s="145"/>
      <c r="M59" s="145"/>
      <c r="N59" s="146"/>
    </row>
    <row r="60" ht="15" customHeight="1" spans="1:14" x14ac:dyDescent="0.25">
      <c r="A60" s="135"/>
      <c r="B60" s="137"/>
      <c r="C60" s="137"/>
      <c r="D60" s="139"/>
      <c r="E60" s="139"/>
      <c r="F60" s="139"/>
      <c r="G60" s="139"/>
      <c r="I60" s="140"/>
      <c r="J60" s="123"/>
      <c r="K60" s="145"/>
      <c r="L60" s="145"/>
      <c r="M60" s="145"/>
      <c r="N60" s="146"/>
    </row>
    <row r="61" ht="15" customHeight="1" spans="1:14" x14ac:dyDescent="0.25">
      <c r="A61" s="135"/>
      <c r="B61" s="137"/>
      <c r="C61" s="137"/>
      <c r="D61" s="139"/>
      <c r="E61" s="139"/>
      <c r="F61" s="139"/>
      <c r="G61" s="139"/>
      <c r="I61" s="140"/>
      <c r="J61" s="123"/>
      <c r="K61" s="145"/>
      <c r="L61" s="145"/>
      <c r="M61" s="145"/>
      <c r="N61" s="146"/>
    </row>
    <row r="62" ht="15" customHeight="1" spans="1:14" x14ac:dyDescent="0.25">
      <c r="A62" s="135"/>
      <c r="B62" s="137"/>
      <c r="C62" s="137"/>
      <c r="D62" s="139"/>
      <c r="E62" s="139"/>
      <c r="F62" s="139"/>
      <c r="G62" s="139"/>
      <c r="I62" s="140"/>
      <c r="J62" s="123"/>
      <c r="K62" s="145"/>
      <c r="L62" s="145"/>
      <c r="M62" s="145"/>
      <c r="N62" s="146"/>
    </row>
    <row r="63" ht="15" customHeight="1" spans="1:14" x14ac:dyDescent="0.25">
      <c r="A63" s="135"/>
      <c r="B63" s="137"/>
      <c r="C63" s="137"/>
      <c r="D63" s="139"/>
      <c r="E63" s="139"/>
      <c r="F63" s="139"/>
      <c r="G63" s="139"/>
      <c r="I63" s="140"/>
      <c r="J63" s="123"/>
      <c r="K63" s="145"/>
      <c r="L63" s="145"/>
      <c r="M63" s="145"/>
      <c r="N63" s="146"/>
    </row>
    <row r="64" ht="15" customHeight="1" spans="1:14" x14ac:dyDescent="0.25">
      <c r="A64" s="135"/>
      <c r="B64" s="137"/>
      <c r="C64" s="137"/>
      <c r="D64" s="139"/>
      <c r="E64" s="139"/>
      <c r="F64" s="139"/>
      <c r="G64" s="139"/>
      <c r="I64" s="140"/>
      <c r="J64" s="123"/>
      <c r="K64" s="145"/>
      <c r="L64" s="145"/>
      <c r="M64" s="145"/>
      <c r="N64" s="146"/>
    </row>
    <row r="65" ht="15" customHeight="1" spans="1:14" x14ac:dyDescent="0.25">
      <c r="A65" s="135"/>
      <c r="B65" s="137"/>
      <c r="C65" s="137"/>
      <c r="D65" s="139"/>
      <c r="E65" s="139"/>
      <c r="F65" s="139"/>
      <c r="G65" s="139"/>
      <c r="I65" s="140"/>
      <c r="J65" s="123"/>
      <c r="K65" s="145"/>
      <c r="L65" s="145"/>
      <c r="M65" s="145"/>
      <c r="N65" s="146"/>
    </row>
    <row r="66" ht="15" customHeight="1" spans="1:14" x14ac:dyDescent="0.25">
      <c r="A66" s="135"/>
      <c r="B66" s="137"/>
      <c r="C66" s="137"/>
      <c r="D66" s="139"/>
      <c r="E66" s="139"/>
      <c r="F66" s="139"/>
      <c r="G66" s="139"/>
      <c r="I66" s="140"/>
      <c r="J66" s="123"/>
      <c r="K66" s="145"/>
      <c r="L66" s="145"/>
      <c r="M66" s="145"/>
      <c r="N66" s="146"/>
    </row>
    <row r="67" ht="15" customHeight="1" spans="1:14" x14ac:dyDescent="0.25">
      <c r="A67" s="135"/>
      <c r="B67" s="137"/>
      <c r="C67" s="137"/>
      <c r="D67" s="139"/>
      <c r="E67" s="139"/>
      <c r="F67" s="139"/>
      <c r="G67" s="139"/>
      <c r="I67" s="140"/>
      <c r="J67" s="123"/>
      <c r="K67" s="145"/>
      <c r="L67" s="145"/>
      <c r="M67" s="145"/>
      <c r="N67" s="146"/>
    </row>
    <row r="68" ht="15" customHeight="1" spans="1:14" x14ac:dyDescent="0.25">
      <c r="A68" s="135"/>
      <c r="B68" s="137"/>
      <c r="C68" s="137"/>
      <c r="D68" s="139"/>
      <c r="E68" s="139"/>
      <c r="F68" s="139"/>
      <c r="G68" s="139"/>
      <c r="I68" s="140"/>
      <c r="J68" s="123"/>
      <c r="K68" s="145"/>
      <c r="L68" s="145"/>
      <c r="M68" s="145"/>
      <c r="N68" s="146"/>
    </row>
    <row r="69" ht="15" customHeight="1" spans="1:14" x14ac:dyDescent="0.25">
      <c r="A69" s="135"/>
      <c r="B69" s="137"/>
      <c r="C69" s="137"/>
      <c r="D69" s="139"/>
      <c r="E69" s="139"/>
      <c r="F69" s="139"/>
      <c r="G69" s="139"/>
      <c r="I69" s="140"/>
      <c r="J69" s="123"/>
      <c r="K69" s="145"/>
      <c r="L69" s="145"/>
      <c r="M69" s="145"/>
      <c r="N69" s="146"/>
    </row>
    <row r="70" ht="15" customHeight="1" spans="1:14" x14ac:dyDescent="0.25">
      <c r="A70" s="135"/>
      <c r="B70" s="137"/>
      <c r="C70" s="137"/>
      <c r="D70" s="139"/>
      <c r="E70" s="139"/>
      <c r="F70" s="139"/>
      <c r="G70" s="139"/>
      <c r="I70" s="140"/>
      <c r="J70" s="123"/>
      <c r="K70" s="145"/>
      <c r="L70" s="145"/>
      <c r="M70" s="145"/>
      <c r="N70" s="146"/>
    </row>
    <row r="71" ht="15" customHeight="1" spans="1:14" x14ac:dyDescent="0.25">
      <c r="A71" s="135"/>
      <c r="B71" s="137"/>
      <c r="C71" s="137"/>
      <c r="D71" s="139"/>
      <c r="E71" s="139"/>
      <c r="F71" s="139"/>
      <c r="G71" s="139"/>
      <c r="I71" s="140"/>
      <c r="J71" s="123"/>
      <c r="K71" s="145"/>
      <c r="L71" s="145"/>
      <c r="M71" s="145"/>
      <c r="N71" s="146"/>
    </row>
    <row r="72" ht="15" customHeight="1" spans="1:14" x14ac:dyDescent="0.25">
      <c r="A72" s="135"/>
      <c r="B72" s="137"/>
      <c r="C72" s="137"/>
      <c r="D72" s="139"/>
      <c r="E72" s="139"/>
      <c r="F72" s="139"/>
      <c r="G72" s="139"/>
      <c r="I72" s="140"/>
      <c r="J72" s="123"/>
      <c r="K72" s="145"/>
      <c r="L72" s="145"/>
      <c r="M72" s="145"/>
      <c r="N72" s="146"/>
    </row>
    <row r="73" ht="15" customHeight="1" spans="1:14" x14ac:dyDescent="0.25">
      <c r="A73" s="135"/>
      <c r="B73" s="137"/>
      <c r="C73" s="137"/>
      <c r="D73" s="139"/>
      <c r="E73" s="139"/>
      <c r="F73" s="139"/>
      <c r="G73" s="139"/>
      <c r="I73" s="140"/>
      <c r="J73" s="123"/>
      <c r="K73" s="145"/>
      <c r="L73" s="145"/>
      <c r="M73" s="145"/>
      <c r="N73" s="146"/>
    </row>
    <row r="74" ht="15" customHeight="1" spans="1:14" x14ac:dyDescent="0.25">
      <c r="A74" s="135"/>
      <c r="B74" s="137"/>
      <c r="C74" s="137"/>
      <c r="D74" s="139"/>
      <c r="E74" s="139"/>
      <c r="F74" s="139"/>
      <c r="G74" s="139"/>
      <c r="I74" s="140"/>
      <c r="J74" s="123"/>
      <c r="K74" s="145"/>
      <c r="L74" s="145"/>
      <c r="M74" s="145"/>
      <c r="N74" s="146"/>
    </row>
    <row r="75" ht="15" customHeight="1" spans="1:14" x14ac:dyDescent="0.25">
      <c r="A75" s="135"/>
      <c r="B75" s="137"/>
      <c r="C75" s="137"/>
      <c r="D75" s="139"/>
      <c r="E75" s="139"/>
      <c r="F75" s="139"/>
      <c r="G75" s="139"/>
      <c r="I75" s="140"/>
      <c r="J75" s="123"/>
      <c r="K75" s="145"/>
      <c r="L75" s="145"/>
      <c r="M75" s="145"/>
      <c r="N75" s="146"/>
    </row>
    <row r="76" ht="15" customHeight="1" spans="1:14" x14ac:dyDescent="0.25">
      <c r="A76" s="135"/>
      <c r="B76" s="137"/>
      <c r="C76" s="137"/>
      <c r="D76" s="139"/>
      <c r="E76" s="139"/>
      <c r="F76" s="139"/>
      <c r="G76" s="139"/>
      <c r="I76" s="140"/>
      <c r="J76" s="123"/>
      <c r="K76" s="145"/>
      <c r="L76" s="145"/>
      <c r="M76" s="145"/>
      <c r="N76" s="146"/>
    </row>
    <row r="77" ht="15" customHeight="1" spans="1:14" x14ac:dyDescent="0.25">
      <c r="A77" s="135"/>
      <c r="B77" s="137"/>
      <c r="C77" s="137"/>
      <c r="D77" s="139"/>
      <c r="E77" s="139"/>
      <c r="F77" s="139"/>
      <c r="G77" s="139"/>
      <c r="H77" s="137" t="s">
        <v>187</v>
      </c>
      <c r="I77" s="140"/>
      <c r="J77" s="123"/>
      <c r="K77" s="145"/>
      <c r="L77" s="145"/>
      <c r="M77" s="145"/>
      <c r="N77" s="146"/>
    </row>
    <row r="78" ht="15" customHeight="1" spans="1:14" x14ac:dyDescent="0.25">
      <c r="A78" s="135"/>
      <c r="B78" s="137"/>
      <c r="C78" s="137"/>
      <c r="D78" s="139"/>
      <c r="E78" s="139"/>
      <c r="F78" s="139"/>
      <c r="G78" s="139"/>
      <c r="I78" s="140"/>
      <c r="J78" s="123"/>
      <c r="K78" s="145"/>
      <c r="L78" s="145"/>
      <c r="M78" s="145"/>
      <c r="N78" s="146"/>
    </row>
    <row r="79" ht="15" customHeight="1" spans="1:14" x14ac:dyDescent="0.25">
      <c r="A79" s="135"/>
      <c r="B79" s="137"/>
      <c r="C79" s="137"/>
      <c r="D79" s="139"/>
      <c r="E79" s="139"/>
      <c r="F79" s="139"/>
      <c r="G79" s="139"/>
      <c r="I79" s="140"/>
      <c r="J79" s="123"/>
      <c r="K79" s="145"/>
      <c r="L79" s="145"/>
      <c r="M79" s="145"/>
      <c r="N79" s="146"/>
    </row>
    <row r="80" ht="15" customHeight="1" spans="1:14" x14ac:dyDescent="0.25">
      <c r="A80" s="135"/>
      <c r="B80" s="137"/>
      <c r="C80" s="137"/>
      <c r="D80" s="139"/>
      <c r="E80" s="139"/>
      <c r="F80" s="139"/>
      <c r="G80" s="139"/>
      <c r="H80" s="137" t="s">
        <v>187</v>
      </c>
      <c r="I80" s="140"/>
      <c r="J80" s="123"/>
      <c r="K80" s="145"/>
      <c r="L80" s="145"/>
      <c r="M80" s="145"/>
      <c r="N80" s="146"/>
    </row>
    <row r="81" ht="15" customHeight="1" spans="1:14" x14ac:dyDescent="0.25">
      <c r="A81" s="135"/>
      <c r="B81" s="137"/>
      <c r="C81" s="137"/>
      <c r="D81" s="139"/>
      <c r="E81" s="139"/>
      <c r="F81" s="138"/>
      <c r="G81" s="139"/>
      <c r="I81" s="140"/>
      <c r="J81" s="123"/>
      <c r="K81" s="145"/>
      <c r="L81" s="145"/>
      <c r="M81" s="145"/>
      <c r="N81" s="146"/>
    </row>
    <row r="82" ht="15" customHeight="1" spans="1:14" x14ac:dyDescent="0.25">
      <c r="A82" s="135"/>
      <c r="B82" s="137"/>
      <c r="C82" s="137"/>
      <c r="D82" s="139"/>
      <c r="E82" s="139"/>
      <c r="F82" s="139"/>
      <c r="G82" s="139"/>
      <c r="I82" s="140"/>
      <c r="J82" s="123"/>
      <c r="K82" s="145"/>
      <c r="L82" s="145"/>
      <c r="M82" s="145"/>
      <c r="N82" s="146"/>
    </row>
    <row r="83" ht="15" customHeight="1" spans="1:14" x14ac:dyDescent="0.25">
      <c r="A83" s="135"/>
      <c r="B83" s="137"/>
      <c r="C83" s="137"/>
      <c r="D83" s="139"/>
      <c r="E83" s="139"/>
      <c r="F83" s="139"/>
      <c r="G83" s="139"/>
      <c r="I83" s="140"/>
      <c r="J83" s="123"/>
      <c r="K83" s="145"/>
      <c r="L83" s="145"/>
      <c r="M83" s="145"/>
      <c r="N83" s="146"/>
    </row>
    <row r="84" ht="15" customHeight="1" spans="1:14" x14ac:dyDescent="0.25">
      <c r="A84" s="135"/>
      <c r="B84" s="137"/>
      <c r="C84" s="137"/>
      <c r="D84" s="139"/>
      <c r="E84" s="139"/>
      <c r="F84" s="139"/>
      <c r="G84" s="139"/>
      <c r="I84" s="140"/>
      <c r="J84" s="123"/>
      <c r="K84" s="145"/>
      <c r="L84" s="145"/>
      <c r="M84" s="145"/>
      <c r="N84" s="146"/>
    </row>
    <row r="85" ht="15" customHeight="1" spans="1:14" x14ac:dyDescent="0.25">
      <c r="A85" s="135"/>
      <c r="B85" s="137"/>
      <c r="C85" s="137"/>
      <c r="D85" s="139"/>
      <c r="E85" s="139"/>
      <c r="F85" s="139"/>
      <c r="G85" s="139"/>
      <c r="I85" s="140"/>
      <c r="J85" s="123"/>
      <c r="K85" s="145"/>
      <c r="L85" s="145"/>
      <c r="M85" s="145"/>
      <c r="N85" s="146"/>
    </row>
    <row r="86" ht="15" customHeight="1" spans="1:14" x14ac:dyDescent="0.25">
      <c r="A86" s="135"/>
      <c r="B86" s="137"/>
      <c r="C86" s="137"/>
      <c r="D86" s="139"/>
      <c r="E86" s="139"/>
      <c r="F86" s="139"/>
      <c r="G86" s="139"/>
      <c r="I86" s="140"/>
      <c r="J86" s="123"/>
      <c r="K86" s="145"/>
      <c r="L86" s="145"/>
      <c r="M86" s="145"/>
      <c r="N86" s="146"/>
    </row>
    <row r="87" ht="15" customHeight="1" spans="1:14" x14ac:dyDescent="0.25">
      <c r="A87" s="135"/>
      <c r="B87" s="137"/>
      <c r="C87" s="137"/>
      <c r="D87" s="139"/>
      <c r="E87" s="139"/>
      <c r="F87" s="139"/>
      <c r="G87" s="139"/>
      <c r="H87" s="137" t="s">
        <v>188</v>
      </c>
      <c r="I87" s="140"/>
      <c r="J87" s="123"/>
      <c r="K87" s="145"/>
      <c r="L87" s="145"/>
      <c r="M87" s="145"/>
      <c r="N87" s="146"/>
    </row>
    <row r="88" ht="15" customHeight="1" spans="1:14" x14ac:dyDescent="0.25">
      <c r="A88" s="135"/>
      <c r="B88" s="137"/>
      <c r="C88" s="137"/>
      <c r="D88" s="139"/>
      <c r="E88" s="139"/>
      <c r="F88" s="139"/>
      <c r="G88" s="139"/>
      <c r="I88" s="140"/>
      <c r="J88" s="123"/>
      <c r="K88" s="145"/>
      <c r="L88" s="145"/>
      <c r="M88" s="145"/>
      <c r="N88" s="146"/>
    </row>
    <row r="89" ht="15" customHeight="1" spans="1:14" x14ac:dyDescent="0.25">
      <c r="A89" s="135"/>
      <c r="B89" s="137"/>
      <c r="C89" s="137"/>
      <c r="D89" s="139"/>
      <c r="E89" s="139"/>
      <c r="F89" s="139"/>
      <c r="G89" s="139"/>
      <c r="I89" s="140"/>
      <c r="J89" s="123"/>
      <c r="K89" s="145"/>
      <c r="L89" s="145"/>
      <c r="M89" s="145"/>
      <c r="N89" s="146"/>
    </row>
    <row r="90" ht="15" customHeight="1" spans="1:14" x14ac:dyDescent="0.25">
      <c r="A90" s="135"/>
      <c r="B90" s="137"/>
      <c r="C90" s="137"/>
      <c r="D90" s="139"/>
      <c r="E90" s="139"/>
      <c r="F90" s="139"/>
      <c r="G90" s="139"/>
      <c r="I90" s="140"/>
      <c r="J90" s="123"/>
      <c r="K90" s="145"/>
      <c r="L90" s="145"/>
      <c r="M90" s="145"/>
      <c r="N90" s="146"/>
    </row>
    <row r="91" ht="15" customHeight="1" spans="1:14" x14ac:dyDescent="0.25">
      <c r="A91" s="135"/>
      <c r="B91" s="137"/>
      <c r="C91" s="137"/>
      <c r="D91" s="139"/>
      <c r="E91" s="139"/>
      <c r="F91" s="139"/>
      <c r="G91" s="139"/>
      <c r="I91" s="140"/>
      <c r="J91" s="123"/>
      <c r="K91" s="145"/>
      <c r="L91" s="145"/>
      <c r="M91" s="145"/>
      <c r="N91" s="146"/>
    </row>
    <row r="92" ht="15" customHeight="1" spans="1:14" x14ac:dyDescent="0.25">
      <c r="A92" s="135"/>
      <c r="B92" s="137"/>
      <c r="C92" s="137"/>
      <c r="D92" s="139"/>
      <c r="E92" s="139"/>
      <c r="F92" s="139"/>
      <c r="G92" s="139"/>
      <c r="I92" s="140"/>
      <c r="J92" s="123"/>
      <c r="K92" s="145"/>
      <c r="L92" s="145"/>
      <c r="M92" s="145"/>
      <c r="N92" s="146"/>
    </row>
    <row r="93" ht="15" customHeight="1" spans="1:14" x14ac:dyDescent="0.25">
      <c r="A93" s="135"/>
      <c r="B93" s="137"/>
      <c r="C93" s="137"/>
      <c r="D93" s="139"/>
      <c r="E93" s="139"/>
      <c r="F93" s="139"/>
      <c r="G93" s="139"/>
      <c r="I93" s="140"/>
      <c r="J93" s="123"/>
      <c r="K93" s="145"/>
      <c r="L93" s="145"/>
      <c r="M93" s="145"/>
      <c r="N93" s="146"/>
    </row>
    <row r="94" ht="15" customHeight="1" spans="1:14" x14ac:dyDescent="0.25">
      <c r="A94" s="135"/>
      <c r="B94" s="137"/>
      <c r="C94" s="137"/>
      <c r="D94" s="139"/>
      <c r="E94" s="139"/>
      <c r="F94" s="139"/>
      <c r="G94" s="139"/>
      <c r="I94" s="140"/>
      <c r="J94" s="123"/>
      <c r="K94" s="145"/>
      <c r="L94" s="145"/>
      <c r="M94" s="145"/>
      <c r="N94" s="146"/>
    </row>
    <row r="95" ht="15" customHeight="1" spans="1:14" x14ac:dyDescent="0.25">
      <c r="A95" s="135"/>
      <c r="B95" s="137"/>
      <c r="C95" s="137"/>
      <c r="D95" s="139"/>
      <c r="E95" s="139"/>
      <c r="F95" s="138"/>
      <c r="G95" s="139"/>
      <c r="H95" s="137" t="s">
        <v>187</v>
      </c>
      <c r="I95" s="140"/>
      <c r="J95" s="123"/>
      <c r="K95" s="145"/>
      <c r="L95" s="145"/>
      <c r="M95" s="145"/>
      <c r="N95" s="146"/>
    </row>
    <row r="96" ht="15" customHeight="1" spans="1:14" x14ac:dyDescent="0.25">
      <c r="A96" s="135"/>
      <c r="B96" s="136"/>
      <c r="C96" s="137"/>
      <c r="D96" s="138"/>
      <c r="E96" s="138"/>
      <c r="F96" s="138"/>
      <c r="G96" s="139"/>
      <c r="I96" s="140"/>
      <c r="J96" s="123"/>
      <c r="K96" s="145"/>
      <c r="L96" s="145"/>
      <c r="M96" s="145"/>
      <c r="N96" s="146"/>
    </row>
    <row r="97" ht="15" customHeight="1" spans="1:14" x14ac:dyDescent="0.25">
      <c r="A97" s="135"/>
      <c r="B97" s="137"/>
      <c r="C97" s="137"/>
      <c r="D97" s="139"/>
      <c r="E97" s="139"/>
      <c r="F97" s="139"/>
      <c r="G97" s="139"/>
      <c r="I97" s="140"/>
      <c r="J97" s="123"/>
      <c r="K97" s="145"/>
      <c r="L97" s="145"/>
      <c r="M97" s="145"/>
      <c r="N97" s="146"/>
    </row>
    <row r="98" ht="15" customHeight="1" spans="1:14" x14ac:dyDescent="0.25">
      <c r="A98" s="135"/>
      <c r="B98" s="137"/>
      <c r="C98" s="137"/>
      <c r="D98" s="139"/>
      <c r="E98" s="139"/>
      <c r="F98" s="139"/>
      <c r="G98" s="139"/>
      <c r="I98" s="140"/>
      <c r="J98" s="123"/>
      <c r="K98" s="145"/>
      <c r="L98" s="145"/>
      <c r="M98" s="145"/>
      <c r="N98" s="146"/>
    </row>
    <row r="99" ht="15" customHeight="1" spans="1:9" x14ac:dyDescent="0.25">
      <c r="A99" s="135"/>
      <c r="B99" s="137"/>
      <c r="C99" s="137"/>
      <c r="D99" s="139"/>
      <c r="E99" s="139"/>
      <c r="F99" s="139"/>
      <c r="G99" s="139"/>
      <c r="I99" s="140"/>
    </row>
    <row r="100" ht="15" customHeight="1" spans="1:9" x14ac:dyDescent="0.25">
      <c r="A100" s="135"/>
      <c r="B100" s="137"/>
      <c r="C100" s="137"/>
      <c r="D100" s="139"/>
      <c r="E100" s="139"/>
      <c r="F100" s="139"/>
      <c r="G100" s="139"/>
      <c r="I100" s="140"/>
    </row>
    <row r="101" ht="15" customHeight="1" spans="1:9" x14ac:dyDescent="0.25">
      <c r="A101" s="135"/>
      <c r="B101" s="137"/>
      <c r="C101" s="137"/>
      <c r="D101" s="139"/>
      <c r="E101" s="139"/>
      <c r="F101" s="139"/>
      <c r="G101" s="139"/>
      <c r="I101" s="140"/>
    </row>
    <row r="102" ht="15" customHeight="1" spans="1:9" x14ac:dyDescent="0.25">
      <c r="A102" s="135"/>
      <c r="B102" s="137"/>
      <c r="C102" s="137"/>
      <c r="D102" s="139"/>
      <c r="E102" s="139"/>
      <c r="F102" s="139"/>
      <c r="G102" s="139"/>
      <c r="I102" s="140"/>
    </row>
    <row r="103" ht="15" customHeight="1" spans="1:9" x14ac:dyDescent="0.25">
      <c r="A103" s="135"/>
      <c r="B103" s="137"/>
      <c r="C103" s="137"/>
      <c r="D103" s="139"/>
      <c r="E103" s="139"/>
      <c r="F103" s="139"/>
      <c r="G103" s="139"/>
      <c r="I103" s="140"/>
    </row>
    <row r="104" ht="15" customHeight="1" spans="1:9" x14ac:dyDescent="0.25">
      <c r="A104" s="135"/>
      <c r="B104" s="137"/>
      <c r="C104" s="137"/>
      <c r="D104" s="139"/>
      <c r="E104" s="139"/>
      <c r="F104" s="139"/>
      <c r="G104" s="139"/>
      <c r="I104" s="140"/>
    </row>
    <row r="105" ht="15" customHeight="1" spans="1:9" x14ac:dyDescent="0.25">
      <c r="A105" s="135"/>
      <c r="B105" s="137"/>
      <c r="C105" s="137"/>
      <c r="D105" s="139"/>
      <c r="E105" s="139"/>
      <c r="F105" s="139"/>
      <c r="G105" s="139"/>
      <c r="I105" s="140"/>
    </row>
    <row r="106" ht="15" customHeight="1" spans="1:9" x14ac:dyDescent="0.25">
      <c r="A106" s="135"/>
      <c r="B106" s="137"/>
      <c r="C106" s="137"/>
      <c r="D106" s="139"/>
      <c r="E106" s="139"/>
      <c r="F106" s="139"/>
      <c r="G106" s="139"/>
      <c r="I106" s="140"/>
    </row>
    <row r="107" ht="15" customHeight="1" spans="1:9" x14ac:dyDescent="0.25">
      <c r="A107" s="135"/>
      <c r="B107" s="137"/>
      <c r="C107" s="137"/>
      <c r="D107" s="139"/>
      <c r="E107" s="139"/>
      <c r="F107" s="139"/>
      <c r="G107" s="139"/>
      <c r="I107" s="140"/>
    </row>
    <row r="108" ht="15" customHeight="1" spans="1:9" x14ac:dyDescent="0.25">
      <c r="A108" s="135"/>
      <c r="B108" s="137"/>
      <c r="C108" s="137"/>
      <c r="D108" s="139"/>
      <c r="E108" s="139"/>
      <c r="F108" s="139"/>
      <c r="G108" s="139"/>
      <c r="I108" s="140"/>
    </row>
    <row r="109" ht="15" customHeight="1" spans="1:9" x14ac:dyDescent="0.25">
      <c r="A109" s="135"/>
      <c r="B109" s="137"/>
      <c r="C109" s="137"/>
      <c r="D109" s="139"/>
      <c r="E109" s="139"/>
      <c r="F109" s="138"/>
      <c r="G109" s="139"/>
      <c r="I109" s="140"/>
    </row>
    <row r="110" ht="15" customHeight="1" spans="1:9" x14ac:dyDescent="0.25">
      <c r="A110" s="135"/>
      <c r="B110" s="137"/>
      <c r="C110" s="137"/>
      <c r="D110" s="139"/>
      <c r="E110" s="139"/>
      <c r="F110" s="139"/>
      <c r="G110" s="139"/>
      <c r="I110" s="140"/>
    </row>
    <row r="111" ht="15" customHeight="1" spans="1:9" x14ac:dyDescent="0.25">
      <c r="A111" s="135"/>
      <c r="B111" s="137"/>
      <c r="C111" s="137"/>
      <c r="D111" s="139"/>
      <c r="E111" s="139"/>
      <c r="F111" s="139"/>
      <c r="G111" s="139"/>
      <c r="I111" s="140"/>
    </row>
    <row r="112" ht="15" customHeight="1" spans="1:9" x14ac:dyDescent="0.25">
      <c r="A112" s="135"/>
      <c r="B112" s="136"/>
      <c r="C112" s="137"/>
      <c r="D112" s="138"/>
      <c r="E112" s="138"/>
      <c r="F112" s="138"/>
      <c r="G112" s="139"/>
      <c r="I112" s="140"/>
    </row>
    <row r="113" ht="15" customHeight="1" spans="1:9" x14ac:dyDescent="0.25">
      <c r="A113" s="135"/>
      <c r="B113" s="137"/>
      <c r="C113" s="137"/>
      <c r="D113" s="139"/>
      <c r="E113" s="139"/>
      <c r="F113" s="139"/>
      <c r="G113" s="139"/>
      <c r="I113" s="140"/>
    </row>
    <row r="114" ht="15" customHeight="1" spans="1:9" x14ac:dyDescent="0.25">
      <c r="A114" s="135"/>
      <c r="B114" s="137"/>
      <c r="C114" s="137"/>
      <c r="D114" s="139"/>
      <c r="E114" s="139"/>
      <c r="F114" s="139"/>
      <c r="G114" s="139"/>
      <c r="I114" s="140"/>
    </row>
    <row r="115" ht="15" customHeight="1" spans="1:9" x14ac:dyDescent="0.25">
      <c r="A115" s="135"/>
      <c r="B115" s="137"/>
      <c r="C115" s="137"/>
      <c r="D115" s="139"/>
      <c r="E115" s="139"/>
      <c r="F115" s="139"/>
      <c r="G115" s="139"/>
      <c r="I115" s="140"/>
    </row>
    <row r="116" ht="15" customHeight="1" spans="1:9" x14ac:dyDescent="0.25">
      <c r="A116" s="135"/>
      <c r="B116" s="137"/>
      <c r="C116" s="137"/>
      <c r="D116" s="139"/>
      <c r="E116" s="139"/>
      <c r="F116" s="139"/>
      <c r="G116" s="139"/>
      <c r="I116" s="140"/>
    </row>
    <row r="117" ht="15" customHeight="1" spans="1:9" x14ac:dyDescent="0.25">
      <c r="A117" s="135"/>
      <c r="B117" s="136"/>
      <c r="C117" s="137"/>
      <c r="D117" s="138"/>
      <c r="E117" s="138"/>
      <c r="F117" s="138"/>
      <c r="G117" s="139"/>
      <c r="I117" s="140"/>
    </row>
    <row r="118" ht="15" customHeight="1" spans="1:9" x14ac:dyDescent="0.25">
      <c r="A118" s="135"/>
      <c r="B118" s="136"/>
      <c r="C118" s="137"/>
      <c r="D118" s="138"/>
      <c r="E118" s="138"/>
      <c r="F118" s="138"/>
      <c r="G118" s="139"/>
      <c r="I118" s="140"/>
    </row>
    <row r="119" ht="15" customHeight="1" spans="1:9" x14ac:dyDescent="0.25">
      <c r="A119" s="135"/>
      <c r="B119" s="137"/>
      <c r="C119" s="137"/>
      <c r="D119" s="139"/>
      <c r="E119" s="139"/>
      <c r="F119" s="139"/>
      <c r="G119" s="139"/>
      <c r="I119" s="140"/>
    </row>
    <row r="120" ht="15" customHeight="1" spans="1:9" x14ac:dyDescent="0.25">
      <c r="A120" s="135"/>
      <c r="B120" s="137"/>
      <c r="C120" s="137"/>
      <c r="D120" s="139"/>
      <c r="E120" s="139"/>
      <c r="F120" s="139"/>
      <c r="G120" s="139"/>
      <c r="I120" s="140"/>
    </row>
    <row r="121" ht="15" customHeight="1" spans="1:9" x14ac:dyDescent="0.25">
      <c r="A121" s="135"/>
      <c r="B121" s="137"/>
      <c r="C121" s="137"/>
      <c r="D121" s="139"/>
      <c r="E121" s="139"/>
      <c r="F121" s="139"/>
      <c r="G121" s="139"/>
      <c r="I121" s="140"/>
    </row>
    <row r="122" ht="15" customHeight="1" spans="1:9" x14ac:dyDescent="0.25">
      <c r="A122" s="135"/>
      <c r="B122" s="137"/>
      <c r="C122" s="137"/>
      <c r="D122" s="139"/>
      <c r="E122" s="139"/>
      <c r="F122" s="139"/>
      <c r="G122" s="139"/>
      <c r="I122" s="140"/>
    </row>
    <row r="123" ht="15" customHeight="1" spans="1:9" x14ac:dyDescent="0.25">
      <c r="A123" s="135"/>
      <c r="B123" s="137"/>
      <c r="C123" s="137"/>
      <c r="D123" s="139"/>
      <c r="E123" s="139"/>
      <c r="F123" s="139"/>
      <c r="G123" s="139"/>
      <c r="I123" s="140"/>
    </row>
    <row r="124" ht="15" customHeight="1" spans="1:9" x14ac:dyDescent="0.25">
      <c r="A124" s="135"/>
      <c r="B124" s="137"/>
      <c r="C124" s="137"/>
      <c r="D124" s="139"/>
      <c r="E124" s="139"/>
      <c r="F124" s="139"/>
      <c r="G124" s="139"/>
      <c r="I124" s="140"/>
    </row>
    <row r="125" ht="15" customHeight="1" spans="1:9" x14ac:dyDescent="0.25">
      <c r="A125" s="135"/>
      <c r="B125" s="137"/>
      <c r="C125" s="137"/>
      <c r="D125" s="139"/>
      <c r="E125" s="139"/>
      <c r="F125" s="139"/>
      <c r="G125" s="139"/>
      <c r="I125" s="140"/>
    </row>
    <row r="126" ht="15" customHeight="1" spans="1:9" x14ac:dyDescent="0.25">
      <c r="A126" s="135"/>
      <c r="B126" s="137"/>
      <c r="C126" s="136"/>
      <c r="D126" s="139"/>
      <c r="E126" s="139"/>
      <c r="F126" s="138"/>
      <c r="G126" s="138"/>
      <c r="H126" s="136"/>
      <c r="I126" s="140"/>
    </row>
    <row r="127" ht="15" customHeight="1" spans="1:9" x14ac:dyDescent="0.25">
      <c r="A127" s="135"/>
      <c r="B127" s="137"/>
      <c r="C127" s="137"/>
      <c r="D127" s="139"/>
      <c r="E127" s="139"/>
      <c r="F127" s="139"/>
      <c r="G127" s="139"/>
      <c r="I127" s="140"/>
    </row>
    <row r="128" ht="15" customHeight="1" spans="1:9" x14ac:dyDescent="0.25">
      <c r="A128" s="135"/>
      <c r="B128" s="137"/>
      <c r="C128" s="137"/>
      <c r="D128" s="139"/>
      <c r="E128" s="139"/>
      <c r="F128" s="139"/>
      <c r="G128" s="139"/>
      <c r="I128" s="140"/>
    </row>
    <row r="129" ht="15" customHeight="1" spans="1:9" x14ac:dyDescent="0.25">
      <c r="A129" s="135"/>
      <c r="B129" s="137"/>
      <c r="C129" s="137"/>
      <c r="D129" s="139"/>
      <c r="E129" s="139"/>
      <c r="F129" s="139"/>
      <c r="G129" s="139"/>
      <c r="I129" s="140"/>
    </row>
    <row r="130" ht="15" customHeight="1" spans="1:9" x14ac:dyDescent="0.25">
      <c r="A130" s="135"/>
      <c r="B130" s="137"/>
      <c r="C130" s="137"/>
      <c r="D130" s="139"/>
      <c r="E130" s="139"/>
      <c r="F130" s="138"/>
      <c r="G130" s="139"/>
      <c r="I130" s="140"/>
    </row>
    <row r="131" ht="15" customHeight="1" spans="1:9" x14ac:dyDescent="0.25">
      <c r="A131" s="135"/>
      <c r="B131" s="137"/>
      <c r="C131" s="137"/>
      <c r="D131" s="139"/>
      <c r="E131" s="139"/>
      <c r="F131" s="139"/>
      <c r="G131" s="139"/>
      <c r="I131" s="140"/>
    </row>
    <row r="132" ht="15" customHeight="1" spans="1:9" x14ac:dyDescent="0.25">
      <c r="A132" s="135"/>
      <c r="B132" s="137"/>
      <c r="C132" s="137"/>
      <c r="D132" s="139"/>
      <c r="E132" s="139"/>
      <c r="F132" s="139"/>
      <c r="G132" s="139"/>
      <c r="I132" s="140"/>
    </row>
    <row r="133" ht="15" customHeight="1" spans="1:9" x14ac:dyDescent="0.25">
      <c r="A133" s="135"/>
      <c r="B133" s="137"/>
      <c r="C133" s="137"/>
      <c r="D133" s="139"/>
      <c r="E133" s="139"/>
      <c r="F133" s="138"/>
      <c r="G133" s="139"/>
      <c r="I133" s="140"/>
    </row>
    <row r="134" ht="15" customHeight="1" spans="1:9" x14ac:dyDescent="0.25">
      <c r="A134" s="135"/>
      <c r="B134" s="136"/>
      <c r="C134" s="137"/>
      <c r="D134" s="138"/>
      <c r="E134" s="138"/>
      <c r="F134" s="138"/>
      <c r="G134" s="139"/>
      <c r="I134" s="140"/>
    </row>
    <row r="135" ht="15" customHeight="1" spans="1:9" x14ac:dyDescent="0.25">
      <c r="A135" s="135"/>
      <c r="B135" s="137"/>
      <c r="C135" s="137"/>
      <c r="D135" s="139"/>
      <c r="E135" s="139"/>
      <c r="F135" s="139"/>
      <c r="G135" s="139"/>
      <c r="I135" s="140"/>
    </row>
    <row r="136" ht="15" customHeight="1" spans="1:9" x14ac:dyDescent="0.25">
      <c r="A136" s="135"/>
      <c r="B136" s="137"/>
      <c r="C136" s="137"/>
      <c r="D136" s="139"/>
      <c r="E136" s="139"/>
      <c r="F136" s="139"/>
      <c r="G136" s="139"/>
      <c r="I136" s="140"/>
    </row>
    <row r="137" ht="15" customHeight="1" spans="1:9" x14ac:dyDescent="0.25">
      <c r="A137" s="135"/>
      <c r="B137" s="137"/>
      <c r="C137" s="137"/>
      <c r="D137" s="139"/>
      <c r="E137" s="139"/>
      <c r="F137" s="139"/>
      <c r="G137" s="139"/>
      <c r="I137" s="140"/>
    </row>
    <row r="138" ht="15" customHeight="1" spans="1:9" x14ac:dyDescent="0.25">
      <c r="A138" s="135"/>
      <c r="B138" s="137"/>
      <c r="C138" s="137"/>
      <c r="D138" s="139"/>
      <c r="E138" s="139"/>
      <c r="F138" s="139"/>
      <c r="G138" s="139"/>
      <c r="I138" s="140"/>
    </row>
    <row r="139" ht="15" customHeight="1" spans="1:9" x14ac:dyDescent="0.25">
      <c r="A139" s="135"/>
      <c r="B139" s="137"/>
      <c r="C139" s="137"/>
      <c r="D139" s="139"/>
      <c r="E139" s="139"/>
      <c r="F139" s="139"/>
      <c r="G139" s="139"/>
      <c r="I139" s="140"/>
    </row>
    <row r="140" ht="15" customHeight="1" spans="1:9" x14ac:dyDescent="0.25">
      <c r="A140" s="147"/>
      <c r="B140" s="137"/>
      <c r="C140" s="137"/>
      <c r="D140" s="139"/>
      <c r="E140" s="139"/>
      <c r="F140" s="139"/>
      <c r="G140" s="139"/>
      <c r="H140" s="137"/>
      <c r="I140" s="140"/>
    </row>
    <row r="141" ht="15" customHeight="1" spans="1:9" x14ac:dyDescent="0.25">
      <c r="A141" s="135"/>
      <c r="B141" s="136"/>
      <c r="C141" s="137"/>
      <c r="D141" s="138"/>
      <c r="E141" s="138"/>
      <c r="F141" s="138"/>
      <c r="G141" s="139"/>
      <c r="I141" s="140"/>
    </row>
    <row r="142" ht="15" customHeight="1" spans="1:9" x14ac:dyDescent="0.25">
      <c r="A142" s="135"/>
      <c r="B142" s="137"/>
      <c r="C142" s="137"/>
      <c r="D142" s="139"/>
      <c r="E142" s="139"/>
      <c r="F142" s="139"/>
      <c r="G142" s="139"/>
      <c r="I142" s="140"/>
    </row>
    <row r="143" ht="15" customHeight="1" spans="1:9" x14ac:dyDescent="0.25">
      <c r="A143" s="135"/>
      <c r="B143" s="137"/>
      <c r="C143" s="137"/>
      <c r="D143" s="139"/>
      <c r="E143" s="139"/>
      <c r="F143" s="139"/>
      <c r="G143" s="139"/>
      <c r="I143" s="140"/>
    </row>
    <row r="144" ht="15" customHeight="1" spans="1:9" x14ac:dyDescent="0.25">
      <c r="A144" s="135"/>
      <c r="B144" s="137"/>
      <c r="C144" s="137"/>
      <c r="D144" s="139"/>
      <c r="E144" s="139"/>
      <c r="F144" s="139"/>
      <c r="G144" s="139"/>
      <c r="I144" s="140"/>
    </row>
    <row r="145" ht="15" customHeight="1" spans="1:9" x14ac:dyDescent="0.25">
      <c r="A145" s="135"/>
      <c r="B145" s="137"/>
      <c r="C145" s="137"/>
      <c r="D145" s="139"/>
      <c r="E145" s="139"/>
      <c r="F145" s="139"/>
      <c r="G145" s="139"/>
      <c r="I145" s="140"/>
    </row>
    <row r="146" ht="15" customHeight="1" spans="1:9" x14ac:dyDescent="0.25">
      <c r="A146" s="135"/>
      <c r="B146" s="137"/>
      <c r="C146" s="137"/>
      <c r="D146" s="139"/>
      <c r="E146" s="139"/>
      <c r="F146" s="139"/>
      <c r="G146" s="139"/>
      <c r="I146" s="140"/>
    </row>
    <row r="147" ht="15" customHeight="1" spans="1:9" x14ac:dyDescent="0.25">
      <c r="A147" s="135"/>
      <c r="B147" s="137"/>
      <c r="C147" s="137"/>
      <c r="D147" s="139"/>
      <c r="E147" s="139"/>
      <c r="F147" s="139"/>
      <c r="G147" s="139"/>
      <c r="I147" s="140"/>
    </row>
    <row r="148" ht="15" customHeight="1" spans="1:9" x14ac:dyDescent="0.25">
      <c r="A148" s="135"/>
      <c r="B148" s="137"/>
      <c r="C148" s="137"/>
      <c r="D148" s="139"/>
      <c r="E148" s="139"/>
      <c r="F148" s="139"/>
      <c r="G148" s="139"/>
      <c r="I148" s="140"/>
    </row>
    <row r="149" ht="15" customHeight="1" spans="1:9" x14ac:dyDescent="0.25">
      <c r="A149" s="135"/>
      <c r="B149" s="137"/>
      <c r="C149" s="137"/>
      <c r="D149" s="139"/>
      <c r="E149" s="139"/>
      <c r="F149" s="139"/>
      <c r="G149" s="139"/>
      <c r="I149" s="140"/>
    </row>
    <row r="150" ht="15" customHeight="1" spans="1:9" x14ac:dyDescent="0.25">
      <c r="A150" s="135"/>
      <c r="B150" s="137"/>
      <c r="C150" s="137"/>
      <c r="D150" s="139"/>
      <c r="E150" s="139"/>
      <c r="F150" s="139"/>
      <c r="G150" s="139"/>
      <c r="I150" s="140"/>
    </row>
    <row r="151" ht="15" customHeight="1" spans="1:9" x14ac:dyDescent="0.25">
      <c r="A151" s="135"/>
      <c r="B151" s="137"/>
      <c r="C151" s="137"/>
      <c r="D151" s="139"/>
      <c r="E151" s="139"/>
      <c r="F151" s="139"/>
      <c r="G151" s="139"/>
      <c r="I151" s="140"/>
    </row>
    <row r="152" ht="15" customHeight="1" spans="1:9" x14ac:dyDescent="0.25">
      <c r="A152" s="135"/>
      <c r="B152" s="137"/>
      <c r="C152" s="137"/>
      <c r="D152" s="139"/>
      <c r="E152" s="139"/>
      <c r="F152" s="139"/>
      <c r="G152" s="139"/>
      <c r="I152" s="140"/>
    </row>
    <row r="153" ht="15" customHeight="1" spans="1:9" x14ac:dyDescent="0.25">
      <c r="A153" s="135"/>
      <c r="B153" s="136"/>
      <c r="C153" s="137"/>
      <c r="D153" s="138"/>
      <c r="E153" s="138"/>
      <c r="F153" s="138"/>
      <c r="G153" s="139"/>
      <c r="H153" s="137" t="s">
        <v>189</v>
      </c>
      <c r="I153" s="140"/>
    </row>
    <row r="154" ht="15" customHeight="1" spans="1:9" x14ac:dyDescent="0.25">
      <c r="A154" s="135"/>
      <c r="B154" s="136"/>
      <c r="C154" s="137"/>
      <c r="D154" s="138"/>
      <c r="E154" s="138"/>
      <c r="F154" s="138"/>
      <c r="G154" s="139"/>
      <c r="I154" s="140"/>
    </row>
    <row r="155" ht="15" customHeight="1" spans="1:9" x14ac:dyDescent="0.25">
      <c r="A155" s="135"/>
      <c r="B155" s="137"/>
      <c r="C155" s="137"/>
      <c r="D155" s="139"/>
      <c r="E155" s="139"/>
      <c r="F155" s="139"/>
      <c r="G155" s="139"/>
      <c r="I155" s="140"/>
    </row>
    <row r="156" ht="15" customHeight="1" spans="1:9" x14ac:dyDescent="0.25">
      <c r="A156" s="135"/>
      <c r="B156" s="136"/>
      <c r="C156" s="137"/>
      <c r="D156" s="138"/>
      <c r="E156" s="138"/>
      <c r="F156" s="138"/>
      <c r="G156" s="139"/>
      <c r="I156" s="140"/>
    </row>
    <row r="157" ht="15" customHeight="1" spans="1:9" x14ac:dyDescent="0.25">
      <c r="A157" s="135"/>
      <c r="B157" s="136"/>
      <c r="C157" s="137"/>
      <c r="D157" s="138"/>
      <c r="E157" s="138"/>
      <c r="F157" s="138"/>
      <c r="G157" s="139"/>
      <c r="I157" s="140"/>
    </row>
    <row r="158" ht="15" customHeight="1" spans="1:9" x14ac:dyDescent="0.25">
      <c r="A158" s="135"/>
      <c r="B158" s="136"/>
      <c r="C158" s="137"/>
      <c r="D158" s="138"/>
      <c r="E158" s="138"/>
      <c r="F158" s="138"/>
      <c r="G158" s="139"/>
      <c r="H158" s="137" t="s">
        <v>189</v>
      </c>
      <c r="I158" s="140"/>
    </row>
    <row r="159" ht="15" customHeight="1" spans="1:9" x14ac:dyDescent="0.25">
      <c r="A159" s="135"/>
      <c r="B159" s="137"/>
      <c r="C159" s="137"/>
      <c r="D159" s="139"/>
      <c r="E159" s="139"/>
      <c r="F159" s="139"/>
      <c r="G159" s="139"/>
      <c r="I159" s="140"/>
    </row>
    <row r="160" ht="15" customHeight="1" spans="1:9" x14ac:dyDescent="0.25">
      <c r="A160" s="135"/>
      <c r="B160" s="137"/>
      <c r="C160" s="137"/>
      <c r="D160" s="139"/>
      <c r="E160" s="139"/>
      <c r="F160" s="139"/>
      <c r="G160" s="139"/>
      <c r="I160" s="140"/>
    </row>
    <row r="161" ht="15" customHeight="1" spans="1:9" x14ac:dyDescent="0.25">
      <c r="A161" s="135"/>
      <c r="B161" s="137"/>
      <c r="C161" s="137"/>
      <c r="D161" s="139"/>
      <c r="E161" s="139"/>
      <c r="F161" s="139"/>
      <c r="G161" s="139"/>
      <c r="I161" s="140"/>
    </row>
    <row r="162" ht="15" customHeight="1" spans="1:9" x14ac:dyDescent="0.25">
      <c r="A162" s="135"/>
      <c r="B162" s="137"/>
      <c r="C162" s="137"/>
      <c r="D162" s="139"/>
      <c r="E162" s="139"/>
      <c r="F162" s="139"/>
      <c r="G162" s="139"/>
      <c r="I162" s="140"/>
    </row>
    <row r="163" ht="15" customHeight="1" spans="1:9" x14ac:dyDescent="0.25">
      <c r="A163" s="135"/>
      <c r="B163" s="137"/>
      <c r="C163" s="137"/>
      <c r="D163" s="139"/>
      <c r="E163" s="139"/>
      <c r="F163" s="139"/>
      <c r="G163" s="139"/>
      <c r="I163" s="140"/>
    </row>
    <row r="164" ht="15" customHeight="1" spans="1:9" x14ac:dyDescent="0.25">
      <c r="A164" s="135"/>
      <c r="B164" s="137"/>
      <c r="C164" s="137"/>
      <c r="D164" s="139"/>
      <c r="E164" s="139"/>
      <c r="F164" s="139"/>
      <c r="G164" s="139"/>
      <c r="I164" s="140"/>
    </row>
    <row r="165" ht="15" customHeight="1" spans="1:9" x14ac:dyDescent="0.25">
      <c r="A165" s="135"/>
      <c r="B165" s="137"/>
      <c r="C165" s="137"/>
      <c r="D165" s="139"/>
      <c r="E165" s="139"/>
      <c r="F165" s="139"/>
      <c r="G165" s="139"/>
      <c r="I165" s="140"/>
    </row>
    <row r="166" ht="15" customHeight="1" spans="1:9" x14ac:dyDescent="0.25">
      <c r="A166" s="135"/>
      <c r="B166" s="137"/>
      <c r="C166" s="137"/>
      <c r="D166" s="139"/>
      <c r="E166" s="139"/>
      <c r="F166" s="139"/>
      <c r="G166" s="139"/>
      <c r="I166" s="140"/>
    </row>
    <row r="167" ht="15" customHeight="1" spans="1:9" x14ac:dyDescent="0.25">
      <c r="A167" s="135"/>
      <c r="B167" s="137"/>
      <c r="C167" s="137"/>
      <c r="D167" s="139"/>
      <c r="E167" s="139"/>
      <c r="F167" s="139"/>
      <c r="G167" s="139"/>
      <c r="I167" s="140"/>
    </row>
    <row r="168" ht="15" customHeight="1" spans="1:9" x14ac:dyDescent="0.25">
      <c r="A168" s="135"/>
      <c r="B168" s="137"/>
      <c r="C168" s="137"/>
      <c r="D168" s="139"/>
      <c r="E168" s="139"/>
      <c r="F168" s="138"/>
      <c r="G168" s="139"/>
      <c r="I168" s="140"/>
    </row>
    <row r="169" ht="15" customHeight="1" spans="1:9" x14ac:dyDescent="0.25">
      <c r="A169" s="135"/>
      <c r="B169" s="137"/>
      <c r="C169" s="136"/>
      <c r="D169" s="139"/>
      <c r="E169" s="139"/>
      <c r="F169" s="138"/>
      <c r="G169" s="138"/>
      <c r="H169" s="136"/>
      <c r="I169" s="140"/>
    </row>
    <row r="170" ht="15" customHeight="1" spans="1:9" x14ac:dyDescent="0.25">
      <c r="A170" s="135"/>
      <c r="B170" s="136"/>
      <c r="C170" s="137"/>
      <c r="D170" s="138"/>
      <c r="E170" s="138"/>
      <c r="F170" s="138"/>
      <c r="G170" s="139"/>
      <c r="I170" s="140"/>
    </row>
    <row r="171" ht="15" customHeight="1" spans="1:9" x14ac:dyDescent="0.25">
      <c r="A171" s="135"/>
      <c r="B171" s="137"/>
      <c r="C171" s="137"/>
      <c r="D171" s="139"/>
      <c r="E171" s="139"/>
      <c r="F171" s="139"/>
      <c r="G171" s="139"/>
      <c r="I171" s="140"/>
    </row>
    <row r="172" ht="15" customHeight="1" spans="1:9" x14ac:dyDescent="0.25">
      <c r="A172" s="135"/>
      <c r="B172" s="137"/>
      <c r="C172" s="137"/>
      <c r="D172" s="139"/>
      <c r="E172" s="139"/>
      <c r="F172" s="138"/>
      <c r="G172" s="139"/>
      <c r="I172" s="140"/>
    </row>
    <row r="173" ht="15" customHeight="1" spans="1:9" x14ac:dyDescent="0.25">
      <c r="A173" s="135"/>
      <c r="B173" s="137"/>
      <c r="C173" s="137"/>
      <c r="D173" s="139"/>
      <c r="E173" s="139"/>
      <c r="F173" s="139"/>
      <c r="G173" s="139"/>
      <c r="I173" s="140"/>
    </row>
    <row r="174" ht="15" customHeight="1" spans="1:9" x14ac:dyDescent="0.25">
      <c r="A174" s="135"/>
      <c r="B174" s="137"/>
      <c r="C174" s="137"/>
      <c r="D174" s="139"/>
      <c r="E174" s="139"/>
      <c r="F174" s="139"/>
      <c r="G174" s="139"/>
      <c r="I174" s="140"/>
    </row>
    <row r="175" ht="15" customHeight="1" spans="1:9" x14ac:dyDescent="0.25">
      <c r="A175" s="135"/>
      <c r="B175" s="137"/>
      <c r="C175" s="137"/>
      <c r="D175" s="139"/>
      <c r="E175" s="139"/>
      <c r="F175" s="138"/>
      <c r="G175" s="139"/>
      <c r="I175" s="140"/>
    </row>
    <row r="176" ht="15" customHeight="1" spans="1:9" x14ac:dyDescent="0.25">
      <c r="A176" s="135"/>
      <c r="B176" s="136"/>
      <c r="C176" s="137"/>
      <c r="D176" s="138"/>
      <c r="E176" s="138"/>
      <c r="F176" s="138"/>
      <c r="G176" s="139"/>
      <c r="I176" s="140"/>
    </row>
    <row r="177" ht="15" customHeight="1" spans="1:9" x14ac:dyDescent="0.25">
      <c r="A177" s="135"/>
      <c r="B177" s="137"/>
      <c r="C177" s="137"/>
      <c r="D177" s="139"/>
      <c r="E177" s="139"/>
      <c r="F177" s="139"/>
      <c r="G177" s="139"/>
      <c r="I177" s="140"/>
    </row>
    <row r="178" ht="15" customHeight="1" spans="1:14" x14ac:dyDescent="0.25">
      <c r="A178" s="135"/>
      <c r="B178" s="137"/>
      <c r="C178" s="137"/>
      <c r="D178" s="139"/>
      <c r="E178" s="139"/>
      <c r="F178" s="139"/>
      <c r="G178" s="139"/>
      <c r="I178" s="140"/>
      <c r="J178" s="123"/>
      <c r="K178" s="145"/>
      <c r="L178" s="145"/>
      <c r="M178" s="145"/>
      <c r="N178" s="146"/>
    </row>
    <row r="179" ht="15" customHeight="1" spans="1:14" x14ac:dyDescent="0.25">
      <c r="A179" s="135"/>
      <c r="B179" s="137"/>
      <c r="C179" s="137"/>
      <c r="D179" s="139"/>
      <c r="E179" s="139"/>
      <c r="F179" s="139"/>
      <c r="G179" s="139"/>
      <c r="I179" s="140"/>
      <c r="J179" s="123"/>
      <c r="K179" s="145"/>
      <c r="L179" s="145"/>
      <c r="M179" s="145"/>
      <c r="N179" s="146"/>
    </row>
    <row r="180" ht="15" customHeight="1" spans="1:14" x14ac:dyDescent="0.25">
      <c r="A180" s="135"/>
      <c r="B180" s="137"/>
      <c r="C180" s="137"/>
      <c r="D180" s="139"/>
      <c r="E180" s="139"/>
      <c r="F180" s="139"/>
      <c r="G180" s="139"/>
      <c r="I180" s="140"/>
      <c r="J180" s="123"/>
      <c r="K180" s="145"/>
      <c r="L180" s="145"/>
      <c r="M180" s="145"/>
      <c r="N180" s="146"/>
    </row>
    <row r="181" ht="15" customHeight="1" spans="1:15" x14ac:dyDescent="0.25">
      <c r="A181" s="135"/>
      <c r="B181" s="137"/>
      <c r="C181" s="137"/>
      <c r="D181" s="139"/>
      <c r="E181" s="139"/>
      <c r="F181" s="139"/>
      <c r="G181" s="139"/>
      <c r="I181" s="140"/>
      <c r="J181" s="123"/>
      <c r="K181" s="145"/>
      <c r="L181" s="145"/>
      <c r="M181" s="145"/>
      <c r="N181" s="146"/>
      <c r="O181" s="123"/>
    </row>
    <row r="182" ht="15" customHeight="1" spans="1:15" x14ac:dyDescent="0.25">
      <c r="A182" s="135"/>
      <c r="B182" s="137"/>
      <c r="C182" s="137"/>
      <c r="D182" s="139"/>
      <c r="E182" s="139"/>
      <c r="F182" s="138"/>
      <c r="G182" s="139"/>
      <c r="I182" s="140"/>
      <c r="J182" s="123"/>
      <c r="K182" s="145"/>
      <c r="L182" s="145"/>
      <c r="M182" s="145"/>
      <c r="N182" s="146"/>
      <c r="O182" s="123"/>
    </row>
    <row r="183" ht="15" customHeight="1" spans="1:14" x14ac:dyDescent="0.25">
      <c r="A183" s="135"/>
      <c r="B183" s="137"/>
      <c r="C183" s="137"/>
      <c r="D183" s="139"/>
      <c r="E183" s="139"/>
      <c r="F183" s="139"/>
      <c r="G183" s="139"/>
      <c r="I183" s="140"/>
      <c r="J183" s="123"/>
      <c r="K183" s="145"/>
      <c r="L183" s="145"/>
      <c r="M183" s="145"/>
      <c r="N183" s="146"/>
    </row>
    <row r="184" ht="15" customHeight="1" spans="1:14" x14ac:dyDescent="0.25">
      <c r="A184" s="135"/>
      <c r="B184" s="137"/>
      <c r="C184" s="137"/>
      <c r="D184" s="139"/>
      <c r="E184" s="139"/>
      <c r="F184" s="139"/>
      <c r="G184" s="139"/>
      <c r="I184" s="140"/>
      <c r="J184" s="123"/>
      <c r="K184" s="145"/>
      <c r="L184" s="145"/>
      <c r="M184" s="145"/>
      <c r="N184" s="146"/>
    </row>
    <row r="185" ht="15" customHeight="1" spans="1:14" x14ac:dyDescent="0.25">
      <c r="A185" s="135"/>
      <c r="B185" s="136"/>
      <c r="C185" s="137"/>
      <c r="D185" s="138"/>
      <c r="E185" s="138"/>
      <c r="F185" s="138"/>
      <c r="G185" s="139"/>
      <c r="I185" s="140"/>
      <c r="J185" s="123"/>
      <c r="K185" s="145"/>
      <c r="L185" s="145"/>
      <c r="M185" s="145"/>
      <c r="N185" s="146"/>
    </row>
    <row r="186" ht="15" customHeight="1" spans="1:14" x14ac:dyDescent="0.25">
      <c r="A186" s="135"/>
      <c r="B186" s="137"/>
      <c r="C186" s="137"/>
      <c r="D186" s="139"/>
      <c r="E186" s="139"/>
      <c r="F186" s="139"/>
      <c r="G186" s="139"/>
      <c r="I186" s="140"/>
      <c r="J186" s="123"/>
      <c r="K186" s="145"/>
      <c r="L186" s="145"/>
      <c r="M186" s="145"/>
      <c r="N186" s="146"/>
    </row>
    <row r="187" ht="15" customHeight="1" spans="1:14" x14ac:dyDescent="0.25">
      <c r="A187" s="135"/>
      <c r="B187" s="137"/>
      <c r="C187" s="137"/>
      <c r="D187" s="139"/>
      <c r="E187" s="139"/>
      <c r="F187" s="139"/>
      <c r="G187" s="139"/>
      <c r="I187" s="140"/>
      <c r="J187" s="123"/>
      <c r="K187" s="145"/>
      <c r="L187" s="145"/>
      <c r="M187" s="145"/>
      <c r="N187" s="146"/>
    </row>
    <row r="188" ht="15" customHeight="1" spans="1:14" x14ac:dyDescent="0.25">
      <c r="A188" s="135"/>
      <c r="B188" s="137"/>
      <c r="C188" s="137"/>
      <c r="D188" s="139"/>
      <c r="E188" s="139"/>
      <c r="F188" s="139"/>
      <c r="G188" s="139"/>
      <c r="I188" s="140"/>
      <c r="J188" s="123"/>
      <c r="K188" s="145"/>
      <c r="L188" s="145"/>
      <c r="M188" s="145"/>
      <c r="N188" s="146"/>
    </row>
    <row r="189" ht="15" customHeight="1" spans="1:14" x14ac:dyDescent="0.25">
      <c r="A189" s="135"/>
      <c r="B189" s="137"/>
      <c r="C189" s="137"/>
      <c r="D189" s="139"/>
      <c r="E189" s="139"/>
      <c r="F189" s="139"/>
      <c r="G189" s="139"/>
      <c r="I189" s="140"/>
      <c r="J189" s="123"/>
      <c r="K189" s="145"/>
      <c r="L189" s="145"/>
      <c r="M189" s="145"/>
      <c r="N189" s="146"/>
    </row>
    <row r="190" ht="15" customHeight="1" spans="1:9" x14ac:dyDescent="0.25">
      <c r="A190" s="135"/>
      <c r="B190" s="137"/>
      <c r="C190" s="137"/>
      <c r="D190" s="139"/>
      <c r="E190" s="139"/>
      <c r="F190" s="139"/>
      <c r="G190" s="139"/>
      <c r="I190" s="140"/>
    </row>
    <row r="191" ht="15" customHeight="1" spans="1:9" x14ac:dyDescent="0.25">
      <c r="A191" s="135"/>
      <c r="B191" s="137"/>
      <c r="C191" s="137"/>
      <c r="D191" s="139"/>
      <c r="E191" s="139"/>
      <c r="F191" s="139"/>
      <c r="G191" s="139"/>
      <c r="I191" s="140"/>
    </row>
    <row r="192" ht="15" customHeight="1" spans="1:9" x14ac:dyDescent="0.25">
      <c r="A192" s="135"/>
      <c r="B192" s="137"/>
      <c r="C192" s="137"/>
      <c r="D192" s="139"/>
      <c r="E192" s="139"/>
      <c r="F192" s="139"/>
      <c r="G192" s="139"/>
      <c r="I192" s="140"/>
    </row>
    <row r="193" ht="15" customHeight="1" spans="1:9" x14ac:dyDescent="0.25">
      <c r="A193" s="147"/>
      <c r="B193" s="137"/>
      <c r="C193" s="137"/>
      <c r="D193" s="139"/>
      <c r="E193" s="139"/>
      <c r="F193" s="139"/>
      <c r="G193" s="139"/>
      <c r="H193" s="137"/>
      <c r="I193" s="140"/>
    </row>
    <row r="194" ht="15" customHeight="1" spans="1:9" x14ac:dyDescent="0.25">
      <c r="A194" s="135"/>
      <c r="B194" s="137"/>
      <c r="C194" s="137"/>
      <c r="D194" s="139"/>
      <c r="E194" s="139"/>
      <c r="F194" s="139"/>
      <c r="G194" s="139"/>
      <c r="I194" s="140"/>
    </row>
    <row r="195" ht="15" customHeight="1" spans="1:9" x14ac:dyDescent="0.25">
      <c r="A195" s="135"/>
      <c r="B195" s="137"/>
      <c r="C195" s="137"/>
      <c r="D195" s="139"/>
      <c r="E195" s="139"/>
      <c r="F195" s="139"/>
      <c r="G195" s="139"/>
      <c r="I195" s="140"/>
    </row>
    <row r="196" ht="15" customHeight="1" spans="1:9" x14ac:dyDescent="0.25">
      <c r="A196" s="135"/>
      <c r="B196" s="137"/>
      <c r="C196" s="137"/>
      <c r="D196" s="139"/>
      <c r="E196" s="139"/>
      <c r="F196" s="139"/>
      <c r="G196" s="139"/>
      <c r="I196" s="140"/>
    </row>
    <row r="197" ht="15" customHeight="1" spans="1:9" x14ac:dyDescent="0.25">
      <c r="A197" s="135"/>
      <c r="B197" s="137"/>
      <c r="C197" s="137"/>
      <c r="D197" s="139"/>
      <c r="E197" s="139"/>
      <c r="F197" s="139"/>
      <c r="G197" s="139"/>
      <c r="I197" s="140"/>
    </row>
    <row r="198" ht="15" customHeight="1" spans="1:9" x14ac:dyDescent="0.25">
      <c r="A198" s="135"/>
      <c r="B198" s="137"/>
      <c r="C198" s="137"/>
      <c r="D198" s="139"/>
      <c r="E198" s="139"/>
      <c r="F198" s="139"/>
      <c r="G198" s="139"/>
      <c r="I198" s="140"/>
    </row>
    <row r="199" ht="15" customHeight="1" spans="1:9" x14ac:dyDescent="0.25">
      <c r="A199" s="135"/>
      <c r="B199" s="136"/>
      <c r="C199" s="137"/>
      <c r="D199" s="138"/>
      <c r="E199" s="138"/>
      <c r="F199" s="138"/>
      <c r="G199" s="139"/>
      <c r="I199" s="140"/>
    </row>
    <row r="200" ht="15" customHeight="1" spans="1:9" x14ac:dyDescent="0.25">
      <c r="A200" s="135"/>
      <c r="B200" s="137"/>
      <c r="C200" s="137"/>
      <c r="D200" s="139"/>
      <c r="E200" s="139"/>
      <c r="F200" s="139"/>
      <c r="G200" s="139"/>
      <c r="I200" s="140"/>
    </row>
    <row r="201" ht="15" customHeight="1" spans="1:9" x14ac:dyDescent="0.25">
      <c r="A201" s="135"/>
      <c r="B201" s="137"/>
      <c r="C201" s="137"/>
      <c r="D201" s="139"/>
      <c r="E201" s="139"/>
      <c r="F201" s="139"/>
      <c r="G201" s="139"/>
      <c r="I201" s="140"/>
    </row>
    <row r="202" ht="15" customHeight="1" spans="1:9" x14ac:dyDescent="0.25">
      <c r="A202" s="135"/>
      <c r="B202" s="137"/>
      <c r="C202" s="137"/>
      <c r="D202" s="139"/>
      <c r="E202" s="139"/>
      <c r="F202" s="139"/>
      <c r="G202" s="139"/>
      <c r="I202" s="140"/>
    </row>
    <row r="203" ht="15" customHeight="1" spans="1:9" x14ac:dyDescent="0.25">
      <c r="A203" s="135"/>
      <c r="B203" s="137"/>
      <c r="C203" s="137"/>
      <c r="D203" s="139"/>
      <c r="E203" s="139"/>
      <c r="F203" s="139"/>
      <c r="G203" s="139"/>
      <c r="I203" s="140"/>
    </row>
    <row r="204" ht="15" customHeight="1" spans="1:9" x14ac:dyDescent="0.25">
      <c r="A204" s="135"/>
      <c r="B204" s="137"/>
      <c r="C204" s="137"/>
      <c r="D204" s="139"/>
      <c r="E204" s="139"/>
      <c r="F204" s="139"/>
      <c r="G204" s="139"/>
      <c r="I204" s="140"/>
    </row>
    <row r="205" ht="15" customHeight="1" spans="1:9" x14ac:dyDescent="0.25">
      <c r="A205" s="135"/>
      <c r="B205" s="137"/>
      <c r="C205" s="137"/>
      <c r="D205" s="139"/>
      <c r="E205" s="139"/>
      <c r="F205" s="139"/>
      <c r="G205" s="139"/>
      <c r="I205" s="140"/>
    </row>
    <row r="206" ht="15" customHeight="1" spans="1:9" x14ac:dyDescent="0.25">
      <c r="A206" s="135"/>
      <c r="B206" s="136"/>
      <c r="C206" s="137"/>
      <c r="D206" s="138"/>
      <c r="E206" s="138"/>
      <c r="F206" s="138"/>
      <c r="G206" s="139"/>
      <c r="I206" s="140"/>
    </row>
    <row r="207" ht="15" customHeight="1" spans="1:9" x14ac:dyDescent="0.25">
      <c r="A207" s="135"/>
      <c r="B207" s="137"/>
      <c r="C207" s="137"/>
      <c r="D207" s="139"/>
      <c r="E207" s="139"/>
      <c r="F207" s="139"/>
      <c r="G207" s="139"/>
      <c r="I207" s="140"/>
    </row>
    <row r="208" ht="15" customHeight="1" spans="1:9" x14ac:dyDescent="0.25">
      <c r="A208" s="135"/>
      <c r="B208" s="136"/>
      <c r="C208" s="137"/>
      <c r="D208" s="138"/>
      <c r="E208" s="138"/>
      <c r="F208" s="138"/>
      <c r="G208" s="139"/>
      <c r="I208" s="140"/>
    </row>
    <row r="209" ht="15" customHeight="1" spans="1:9" x14ac:dyDescent="0.25">
      <c r="A209" s="135"/>
      <c r="B209" s="136"/>
      <c r="C209" s="137"/>
      <c r="D209" s="138"/>
      <c r="E209" s="138"/>
      <c r="F209" s="138"/>
      <c r="G209" s="139"/>
      <c r="I209" s="140"/>
    </row>
    <row r="210" ht="15" customHeight="1" spans="1:9" x14ac:dyDescent="0.25">
      <c r="A210" s="135"/>
      <c r="B210" s="137"/>
      <c r="C210" s="137"/>
      <c r="D210" s="139"/>
      <c r="E210" s="139"/>
      <c r="F210" s="139"/>
      <c r="G210" s="139"/>
      <c r="I210" s="140"/>
    </row>
    <row r="211" ht="15" customHeight="1" spans="1:9" x14ac:dyDescent="0.25">
      <c r="A211" s="135"/>
      <c r="B211" s="136"/>
      <c r="C211" s="137"/>
      <c r="D211" s="138"/>
      <c r="E211" s="138"/>
      <c r="F211" s="138"/>
      <c r="G211" s="139"/>
      <c r="I211" s="140"/>
    </row>
    <row r="212" ht="15" customHeight="1" spans="1:9" x14ac:dyDescent="0.25">
      <c r="A212" s="135"/>
      <c r="B212" s="137"/>
      <c r="C212" s="137"/>
      <c r="D212" s="139"/>
      <c r="E212" s="139"/>
      <c r="F212" s="139"/>
      <c r="G212" s="139"/>
      <c r="I212" s="140"/>
    </row>
    <row r="213" ht="15" customHeight="1" spans="1:11" x14ac:dyDescent="0.25">
      <c r="A213" s="135"/>
      <c r="B213" s="136"/>
      <c r="C213" s="137"/>
      <c r="D213" s="138"/>
      <c r="E213" s="138"/>
      <c r="F213" s="138"/>
      <c r="G213" s="139"/>
      <c r="I213" s="140"/>
      <c r="K213" s="135">
        <v>255</v>
      </c>
    </row>
    <row r="214" ht="15" customHeight="1" spans="1:9" x14ac:dyDescent="0.25">
      <c r="A214" s="135"/>
      <c r="B214" s="137"/>
      <c r="C214" s="137"/>
      <c r="D214" s="139"/>
      <c r="E214" s="139"/>
      <c r="F214" s="139"/>
      <c r="G214" s="139"/>
      <c r="I214" s="140"/>
    </row>
    <row r="215" ht="15" customHeight="1" spans="1:9" x14ac:dyDescent="0.25">
      <c r="A215" s="135"/>
      <c r="B215" s="137"/>
      <c r="C215" s="137"/>
      <c r="D215" s="139"/>
      <c r="E215" s="139"/>
      <c r="F215" s="139"/>
      <c r="G215" s="139"/>
      <c r="I215" s="140"/>
    </row>
    <row r="216" ht="15" customHeight="1" spans="1:9" x14ac:dyDescent="0.25">
      <c r="A216" s="135"/>
      <c r="B216" s="137"/>
      <c r="C216" s="137"/>
      <c r="D216" s="139"/>
      <c r="E216" s="139"/>
      <c r="F216" s="139"/>
      <c r="G216" s="139"/>
      <c r="I216" s="140"/>
    </row>
    <row r="217" ht="15" customHeight="1" spans="1:9" x14ac:dyDescent="0.25">
      <c r="A217" s="135"/>
      <c r="B217" s="136"/>
      <c r="C217" s="137"/>
      <c r="D217" s="138"/>
      <c r="E217" s="138"/>
      <c r="F217" s="138"/>
      <c r="G217" s="139"/>
      <c r="I217" s="140"/>
    </row>
    <row r="218" ht="15" customHeight="1" spans="1:9" x14ac:dyDescent="0.25">
      <c r="A218" s="135"/>
      <c r="B218" s="137"/>
      <c r="C218" s="137"/>
      <c r="D218" s="139"/>
      <c r="E218" s="139"/>
      <c r="F218" s="139"/>
      <c r="G218" s="139"/>
      <c r="I218" s="140"/>
    </row>
    <row r="219" ht="15" customHeight="1" spans="1:9" x14ac:dyDescent="0.25">
      <c r="A219" s="135"/>
      <c r="B219" s="136"/>
      <c r="C219" s="137"/>
      <c r="D219" s="138"/>
      <c r="E219" s="138"/>
      <c r="F219" s="138"/>
      <c r="G219" s="139"/>
      <c r="I219" s="140"/>
    </row>
    <row r="220" ht="15" customHeight="1" spans="1:9" x14ac:dyDescent="0.25">
      <c r="A220" s="135"/>
      <c r="B220" s="137"/>
      <c r="C220" s="137"/>
      <c r="D220" s="139"/>
      <c r="E220" s="139"/>
      <c r="F220" s="139"/>
      <c r="G220" s="139"/>
      <c r="I220" s="140"/>
    </row>
    <row r="221" ht="15" customHeight="1" spans="1:9" x14ac:dyDescent="0.25">
      <c r="A221" s="135"/>
      <c r="B221" s="137"/>
      <c r="C221" s="137"/>
      <c r="D221" s="139"/>
      <c r="E221" s="139"/>
      <c r="F221" s="139"/>
      <c r="G221" s="139"/>
      <c r="I221" s="140"/>
    </row>
    <row r="222" ht="15" customHeight="1" spans="1:9" x14ac:dyDescent="0.25">
      <c r="A222" s="135"/>
      <c r="B222" s="137"/>
      <c r="C222" s="137"/>
      <c r="D222" s="139"/>
      <c r="E222" s="139"/>
      <c r="F222" s="139"/>
      <c r="G222" s="139"/>
      <c r="I222" s="140"/>
    </row>
    <row r="223" ht="15" customHeight="1" spans="1:9" x14ac:dyDescent="0.25">
      <c r="A223" s="135"/>
      <c r="B223" s="137"/>
      <c r="C223" s="137"/>
      <c r="D223" s="139"/>
      <c r="E223" s="139"/>
      <c r="F223" s="139"/>
      <c r="G223" s="139"/>
      <c r="I223" s="140"/>
    </row>
    <row r="224" ht="15" customHeight="1" spans="1:9" x14ac:dyDescent="0.25">
      <c r="A224" s="135"/>
      <c r="B224" s="137"/>
      <c r="C224" s="137"/>
      <c r="D224" s="139"/>
      <c r="E224" s="139"/>
      <c r="F224" s="139"/>
      <c r="G224" s="139"/>
      <c r="I224" s="140"/>
    </row>
    <row r="225" ht="15" customHeight="1" spans="1:9" x14ac:dyDescent="0.25">
      <c r="A225" s="135"/>
      <c r="B225" s="137"/>
      <c r="C225" s="137"/>
      <c r="D225" s="139"/>
      <c r="E225" s="139"/>
      <c r="F225" s="139"/>
      <c r="G225" s="139"/>
      <c r="I225" s="140"/>
    </row>
    <row r="226" ht="15" customHeight="1" spans="1:9" x14ac:dyDescent="0.25">
      <c r="A226" s="135"/>
      <c r="B226" s="137"/>
      <c r="C226" s="137"/>
      <c r="D226" s="139"/>
      <c r="E226" s="139"/>
      <c r="F226" s="139"/>
      <c r="G226" s="139"/>
      <c r="I226" s="140"/>
    </row>
    <row r="227" ht="15" customHeight="1" spans="1:9" x14ac:dyDescent="0.25">
      <c r="A227" s="135"/>
      <c r="B227" s="137"/>
      <c r="C227" s="137"/>
      <c r="D227" s="139"/>
      <c r="E227" s="139"/>
      <c r="F227" s="139"/>
      <c r="G227" s="139"/>
      <c r="I227" s="140"/>
    </row>
    <row r="228" ht="15" customHeight="1" spans="1:9" x14ac:dyDescent="0.25">
      <c r="A228" s="147"/>
      <c r="B228" s="137"/>
      <c r="C228" s="137"/>
      <c r="D228" s="139"/>
      <c r="E228" s="139"/>
      <c r="F228" s="139"/>
      <c r="G228" s="139"/>
      <c r="H228" s="137"/>
      <c r="I228" s="140"/>
    </row>
    <row r="229" ht="15" customHeight="1" spans="1:9" x14ac:dyDescent="0.25">
      <c r="A229" s="135"/>
      <c r="B229" s="137"/>
      <c r="C229" s="137"/>
      <c r="D229" s="139"/>
      <c r="E229" s="139"/>
      <c r="F229" s="139"/>
      <c r="G229" s="139"/>
      <c r="I229" s="140"/>
    </row>
    <row r="230" ht="15" customHeight="1" spans="1:9" x14ac:dyDescent="0.25">
      <c r="A230" s="135"/>
      <c r="B230" s="137"/>
      <c r="C230" s="137"/>
      <c r="D230" s="139"/>
      <c r="E230" s="139"/>
      <c r="F230" s="139"/>
      <c r="G230" s="139"/>
      <c r="I230" s="140"/>
    </row>
    <row r="231" ht="15" customHeight="1" spans="1:9" x14ac:dyDescent="0.25">
      <c r="A231" s="135"/>
      <c r="B231" s="136"/>
      <c r="C231" s="137"/>
      <c r="D231" s="138"/>
      <c r="E231" s="138"/>
      <c r="F231" s="138"/>
      <c r="G231" s="139"/>
      <c r="I231" s="140"/>
    </row>
    <row r="232" ht="15" customHeight="1" spans="1:9" x14ac:dyDescent="0.25">
      <c r="A232" s="135"/>
      <c r="B232" s="137"/>
      <c r="C232" s="137"/>
      <c r="D232" s="139"/>
      <c r="E232" s="139"/>
      <c r="F232" s="139"/>
      <c r="G232" s="139"/>
      <c r="I232" s="140"/>
    </row>
    <row r="233" ht="15" customHeight="1" spans="1:9" x14ac:dyDescent="0.25">
      <c r="A233" s="135"/>
      <c r="B233" s="137"/>
      <c r="C233" s="137"/>
      <c r="D233" s="139"/>
      <c r="E233" s="139"/>
      <c r="F233" s="139"/>
      <c r="G233" s="139"/>
      <c r="I233" s="140"/>
    </row>
    <row r="234" ht="15" customHeight="1" spans="1:9" x14ac:dyDescent="0.25">
      <c r="A234" s="135"/>
      <c r="B234" s="137"/>
      <c r="C234" s="137"/>
      <c r="D234" s="139"/>
      <c r="E234" s="139"/>
      <c r="F234" s="139"/>
      <c r="G234" s="139"/>
      <c r="I234" s="140"/>
    </row>
    <row r="235" ht="15" customHeight="1" spans="1:9" x14ac:dyDescent="0.25">
      <c r="A235" s="135"/>
      <c r="B235" s="137"/>
      <c r="C235" s="137"/>
      <c r="D235" s="139"/>
      <c r="E235" s="139"/>
      <c r="F235" s="139"/>
      <c r="G235" s="139"/>
      <c r="I235" s="140"/>
    </row>
    <row r="236" ht="15" customHeight="1" spans="1:9" x14ac:dyDescent="0.25">
      <c r="A236" s="135"/>
      <c r="B236" s="137"/>
      <c r="C236" s="137"/>
      <c r="D236" s="139"/>
      <c r="E236" s="139"/>
      <c r="F236" s="139"/>
      <c r="G236" s="139"/>
      <c r="I236" s="140"/>
    </row>
    <row r="237" ht="15" customHeight="1" spans="1:9" x14ac:dyDescent="0.25">
      <c r="A237" s="135"/>
      <c r="B237" s="137"/>
      <c r="C237" s="137"/>
      <c r="D237" s="139"/>
      <c r="E237" s="139"/>
      <c r="F237" s="139"/>
      <c r="G237" s="139"/>
      <c r="I237" s="140"/>
    </row>
    <row r="238" ht="15" customHeight="1" spans="1:9" x14ac:dyDescent="0.25">
      <c r="A238" s="135"/>
      <c r="B238" s="137"/>
      <c r="C238" s="137"/>
      <c r="D238" s="139"/>
      <c r="E238" s="139"/>
      <c r="F238" s="139"/>
      <c r="G238" s="139"/>
      <c r="I238" s="140"/>
    </row>
    <row r="239" ht="15" customHeight="1" spans="1:9" x14ac:dyDescent="0.25">
      <c r="A239" s="135"/>
      <c r="B239" s="137"/>
      <c r="C239" s="137"/>
      <c r="D239" s="139"/>
      <c r="E239" s="139"/>
      <c r="F239" s="139"/>
      <c r="G239" s="139"/>
      <c r="I239" s="140"/>
    </row>
    <row r="240" ht="15" customHeight="1" spans="1:9" x14ac:dyDescent="0.25">
      <c r="A240" s="135"/>
      <c r="B240" s="137"/>
      <c r="C240" s="137"/>
      <c r="D240" s="139"/>
      <c r="E240" s="139"/>
      <c r="F240" s="139"/>
      <c r="G240" s="139"/>
      <c r="I240" s="140"/>
    </row>
    <row r="241" ht="15" customHeight="1" spans="1:9" x14ac:dyDescent="0.25">
      <c r="A241" s="135"/>
      <c r="B241" s="137"/>
      <c r="C241" s="137"/>
      <c r="D241" s="139"/>
      <c r="E241" s="139"/>
      <c r="F241" s="139"/>
      <c r="G241" s="139"/>
      <c r="I241" s="140"/>
    </row>
    <row r="242" ht="15" customHeight="1" spans="1:9" x14ac:dyDescent="0.25">
      <c r="A242" s="135"/>
      <c r="B242" s="137"/>
      <c r="C242" s="137"/>
      <c r="D242" s="139"/>
      <c r="E242" s="139"/>
      <c r="F242" s="139"/>
      <c r="G242" s="139"/>
      <c r="I242" s="140"/>
    </row>
    <row r="243" ht="15" customHeight="1" spans="1:9" x14ac:dyDescent="0.25">
      <c r="A243" s="135"/>
      <c r="B243" s="137"/>
      <c r="C243" s="137"/>
      <c r="D243" s="139"/>
      <c r="E243" s="139"/>
      <c r="F243" s="139"/>
      <c r="G243" s="139"/>
      <c r="I243" s="140"/>
    </row>
    <row r="244" ht="15" customHeight="1" spans="1:9" x14ac:dyDescent="0.25">
      <c r="A244" s="135"/>
      <c r="B244" s="137"/>
      <c r="C244" s="137"/>
      <c r="D244" s="139"/>
      <c r="E244" s="139"/>
      <c r="F244" s="139"/>
      <c r="G244" s="139"/>
      <c r="H244" s="137" t="s">
        <v>187</v>
      </c>
      <c r="I244" s="140"/>
    </row>
    <row r="245" ht="15" customHeight="1" spans="1:9" x14ac:dyDescent="0.25">
      <c r="A245" s="135"/>
      <c r="B245" s="137"/>
      <c r="C245" s="137"/>
      <c r="D245" s="139"/>
      <c r="E245" s="139"/>
      <c r="F245" s="139"/>
      <c r="G245" s="139"/>
      <c r="I245" s="140"/>
    </row>
    <row r="246" ht="15" customHeight="1" spans="1:9" x14ac:dyDescent="0.25">
      <c r="A246" s="135"/>
      <c r="B246" s="137"/>
      <c r="C246" s="137"/>
      <c r="D246" s="139"/>
      <c r="E246" s="139"/>
      <c r="F246" s="139"/>
      <c r="G246" s="139"/>
      <c r="I246" s="140"/>
    </row>
    <row r="247" ht="15" customHeight="1" spans="1:9" x14ac:dyDescent="0.25">
      <c r="A247" s="135"/>
      <c r="B247" s="137"/>
      <c r="C247" s="137"/>
      <c r="D247" s="139"/>
      <c r="E247" s="139"/>
      <c r="F247" s="139"/>
      <c r="G247" s="139"/>
      <c r="I247" s="140"/>
    </row>
    <row r="248" ht="15" customHeight="1" spans="1:9" x14ac:dyDescent="0.25">
      <c r="A248" s="135"/>
      <c r="B248" s="136"/>
      <c r="C248" s="137"/>
      <c r="D248" s="138"/>
      <c r="E248" s="138"/>
      <c r="F248" s="138"/>
      <c r="G248" s="139"/>
      <c r="I248" s="140"/>
    </row>
    <row r="249" ht="15" customHeight="1" spans="1:9" x14ac:dyDescent="0.25">
      <c r="A249" s="135"/>
      <c r="B249" s="137"/>
      <c r="C249" s="137"/>
      <c r="D249" s="139"/>
      <c r="E249" s="139"/>
      <c r="F249" s="139"/>
      <c r="G249" s="139"/>
      <c r="I249" s="140"/>
    </row>
    <row r="250" ht="15" customHeight="1" spans="1:9" x14ac:dyDescent="0.25">
      <c r="A250" s="135"/>
      <c r="B250" s="136"/>
      <c r="C250" s="137"/>
      <c r="D250" s="138"/>
      <c r="E250" s="138"/>
      <c r="F250" s="138"/>
      <c r="G250" s="139"/>
      <c r="I250" s="140"/>
    </row>
    <row r="251" ht="15" customHeight="1" spans="1:9" x14ac:dyDescent="0.25">
      <c r="A251" s="135"/>
      <c r="B251" s="137"/>
      <c r="C251" s="137"/>
      <c r="D251" s="139"/>
      <c r="E251" s="139"/>
      <c r="F251" s="139"/>
      <c r="G251" s="139"/>
      <c r="H251" s="137" t="s">
        <v>188</v>
      </c>
      <c r="I251" s="140"/>
    </row>
    <row r="252" ht="15" customHeight="1" spans="1:9" x14ac:dyDescent="0.25">
      <c r="A252" s="135"/>
      <c r="B252" s="137"/>
      <c r="C252" s="137"/>
      <c r="D252" s="139"/>
      <c r="E252" s="139"/>
      <c r="F252" s="139"/>
      <c r="G252" s="139"/>
      <c r="I252" s="140"/>
    </row>
    <row r="253" ht="15" customHeight="1" spans="1:9" x14ac:dyDescent="0.25">
      <c r="A253" s="147"/>
      <c r="B253" s="137"/>
      <c r="C253" s="137"/>
      <c r="D253" s="139"/>
      <c r="E253" s="139"/>
      <c r="F253" s="139"/>
      <c r="G253" s="139"/>
      <c r="H253" s="137"/>
      <c r="I253" s="140"/>
    </row>
    <row r="254" ht="15" customHeight="1" spans="1:9" x14ac:dyDescent="0.25">
      <c r="A254" s="135"/>
      <c r="B254" s="137"/>
      <c r="C254" s="137"/>
      <c r="D254" s="139"/>
      <c r="E254" s="139"/>
      <c r="F254" s="139"/>
      <c r="G254" s="139"/>
      <c r="I254" s="140"/>
    </row>
    <row r="255" ht="15" customHeight="1" spans="1:9" x14ac:dyDescent="0.25">
      <c r="A255" s="135"/>
      <c r="B255" s="137"/>
      <c r="C255" s="137"/>
      <c r="D255" s="139"/>
      <c r="E255" s="139"/>
      <c r="F255" s="139"/>
      <c r="G255" s="139"/>
      <c r="I255" s="140"/>
    </row>
    <row r="256" ht="15" customHeight="1" spans="1:9" x14ac:dyDescent="0.25">
      <c r="A256" s="135"/>
      <c r="B256" s="137"/>
      <c r="C256" s="137"/>
      <c r="D256" s="139"/>
      <c r="E256" s="139"/>
      <c r="F256" s="139"/>
      <c r="G256" s="139"/>
      <c r="H256" s="137" t="s">
        <v>187</v>
      </c>
      <c r="I256" s="140"/>
    </row>
    <row r="257" ht="15" customHeight="1" spans="1:9" x14ac:dyDescent="0.25">
      <c r="A257" s="135"/>
      <c r="B257" s="137"/>
      <c r="C257" s="137"/>
      <c r="D257" s="139"/>
      <c r="E257" s="139"/>
      <c r="F257" s="139"/>
      <c r="G257" s="139"/>
      <c r="I257" s="140"/>
    </row>
    <row r="258" ht="15" customHeight="1" spans="1:9" x14ac:dyDescent="0.25">
      <c r="A258" s="135"/>
      <c r="B258" s="137"/>
      <c r="C258" s="137"/>
      <c r="D258" s="139"/>
      <c r="E258" s="139"/>
      <c r="F258" s="139"/>
      <c r="G258" s="139"/>
      <c r="I258" s="140"/>
    </row>
    <row r="259" ht="15" customHeight="1" spans="1:9" x14ac:dyDescent="0.25">
      <c r="A259" s="135"/>
      <c r="B259" s="137"/>
      <c r="C259" s="137"/>
      <c r="D259" s="139"/>
      <c r="E259" s="139"/>
      <c r="F259" s="139"/>
      <c r="G259" s="139"/>
      <c r="I259" s="140"/>
    </row>
    <row r="260" ht="15" customHeight="1" spans="1:9" x14ac:dyDescent="0.25">
      <c r="A260" s="135"/>
      <c r="B260" s="136"/>
      <c r="C260" s="137"/>
      <c r="D260" s="138"/>
      <c r="E260" s="138"/>
      <c r="F260" s="138"/>
      <c r="G260" s="139"/>
      <c r="I260" s="140"/>
    </row>
    <row r="261" ht="15" customHeight="1" spans="1:9" x14ac:dyDescent="0.25">
      <c r="A261" s="135"/>
      <c r="B261" s="137"/>
      <c r="C261" s="137"/>
      <c r="D261" s="139"/>
      <c r="E261" s="139"/>
      <c r="F261" s="139"/>
      <c r="G261" s="139"/>
      <c r="I261" s="140"/>
    </row>
    <row r="262" ht="15" customHeight="1" spans="1:9" x14ac:dyDescent="0.25">
      <c r="A262" s="135"/>
      <c r="B262" s="137"/>
      <c r="C262" s="137"/>
      <c r="D262" s="139"/>
      <c r="E262" s="139"/>
      <c r="F262" s="139"/>
      <c r="G262" s="139"/>
      <c r="I262" s="140"/>
    </row>
    <row r="263" ht="15" customHeight="1" spans="1:9" x14ac:dyDescent="0.25">
      <c r="A263" s="135"/>
      <c r="B263" s="137"/>
      <c r="C263" s="137"/>
      <c r="D263" s="139"/>
      <c r="E263" s="139"/>
      <c r="F263" s="139"/>
      <c r="G263" s="139"/>
      <c r="I263" s="140"/>
    </row>
    <row r="264" ht="15" customHeight="1" spans="1:9" x14ac:dyDescent="0.25">
      <c r="A264" s="135"/>
      <c r="B264" s="137"/>
      <c r="C264" s="137"/>
      <c r="D264" s="139"/>
      <c r="E264" s="139"/>
      <c r="F264" s="139"/>
      <c r="G264" s="139"/>
      <c r="I264" s="140"/>
    </row>
    <row r="265" ht="15" customHeight="1" spans="1:9" x14ac:dyDescent="0.25">
      <c r="A265" s="135"/>
      <c r="B265" s="137"/>
      <c r="C265" s="137"/>
      <c r="D265" s="139"/>
      <c r="E265" s="139"/>
      <c r="F265" s="139"/>
      <c r="G265" s="139"/>
      <c r="I265" s="140"/>
    </row>
    <row r="266" ht="15" customHeight="1" spans="1:9" x14ac:dyDescent="0.25">
      <c r="A266" s="135"/>
      <c r="B266" s="137"/>
      <c r="C266" s="137"/>
      <c r="D266" s="139"/>
      <c r="E266" s="139"/>
      <c r="F266" s="139"/>
      <c r="G266" s="139"/>
      <c r="I266" s="140"/>
    </row>
    <row r="267" ht="15" customHeight="1" spans="1:9" x14ac:dyDescent="0.25">
      <c r="A267" s="135"/>
      <c r="B267" s="137"/>
      <c r="C267" s="137"/>
      <c r="D267" s="139"/>
      <c r="E267" s="139"/>
      <c r="F267" s="139"/>
      <c r="G267" s="139"/>
      <c r="I267" s="140"/>
    </row>
    <row r="268" ht="15" customHeight="1" spans="1:9" x14ac:dyDescent="0.25">
      <c r="A268" s="135"/>
      <c r="B268" s="137"/>
      <c r="C268" s="137"/>
      <c r="D268" s="139"/>
      <c r="E268" s="139"/>
      <c r="F268" s="139"/>
      <c r="G268" s="139"/>
      <c r="I268" s="140"/>
    </row>
    <row r="269" ht="15" customHeight="1" spans="1:9" x14ac:dyDescent="0.25">
      <c r="A269" s="135"/>
      <c r="B269" s="137"/>
      <c r="C269" s="137"/>
      <c r="D269" s="139"/>
      <c r="E269" s="139"/>
      <c r="F269" s="139"/>
      <c r="G269" s="139"/>
      <c r="I269" s="140"/>
    </row>
    <row r="270" ht="15" customHeight="1" spans="1:9" x14ac:dyDescent="0.25">
      <c r="A270" s="135"/>
      <c r="B270" s="136"/>
      <c r="C270" s="137"/>
      <c r="D270" s="138"/>
      <c r="E270" s="138"/>
      <c r="F270" s="138"/>
      <c r="G270" s="139"/>
      <c r="I270" s="140"/>
    </row>
    <row r="271" ht="15" customHeight="1" spans="1:9" x14ac:dyDescent="0.25">
      <c r="A271" s="135"/>
      <c r="B271" s="137"/>
      <c r="C271" s="137"/>
      <c r="D271" s="139"/>
      <c r="E271" s="139"/>
      <c r="F271" s="139"/>
      <c r="G271" s="139"/>
      <c r="I271" s="140"/>
    </row>
    <row r="272" ht="15" customHeight="1" spans="1:9" x14ac:dyDescent="0.25">
      <c r="A272" s="135"/>
      <c r="B272" s="137"/>
      <c r="C272" s="137"/>
      <c r="D272" s="139"/>
      <c r="E272" s="139"/>
      <c r="F272" s="139"/>
      <c r="G272" s="139"/>
      <c r="I272" s="140"/>
    </row>
    <row r="273" ht="15" customHeight="1" spans="1:9" x14ac:dyDescent="0.25">
      <c r="A273" s="135"/>
      <c r="B273" s="136"/>
      <c r="C273" s="137"/>
      <c r="D273" s="138"/>
      <c r="E273" s="138"/>
      <c r="F273" s="138"/>
      <c r="G273" s="139"/>
      <c r="I273" s="140"/>
    </row>
    <row r="274" ht="15" customHeight="1" spans="1:9" x14ac:dyDescent="0.25">
      <c r="A274" s="135"/>
      <c r="B274" s="137"/>
      <c r="C274" s="137"/>
      <c r="D274" s="139"/>
      <c r="E274" s="139"/>
      <c r="F274" s="139"/>
      <c r="G274" s="139"/>
      <c r="I274" s="140"/>
    </row>
    <row r="275" ht="15" customHeight="1" spans="1:9" x14ac:dyDescent="0.25">
      <c r="A275" s="135"/>
      <c r="B275" s="137"/>
      <c r="C275" s="137"/>
      <c r="D275" s="139"/>
      <c r="E275" s="139"/>
      <c r="F275" s="139"/>
      <c r="G275" s="139"/>
      <c r="I275" s="140"/>
    </row>
    <row r="276" ht="15" customHeight="1" spans="1:9" x14ac:dyDescent="0.25">
      <c r="A276" s="135"/>
      <c r="B276" s="137"/>
      <c r="C276" s="137"/>
      <c r="D276" s="139"/>
      <c r="E276" s="139"/>
      <c r="F276" s="139"/>
      <c r="G276" s="139"/>
      <c r="I276" s="140"/>
    </row>
    <row r="277" ht="15" customHeight="1" spans="1:9" x14ac:dyDescent="0.25">
      <c r="A277" s="135"/>
      <c r="B277" s="137"/>
      <c r="C277" s="137"/>
      <c r="D277" s="139"/>
      <c r="E277" s="139"/>
      <c r="F277" s="139"/>
      <c r="G277" s="139"/>
      <c r="I277" s="140"/>
    </row>
    <row r="278" ht="15" customHeight="1" spans="1:9" x14ac:dyDescent="0.25">
      <c r="A278" s="135"/>
      <c r="B278" s="137"/>
      <c r="C278" s="137"/>
      <c r="D278" s="139"/>
      <c r="E278" s="139"/>
      <c r="F278" s="139"/>
      <c r="G278" s="139"/>
      <c r="I278" s="140"/>
    </row>
    <row r="279" ht="15" customHeight="1" spans="1:9" x14ac:dyDescent="0.25">
      <c r="A279" s="135"/>
      <c r="B279" s="137"/>
      <c r="C279" s="137"/>
      <c r="D279" s="139"/>
      <c r="E279" s="139"/>
      <c r="F279" s="139"/>
      <c r="G279" s="139"/>
      <c r="I279" s="140"/>
    </row>
    <row r="280" ht="15" customHeight="1" spans="1:9" x14ac:dyDescent="0.25">
      <c r="A280" s="135"/>
      <c r="B280" s="137"/>
      <c r="C280" s="137"/>
      <c r="D280" s="139"/>
      <c r="E280" s="139"/>
      <c r="F280" s="139"/>
      <c r="G280" s="139"/>
      <c r="I280" s="140"/>
    </row>
    <row r="281" ht="15" customHeight="1" spans="1:9" x14ac:dyDescent="0.25">
      <c r="A281" s="135"/>
      <c r="B281" s="137"/>
      <c r="C281" s="137"/>
      <c r="D281" s="139"/>
      <c r="E281" s="139"/>
      <c r="F281" s="139"/>
      <c r="G281" s="139"/>
      <c r="I281" s="140"/>
    </row>
    <row r="282" ht="15" customHeight="1" spans="1:9" x14ac:dyDescent="0.25">
      <c r="A282" s="135"/>
      <c r="B282" s="137"/>
      <c r="C282" s="137"/>
      <c r="D282" s="139"/>
      <c r="E282" s="139"/>
      <c r="F282" s="139"/>
      <c r="G282" s="139"/>
      <c r="I282" s="140"/>
    </row>
    <row r="283" ht="15" customHeight="1" spans="1:9" x14ac:dyDescent="0.25">
      <c r="A283" s="135"/>
      <c r="B283" s="137"/>
      <c r="C283" s="137"/>
      <c r="D283" s="139"/>
      <c r="E283" s="139"/>
      <c r="F283" s="139"/>
      <c r="G283" s="139"/>
      <c r="I283" s="140"/>
    </row>
    <row r="284" ht="15" customHeight="1" spans="1:9" x14ac:dyDescent="0.25">
      <c r="A284" s="135"/>
      <c r="B284" s="137"/>
      <c r="C284" s="137"/>
      <c r="D284" s="139"/>
      <c r="E284" s="139"/>
      <c r="F284" s="139"/>
      <c r="G284" s="139"/>
      <c r="I284" s="140"/>
    </row>
    <row r="285" ht="15" customHeight="1" spans="1:9" x14ac:dyDescent="0.25">
      <c r="A285" s="135"/>
      <c r="B285" s="137"/>
      <c r="C285" s="137"/>
      <c r="D285" s="139"/>
      <c r="E285" s="139"/>
      <c r="F285" s="139"/>
      <c r="G285" s="139"/>
      <c r="I285" s="140"/>
    </row>
    <row r="286" ht="15" customHeight="1" spans="1:9" x14ac:dyDescent="0.25">
      <c r="A286" s="135"/>
      <c r="B286" s="137"/>
      <c r="C286" s="137"/>
      <c r="D286" s="139"/>
      <c r="E286" s="139"/>
      <c r="F286" s="139"/>
      <c r="G286" s="139"/>
      <c r="I286" s="140"/>
    </row>
    <row r="287" ht="15" customHeight="1" spans="1:9" x14ac:dyDescent="0.25">
      <c r="A287" s="135"/>
      <c r="B287" s="136"/>
      <c r="C287" s="137"/>
      <c r="D287" s="138"/>
      <c r="E287" s="138"/>
      <c r="F287" s="138"/>
      <c r="G287" s="139"/>
      <c r="I287" s="140"/>
    </row>
    <row r="288" ht="15" customHeight="1" spans="1:9" x14ac:dyDescent="0.25">
      <c r="A288" s="135"/>
      <c r="B288" s="136"/>
      <c r="C288" s="137"/>
      <c r="D288" s="138"/>
      <c r="E288" s="138"/>
      <c r="F288" s="138"/>
      <c r="G288" s="139"/>
      <c r="I288" s="140"/>
    </row>
    <row r="289" ht="15" customHeight="1" spans="1:9" x14ac:dyDescent="0.25">
      <c r="A289" s="135"/>
      <c r="B289" s="137"/>
      <c r="C289" s="137"/>
      <c r="D289" s="139"/>
      <c r="E289" s="139"/>
      <c r="F289" s="139"/>
      <c r="G289" s="139"/>
      <c r="I289" s="140"/>
    </row>
    <row r="290" ht="15" customHeight="1" spans="1:14" x14ac:dyDescent="0.25">
      <c r="A290" s="135"/>
      <c r="B290" s="137"/>
      <c r="C290" s="137"/>
      <c r="D290" s="139"/>
      <c r="E290" s="139"/>
      <c r="F290" s="139"/>
      <c r="G290" s="139"/>
      <c r="I290" s="140"/>
      <c r="J290" s="123"/>
      <c r="K290" s="145"/>
      <c r="L290" s="145"/>
      <c r="M290" s="145"/>
      <c r="N290" s="146"/>
    </row>
    <row r="291" ht="15" customHeight="1" spans="1:9" x14ac:dyDescent="0.25">
      <c r="A291" s="135"/>
      <c r="B291" s="136"/>
      <c r="C291" s="137"/>
      <c r="D291" s="138"/>
      <c r="E291" s="138"/>
      <c r="F291" s="138"/>
      <c r="G291" s="139"/>
      <c r="I291" s="140"/>
    </row>
    <row r="292" ht="15" customHeight="1" spans="1:9" x14ac:dyDescent="0.25">
      <c r="A292" s="135"/>
      <c r="B292" s="137"/>
      <c r="C292" s="137"/>
      <c r="D292" s="139"/>
      <c r="E292" s="139"/>
      <c r="F292" s="139"/>
      <c r="G292" s="139"/>
      <c r="I292" s="140"/>
    </row>
    <row r="293" ht="15" customHeight="1" spans="1:9" x14ac:dyDescent="0.25">
      <c r="A293" s="135"/>
      <c r="B293" s="137"/>
      <c r="C293" s="137"/>
      <c r="D293" s="139"/>
      <c r="E293" s="139"/>
      <c r="F293" s="139"/>
      <c r="G293" s="139"/>
      <c r="I293" s="140"/>
    </row>
    <row r="294" ht="15" customHeight="1" spans="1:9" x14ac:dyDescent="0.25">
      <c r="A294" s="135"/>
      <c r="B294" s="137"/>
      <c r="C294" s="137"/>
      <c r="D294" s="139"/>
      <c r="E294" s="139"/>
      <c r="F294" s="139"/>
      <c r="G294" s="139"/>
      <c r="I294" s="140"/>
    </row>
    <row r="295" ht="15" customHeight="1" spans="1:9" x14ac:dyDescent="0.25">
      <c r="A295" s="135"/>
      <c r="B295" s="137"/>
      <c r="C295" s="137"/>
      <c r="D295" s="139"/>
      <c r="E295" s="139"/>
      <c r="F295" s="139"/>
      <c r="G295" s="139"/>
      <c r="I295" s="140"/>
    </row>
    <row r="296" ht="15" customHeight="1" spans="1:9" x14ac:dyDescent="0.25">
      <c r="A296" s="135"/>
      <c r="B296" s="137"/>
      <c r="C296" s="137"/>
      <c r="D296" s="139"/>
      <c r="E296" s="139"/>
      <c r="F296" s="139"/>
      <c r="G296" s="139"/>
      <c r="I296" s="140"/>
    </row>
    <row r="297" ht="15" customHeight="1" spans="1:9" x14ac:dyDescent="0.25">
      <c r="A297" s="135"/>
      <c r="B297" s="137"/>
      <c r="C297" s="137"/>
      <c r="D297" s="139"/>
      <c r="E297" s="139"/>
      <c r="F297" s="139"/>
      <c r="G297" s="139"/>
      <c r="I297" s="140"/>
    </row>
    <row r="298" ht="15" customHeight="1" spans="1:9" x14ac:dyDescent="0.25">
      <c r="A298" s="135"/>
      <c r="B298" s="137"/>
      <c r="C298" s="137"/>
      <c r="D298" s="139"/>
      <c r="E298" s="139"/>
      <c r="F298" s="139"/>
      <c r="G298" s="139"/>
      <c r="I298" s="140"/>
    </row>
    <row r="299" ht="15" customHeight="1" spans="1:9" x14ac:dyDescent="0.25">
      <c r="A299" s="135"/>
      <c r="B299" s="137"/>
      <c r="C299" s="137"/>
      <c r="D299" s="139"/>
      <c r="E299" s="139"/>
      <c r="F299" s="139"/>
      <c r="G299" s="139"/>
      <c r="I299" s="140"/>
    </row>
    <row r="300" ht="15" customHeight="1" spans="1:9" x14ac:dyDescent="0.25">
      <c r="A300" s="135"/>
      <c r="B300" s="137"/>
      <c r="C300" s="137"/>
      <c r="D300" s="139"/>
      <c r="E300" s="139"/>
      <c r="F300" s="139"/>
      <c r="G300" s="139"/>
      <c r="I300" s="140"/>
    </row>
    <row r="301" ht="15" customHeight="1" spans="1:9" x14ac:dyDescent="0.25">
      <c r="A301" s="135"/>
      <c r="B301" s="137"/>
      <c r="C301" s="137"/>
      <c r="D301" s="139"/>
      <c r="E301" s="139"/>
      <c r="F301" s="139"/>
      <c r="G301" s="139"/>
      <c r="I301" s="140"/>
    </row>
    <row r="302" ht="15" customHeight="1" spans="1:9" x14ac:dyDescent="0.25">
      <c r="A302" s="135"/>
      <c r="B302" s="137"/>
      <c r="C302" s="137"/>
      <c r="D302" s="139"/>
      <c r="E302" s="139"/>
      <c r="F302" s="139"/>
      <c r="G302" s="139"/>
      <c r="I302" s="140"/>
    </row>
    <row r="303" ht="15" customHeight="1" spans="1:9" x14ac:dyDescent="0.25">
      <c r="A303" s="135"/>
      <c r="B303" s="137"/>
      <c r="C303" s="137"/>
      <c r="D303" s="139"/>
      <c r="E303" s="139"/>
      <c r="F303" s="139"/>
      <c r="G303" s="139"/>
      <c r="I303" s="140"/>
    </row>
    <row r="304" ht="15" customHeight="1" spans="1:9" x14ac:dyDescent="0.25">
      <c r="A304" s="135"/>
      <c r="B304" s="137"/>
      <c r="C304" s="137"/>
      <c r="D304" s="139"/>
      <c r="E304" s="139"/>
      <c r="F304" s="139"/>
      <c r="G304" s="139"/>
      <c r="I304" s="140"/>
    </row>
    <row r="305" ht="15" customHeight="1" spans="1:9" x14ac:dyDescent="0.25">
      <c r="A305" s="135"/>
      <c r="B305" s="137"/>
      <c r="C305" s="137"/>
      <c r="D305" s="139"/>
      <c r="E305" s="139"/>
      <c r="F305" s="139"/>
      <c r="G305" s="139"/>
      <c r="I305" s="140"/>
    </row>
    <row r="306" ht="15" customHeight="1" spans="1:9" x14ac:dyDescent="0.25">
      <c r="A306" s="135"/>
      <c r="B306" s="136"/>
      <c r="C306" s="137"/>
      <c r="D306" s="138"/>
      <c r="E306" s="138"/>
      <c r="F306" s="138"/>
      <c r="G306" s="139"/>
      <c r="I306" s="140"/>
    </row>
    <row r="307" ht="15" customHeight="1" spans="1:9" x14ac:dyDescent="0.25">
      <c r="A307" s="135"/>
      <c r="B307" s="137"/>
      <c r="C307" s="137"/>
      <c r="D307" s="139"/>
      <c r="E307" s="139"/>
      <c r="F307" s="139"/>
      <c r="G307" s="139"/>
      <c r="I307" s="140"/>
    </row>
    <row r="308" ht="15" customHeight="1" spans="1:9" x14ac:dyDescent="0.25">
      <c r="A308" s="135"/>
      <c r="B308" s="136"/>
      <c r="C308" s="137"/>
      <c r="D308" s="138"/>
      <c r="E308" s="138"/>
      <c r="F308" s="138"/>
      <c r="G308" s="139"/>
      <c r="I308" s="140"/>
    </row>
    <row r="309" ht="15" customHeight="1" spans="1:9" x14ac:dyDescent="0.25">
      <c r="A309" s="135"/>
      <c r="B309" s="136"/>
      <c r="C309" s="137"/>
      <c r="D309" s="138"/>
      <c r="E309" s="138"/>
      <c r="F309" s="138"/>
      <c r="G309" s="139"/>
      <c r="I309" s="140"/>
    </row>
    <row r="310" ht="15" customHeight="1" spans="1:9" x14ac:dyDescent="0.25">
      <c r="A310" s="135"/>
      <c r="B310" s="137"/>
      <c r="C310" s="137"/>
      <c r="D310" s="139"/>
      <c r="E310" s="139"/>
      <c r="F310" s="139"/>
      <c r="G310" s="139"/>
      <c r="I310" s="140"/>
    </row>
    <row r="311" ht="15" customHeight="1" spans="1:9" x14ac:dyDescent="0.25">
      <c r="A311" s="135"/>
      <c r="B311" s="137"/>
      <c r="C311" s="137"/>
      <c r="D311" s="139"/>
      <c r="E311" s="139"/>
      <c r="F311" s="139"/>
      <c r="G311" s="139"/>
      <c r="I311" s="140"/>
    </row>
    <row r="312" ht="15" customHeight="1" spans="1:9" x14ac:dyDescent="0.25">
      <c r="A312" s="135"/>
      <c r="B312" s="137"/>
      <c r="C312" s="137"/>
      <c r="D312" s="139"/>
      <c r="E312" s="139"/>
      <c r="F312" s="139"/>
      <c r="G312" s="139"/>
      <c r="I312" s="140"/>
    </row>
    <row r="313" ht="15" customHeight="1" spans="1:9" x14ac:dyDescent="0.25">
      <c r="A313" s="135"/>
      <c r="B313" s="137"/>
      <c r="C313" s="137"/>
      <c r="D313" s="139"/>
      <c r="E313" s="139"/>
      <c r="F313" s="139"/>
      <c r="G313" s="139"/>
      <c r="I313" s="140"/>
    </row>
    <row r="314" ht="15" customHeight="1" spans="1:9" x14ac:dyDescent="0.25">
      <c r="A314" s="135"/>
      <c r="B314" s="137"/>
      <c r="C314" s="137"/>
      <c r="D314" s="139"/>
      <c r="E314" s="139"/>
      <c r="F314" s="138"/>
      <c r="G314" s="139"/>
      <c r="I314" s="140"/>
    </row>
    <row r="315" ht="15" customHeight="1" spans="1:9" x14ac:dyDescent="0.25">
      <c r="A315" s="135"/>
      <c r="B315" s="137"/>
      <c r="C315" s="137"/>
      <c r="D315" s="139"/>
      <c r="E315" s="139"/>
      <c r="F315" s="138"/>
      <c r="G315" s="139"/>
      <c r="I315" s="140"/>
    </row>
    <row r="316" ht="15" customHeight="1" spans="1:9" x14ac:dyDescent="0.25">
      <c r="A316" s="135"/>
      <c r="B316" s="137"/>
      <c r="C316" s="137"/>
      <c r="D316" s="139"/>
      <c r="E316" s="139"/>
      <c r="F316" s="138"/>
      <c r="G316" s="139"/>
      <c r="I316" s="140"/>
    </row>
    <row r="317" ht="15" customHeight="1" spans="1:9" x14ac:dyDescent="0.25">
      <c r="A317" s="135"/>
      <c r="B317" s="137"/>
      <c r="C317" s="137"/>
      <c r="D317" s="139"/>
      <c r="E317" s="139"/>
      <c r="F317" s="138"/>
      <c r="G317" s="139"/>
      <c r="I317" s="140"/>
    </row>
    <row r="318" ht="15" customHeight="1" spans="1:9" x14ac:dyDescent="0.25">
      <c r="A318" s="135"/>
      <c r="B318" s="137"/>
      <c r="C318" s="137"/>
      <c r="D318" s="139"/>
      <c r="E318" s="139"/>
      <c r="F318" s="139"/>
      <c r="G318" s="139"/>
      <c r="I318" s="140"/>
    </row>
    <row r="319" ht="15" customHeight="1" spans="1:9" x14ac:dyDescent="0.25">
      <c r="A319" s="135"/>
      <c r="B319" s="137"/>
      <c r="C319" s="137"/>
      <c r="D319" s="139"/>
      <c r="E319" s="139"/>
      <c r="F319" s="139"/>
      <c r="G319" s="139"/>
      <c r="I319" s="140"/>
    </row>
    <row r="320" ht="15" customHeight="1" spans="1:9" x14ac:dyDescent="0.25">
      <c r="A320" s="135"/>
      <c r="B320" s="137"/>
      <c r="C320" s="137"/>
      <c r="D320" s="139"/>
      <c r="E320" s="139"/>
      <c r="F320" s="138"/>
      <c r="G320" s="139"/>
      <c r="I320" s="140"/>
    </row>
    <row r="321" ht="15" customHeight="1" spans="1:9" x14ac:dyDescent="0.25">
      <c r="A321" s="135"/>
      <c r="B321" s="137"/>
      <c r="C321" s="137"/>
      <c r="D321" s="139"/>
      <c r="E321" s="139"/>
      <c r="F321" s="138"/>
      <c r="G321" s="139"/>
      <c r="I321" s="140"/>
    </row>
    <row r="322" ht="15" customHeight="1" spans="1:9" x14ac:dyDescent="0.25">
      <c r="A322" s="135"/>
      <c r="B322" s="137"/>
      <c r="C322" s="137"/>
      <c r="D322" s="139"/>
      <c r="E322" s="139"/>
      <c r="F322" s="138"/>
      <c r="G322" s="139"/>
      <c r="I322" s="140"/>
    </row>
    <row r="323" ht="15" customHeight="1" spans="1:9" x14ac:dyDescent="0.25">
      <c r="A323" s="135"/>
      <c r="B323" s="137"/>
      <c r="C323" s="137"/>
      <c r="D323" s="139"/>
      <c r="E323" s="139"/>
      <c r="F323" s="139"/>
      <c r="G323" s="139"/>
      <c r="I323" s="140"/>
    </row>
    <row r="324" ht="15" customHeight="1" spans="1:9" x14ac:dyDescent="0.25">
      <c r="A324" s="135"/>
      <c r="B324" s="137"/>
      <c r="C324" s="137"/>
      <c r="D324" s="139"/>
      <c r="E324" s="139"/>
      <c r="F324" s="139"/>
      <c r="G324" s="139"/>
      <c r="I324" s="140"/>
    </row>
    <row r="325" ht="15" customHeight="1" spans="1:9" x14ac:dyDescent="0.25">
      <c r="A325" s="135"/>
      <c r="B325" s="137"/>
      <c r="C325" s="137"/>
      <c r="D325" s="139"/>
      <c r="E325" s="139"/>
      <c r="F325" s="138"/>
      <c r="G325" s="139"/>
      <c r="I325" s="140"/>
    </row>
    <row r="326" ht="15" customHeight="1" spans="1:9" x14ac:dyDescent="0.25">
      <c r="A326" s="135"/>
      <c r="B326" s="137"/>
      <c r="C326" s="137"/>
      <c r="D326" s="139"/>
      <c r="E326" s="139"/>
      <c r="F326" s="138"/>
      <c r="G326" s="139"/>
      <c r="I326" s="140"/>
    </row>
    <row r="327" ht="15" customHeight="1" spans="1:9" x14ac:dyDescent="0.25">
      <c r="A327" s="135"/>
      <c r="B327" s="137"/>
      <c r="C327" s="137"/>
      <c r="D327" s="139"/>
      <c r="E327" s="139"/>
      <c r="F327" s="139"/>
      <c r="G327" s="139"/>
      <c r="I327" s="140"/>
    </row>
    <row r="328" ht="15" customHeight="1" spans="1:9" x14ac:dyDescent="0.25">
      <c r="A328" s="135"/>
      <c r="B328" s="137"/>
      <c r="C328" s="137"/>
      <c r="D328" s="139"/>
      <c r="E328" s="139"/>
      <c r="F328" s="138"/>
      <c r="G328" s="139"/>
      <c r="I328" s="140"/>
    </row>
    <row r="329" ht="15" customHeight="1" spans="1:9" x14ac:dyDescent="0.25">
      <c r="A329" s="135"/>
      <c r="B329" s="137"/>
      <c r="C329" s="137"/>
      <c r="D329" s="139"/>
      <c r="E329" s="139"/>
      <c r="F329" s="138"/>
      <c r="G329" s="139"/>
      <c r="I329" s="140"/>
    </row>
    <row r="330" ht="15" customHeight="1" spans="1:9" x14ac:dyDescent="0.25">
      <c r="A330" s="135"/>
      <c r="B330" s="137"/>
      <c r="C330" s="137"/>
      <c r="D330" s="139"/>
      <c r="E330" s="139"/>
      <c r="F330" s="138"/>
      <c r="G330" s="139"/>
      <c r="I330" s="140"/>
    </row>
    <row r="331" ht="15" customHeight="1" spans="1:9" x14ac:dyDescent="0.25">
      <c r="A331" s="135"/>
      <c r="B331" s="137"/>
      <c r="C331" s="137"/>
      <c r="D331" s="139"/>
      <c r="E331" s="139"/>
      <c r="F331" s="139"/>
      <c r="G331" s="139"/>
      <c r="I331" s="140"/>
    </row>
    <row r="332" ht="15" customHeight="1" spans="1:9" x14ac:dyDescent="0.25">
      <c r="A332" s="135"/>
      <c r="B332" s="136"/>
      <c r="C332" s="137"/>
      <c r="D332" s="138"/>
      <c r="E332" s="138"/>
      <c r="F332" s="138"/>
      <c r="G332" s="139"/>
      <c r="I332" s="140"/>
    </row>
    <row r="333" ht="15" customHeight="1" spans="1:9" x14ac:dyDescent="0.25">
      <c r="A333" s="135"/>
      <c r="B333" s="137"/>
      <c r="C333" s="137"/>
      <c r="D333" s="139"/>
      <c r="E333" s="139"/>
      <c r="F333" s="138"/>
      <c r="G333" s="139"/>
      <c r="I333" s="140"/>
    </row>
    <row r="334" ht="15" customHeight="1" spans="1:9" x14ac:dyDescent="0.25">
      <c r="A334" s="135"/>
      <c r="B334" s="137"/>
      <c r="C334" s="137"/>
      <c r="D334" s="139"/>
      <c r="E334" s="139"/>
      <c r="F334" s="138"/>
      <c r="G334" s="139"/>
      <c r="I334" s="140"/>
    </row>
    <row r="335" ht="15" customHeight="1" spans="1:9" x14ac:dyDescent="0.25">
      <c r="A335" s="135"/>
      <c r="B335" s="137"/>
      <c r="C335" s="137"/>
      <c r="D335" s="139"/>
      <c r="E335" s="139"/>
      <c r="F335" s="138"/>
      <c r="G335" s="139"/>
      <c r="I335" s="140"/>
    </row>
    <row r="336" ht="15" customHeight="1" spans="1:9" x14ac:dyDescent="0.25">
      <c r="A336" s="135"/>
      <c r="B336" s="137"/>
      <c r="C336" s="137"/>
      <c r="D336" s="139"/>
      <c r="E336" s="139"/>
      <c r="F336" s="138"/>
      <c r="G336" s="139"/>
      <c r="I336" s="140"/>
    </row>
    <row r="337" ht="15" customHeight="1" spans="1:9" x14ac:dyDescent="0.25">
      <c r="A337" s="135"/>
      <c r="B337" s="137"/>
      <c r="C337" s="137"/>
      <c r="D337" s="139"/>
      <c r="E337" s="139"/>
      <c r="F337" s="138"/>
      <c r="G337" s="139"/>
      <c r="I337" s="140"/>
    </row>
    <row r="338" ht="15" customHeight="1" spans="1:9" x14ac:dyDescent="0.25">
      <c r="A338" s="135"/>
      <c r="B338" s="137"/>
      <c r="C338" s="137"/>
      <c r="D338" s="139"/>
      <c r="E338" s="139"/>
      <c r="F338" s="138"/>
      <c r="G338" s="139"/>
      <c r="I338" s="140"/>
    </row>
    <row r="339" ht="15" customHeight="1" spans="1:9" x14ac:dyDescent="0.25">
      <c r="A339" s="135"/>
      <c r="B339" s="137"/>
      <c r="C339" s="137"/>
      <c r="D339" s="139"/>
      <c r="E339" s="139"/>
      <c r="F339" s="138"/>
      <c r="G339" s="139"/>
      <c r="I339" s="140"/>
    </row>
    <row r="340" ht="15" customHeight="1" spans="1:9" x14ac:dyDescent="0.25">
      <c r="A340" s="135"/>
      <c r="B340" s="137"/>
      <c r="C340" s="137"/>
      <c r="D340" s="139"/>
      <c r="E340" s="139"/>
      <c r="F340" s="138"/>
      <c r="G340" s="139"/>
      <c r="I340" s="140"/>
    </row>
    <row r="341" ht="15" customHeight="1" spans="1:9" x14ac:dyDescent="0.25">
      <c r="A341" s="135"/>
      <c r="B341" s="137"/>
      <c r="C341" s="137"/>
      <c r="D341" s="139"/>
      <c r="E341" s="139"/>
      <c r="F341" s="138"/>
      <c r="G341" s="139"/>
      <c r="I341" s="140"/>
    </row>
    <row r="342" ht="15" customHeight="1" spans="1:9" x14ac:dyDescent="0.25">
      <c r="A342" s="135"/>
      <c r="B342" s="137"/>
      <c r="C342" s="137"/>
      <c r="D342" s="139"/>
      <c r="E342" s="139"/>
      <c r="F342" s="139"/>
      <c r="G342" s="139"/>
      <c r="I342" s="140"/>
    </row>
    <row r="343" ht="15" customHeight="1" spans="1:9" x14ac:dyDescent="0.25">
      <c r="A343" s="135"/>
      <c r="B343" s="137"/>
      <c r="C343" s="137"/>
      <c r="D343" s="139"/>
      <c r="E343" s="139"/>
      <c r="F343" s="138"/>
      <c r="G343" s="139"/>
      <c r="I343" s="140"/>
    </row>
    <row r="344" ht="15" customHeight="1" spans="1:9" x14ac:dyDescent="0.25">
      <c r="A344" s="135"/>
      <c r="B344" s="137"/>
      <c r="C344" s="137"/>
      <c r="D344" s="139"/>
      <c r="E344" s="139"/>
      <c r="F344" s="138"/>
      <c r="G344" s="139"/>
      <c r="I344" s="140"/>
    </row>
    <row r="345" ht="15" customHeight="1" spans="1:9" x14ac:dyDescent="0.25">
      <c r="A345" s="135"/>
      <c r="B345" s="137"/>
      <c r="C345" s="137"/>
      <c r="D345" s="139"/>
      <c r="E345" s="139"/>
      <c r="F345" s="138"/>
      <c r="G345" s="139"/>
      <c r="I345" s="140"/>
    </row>
    <row r="346" ht="15" customHeight="1" spans="1:9" x14ac:dyDescent="0.25">
      <c r="A346" s="135"/>
      <c r="B346" s="137"/>
      <c r="C346" s="137"/>
      <c r="D346" s="139"/>
      <c r="E346" s="139"/>
      <c r="F346" s="138"/>
      <c r="G346" s="139"/>
      <c r="I346" s="140"/>
    </row>
    <row r="347" ht="15" customHeight="1" spans="1:9" x14ac:dyDescent="0.25">
      <c r="A347" s="135"/>
      <c r="B347" s="137"/>
      <c r="C347" s="137"/>
      <c r="D347" s="139"/>
      <c r="E347" s="139"/>
      <c r="F347" s="138"/>
      <c r="G347" s="139"/>
      <c r="I347" s="140"/>
    </row>
    <row r="348" ht="15" customHeight="1" spans="1:9" s="136" customFormat="1" x14ac:dyDescent="0.25">
      <c r="A348" s="135"/>
      <c r="B348" s="137"/>
      <c r="C348" s="136"/>
      <c r="D348" s="139"/>
      <c r="E348" s="139"/>
      <c r="F348" s="138"/>
      <c r="G348" s="138"/>
      <c r="I348" s="140"/>
    </row>
    <row r="349" ht="15" customHeight="1" spans="1:9" s="136" customFormat="1" x14ac:dyDescent="0.25">
      <c r="A349" s="135"/>
      <c r="B349" s="137"/>
      <c r="C349" s="136"/>
      <c r="D349" s="139"/>
      <c r="E349" s="139"/>
      <c r="F349" s="138"/>
      <c r="G349" s="138"/>
      <c r="I349" s="140"/>
    </row>
    <row r="350" ht="15" customHeight="1" spans="1:9" s="136" customFormat="1" x14ac:dyDescent="0.25">
      <c r="A350" s="135"/>
      <c r="B350" s="137"/>
      <c r="C350" s="136"/>
      <c r="D350" s="139"/>
      <c r="E350" s="139"/>
      <c r="F350" s="138"/>
      <c r="G350" s="138"/>
      <c r="I350" s="140"/>
    </row>
    <row r="351" ht="15" customHeight="1" spans="1:9" s="136" customFormat="1" x14ac:dyDescent="0.25">
      <c r="A351" s="135"/>
      <c r="B351" s="137"/>
      <c r="C351" s="136"/>
      <c r="D351" s="139"/>
      <c r="E351" s="139"/>
      <c r="F351" s="138"/>
      <c r="G351" s="138"/>
      <c r="I351" s="140"/>
    </row>
    <row r="352" ht="15" customHeight="1" spans="1:9" s="136" customFormat="1" x14ac:dyDescent="0.25">
      <c r="A352" s="135"/>
      <c r="B352" s="136"/>
      <c r="C352" s="137"/>
      <c r="D352" s="138"/>
      <c r="E352" s="138"/>
      <c r="F352" s="138"/>
      <c r="G352" s="139"/>
      <c r="H352" s="137"/>
      <c r="I352" s="140"/>
    </row>
    <row r="353" ht="15" customHeight="1" spans="1:9" s="136" customFormat="1" x14ac:dyDescent="0.25">
      <c r="A353" s="135"/>
      <c r="B353" s="137"/>
      <c r="C353" s="136"/>
      <c r="D353" s="139"/>
      <c r="E353" s="139"/>
      <c r="F353" s="138"/>
      <c r="G353" s="138"/>
      <c r="I353" s="140"/>
    </row>
    <row r="354" ht="15" customHeight="1" spans="1:9" s="136" customFormat="1" x14ac:dyDescent="0.25">
      <c r="A354" s="135"/>
      <c r="B354" s="137"/>
      <c r="C354" s="136"/>
      <c r="D354" s="139"/>
      <c r="E354" s="139"/>
      <c r="F354" s="138"/>
      <c r="G354" s="138"/>
      <c r="I354" s="140"/>
    </row>
    <row r="355" ht="15" customHeight="1" spans="1:9" s="136" customFormat="1" x14ac:dyDescent="0.25">
      <c r="A355" s="135"/>
      <c r="B355" s="136"/>
      <c r="C355" s="137"/>
      <c r="D355" s="138"/>
      <c r="E355" s="138"/>
      <c r="F355" s="138"/>
      <c r="G355" s="139"/>
      <c r="H355" s="137"/>
      <c r="I355" s="140"/>
    </row>
    <row r="356" ht="15" customHeight="1" spans="1:9" s="136" customFormat="1" x14ac:dyDescent="0.25">
      <c r="A356" s="135"/>
      <c r="B356" s="137"/>
      <c r="C356" s="136"/>
      <c r="D356" s="139"/>
      <c r="E356" s="139"/>
      <c r="F356" s="138"/>
      <c r="G356" s="138"/>
      <c r="I356" s="140"/>
    </row>
    <row r="357" ht="15" customHeight="1" spans="1:9" s="136" customFormat="1" x14ac:dyDescent="0.25">
      <c r="A357" s="135"/>
      <c r="B357" s="137"/>
      <c r="C357" s="136"/>
      <c r="D357" s="139"/>
      <c r="E357" s="139"/>
      <c r="F357" s="138"/>
      <c r="G357" s="138"/>
      <c r="I357" s="140"/>
    </row>
    <row r="358" ht="15" customHeight="1" spans="1:9" s="136" customFormat="1" x14ac:dyDescent="0.25">
      <c r="A358" s="135"/>
      <c r="B358" s="137"/>
      <c r="C358" s="136"/>
      <c r="D358" s="139"/>
      <c r="E358" s="139"/>
      <c r="F358" s="138"/>
      <c r="G358" s="138"/>
      <c r="I358" s="140"/>
    </row>
    <row r="359" ht="15" customHeight="1" spans="1:9" s="136" customFormat="1" x14ac:dyDescent="0.25">
      <c r="A359" s="135"/>
      <c r="B359" s="137"/>
      <c r="C359" s="136"/>
      <c r="D359" s="139"/>
      <c r="E359" s="139"/>
      <c r="F359" s="138"/>
      <c r="G359" s="138"/>
      <c r="I359" s="140"/>
    </row>
    <row r="360" ht="15" customHeight="1" spans="1:9" s="136" customFormat="1" x14ac:dyDescent="0.25">
      <c r="A360" s="135"/>
      <c r="B360" s="137"/>
      <c r="C360" s="137"/>
      <c r="D360" s="139"/>
      <c r="E360" s="139"/>
      <c r="F360" s="139"/>
      <c r="G360" s="139"/>
      <c r="H360" s="137"/>
      <c r="I360" s="140"/>
    </row>
    <row r="361" ht="15" customHeight="1" spans="1:9" x14ac:dyDescent="0.25">
      <c r="A361" s="135"/>
      <c r="B361" s="137"/>
      <c r="C361" s="137"/>
      <c r="D361" s="139"/>
      <c r="E361" s="139"/>
      <c r="F361" s="139"/>
      <c r="G361" s="139"/>
      <c r="I361" s="140"/>
    </row>
    <row r="362" ht="15" customHeight="1" spans="1:9" x14ac:dyDescent="0.25">
      <c r="A362" s="135"/>
      <c r="B362" s="137"/>
      <c r="C362" s="137"/>
      <c r="D362" s="139"/>
      <c r="E362" s="139"/>
      <c r="F362" s="138"/>
      <c r="G362" s="139"/>
      <c r="I362" s="140"/>
    </row>
    <row r="363" ht="15" customHeight="1" spans="1:9" x14ac:dyDescent="0.25">
      <c r="A363" s="135"/>
      <c r="B363" s="137"/>
      <c r="C363" s="137"/>
      <c r="D363" s="139"/>
      <c r="E363" s="139"/>
      <c r="F363" s="138"/>
      <c r="G363" s="139"/>
      <c r="I363" s="140"/>
    </row>
    <row r="364" ht="15" customHeight="1" spans="1:9" x14ac:dyDescent="0.25">
      <c r="A364" s="135"/>
      <c r="B364" s="137"/>
      <c r="C364" s="137"/>
      <c r="D364" s="139"/>
      <c r="E364" s="139"/>
      <c r="F364" s="138"/>
      <c r="G364" s="139"/>
      <c r="H364" s="137" t="s">
        <v>186</v>
      </c>
      <c r="I364" s="140"/>
    </row>
    <row r="365" ht="15" customHeight="1" spans="1:9" x14ac:dyDescent="0.25">
      <c r="A365" s="135"/>
      <c r="B365" s="137"/>
      <c r="C365" s="137"/>
      <c r="D365" s="139"/>
      <c r="E365" s="139"/>
      <c r="F365" s="139"/>
      <c r="G365" s="139"/>
      <c r="I365" s="140"/>
    </row>
    <row r="366" ht="15" customHeight="1" spans="1:9" x14ac:dyDescent="0.25">
      <c r="A366" s="147"/>
      <c r="B366" s="137"/>
      <c r="C366" s="137"/>
      <c r="D366" s="139"/>
      <c r="E366" s="139"/>
      <c r="F366" s="139"/>
      <c r="G366" s="139"/>
      <c r="H366" s="137"/>
      <c r="I366" s="140"/>
    </row>
    <row r="367" ht="15" customHeight="1" spans="1:9" x14ac:dyDescent="0.25">
      <c r="A367" s="135"/>
      <c r="B367" s="137"/>
      <c r="C367" s="137"/>
      <c r="D367" s="139"/>
      <c r="E367" s="139"/>
      <c r="F367" s="139"/>
      <c r="G367" s="139"/>
      <c r="H367" s="137" t="s">
        <v>186</v>
      </c>
      <c r="I367" s="140"/>
    </row>
    <row r="368" ht="15" customHeight="1" spans="1:9" x14ac:dyDescent="0.25">
      <c r="A368" s="135"/>
      <c r="B368" s="137"/>
      <c r="C368" s="137"/>
      <c r="D368" s="139"/>
      <c r="E368" s="139"/>
      <c r="F368" s="138"/>
      <c r="G368" s="139"/>
      <c r="H368" s="137" t="s">
        <v>186</v>
      </c>
      <c r="I368" s="140"/>
    </row>
    <row r="369" ht="15" customHeight="1" spans="1:9" x14ac:dyDescent="0.25">
      <c r="A369" s="135"/>
      <c r="B369" s="137"/>
      <c r="C369" s="137"/>
      <c r="D369" s="139"/>
      <c r="E369" s="139"/>
      <c r="F369" s="138"/>
      <c r="G369" s="139"/>
      <c r="I369" s="140"/>
    </row>
    <row r="370" ht="15" customHeight="1" spans="1:9" x14ac:dyDescent="0.25">
      <c r="A370" s="135"/>
      <c r="B370" s="137"/>
      <c r="C370" s="137"/>
      <c r="D370" s="139"/>
      <c r="E370" s="139"/>
      <c r="F370" s="138"/>
      <c r="G370" s="139"/>
      <c r="I370" s="140"/>
    </row>
    <row r="371" ht="15" customHeight="1" spans="1:9" x14ac:dyDescent="0.25">
      <c r="A371" s="135"/>
      <c r="B371" s="136"/>
      <c r="C371" s="137"/>
      <c r="D371" s="138"/>
      <c r="E371" s="138"/>
      <c r="F371" s="138"/>
      <c r="G371" s="139"/>
      <c r="I371" s="140"/>
    </row>
    <row r="372" ht="15" customHeight="1" spans="1:9" x14ac:dyDescent="0.25">
      <c r="A372" s="135"/>
      <c r="B372" s="137"/>
      <c r="C372" s="137"/>
      <c r="D372" s="139"/>
      <c r="E372" s="139"/>
      <c r="F372" s="138"/>
      <c r="G372" s="139"/>
      <c r="I372" s="140"/>
    </row>
    <row r="373" ht="15" customHeight="1" spans="1:9" x14ac:dyDescent="0.25">
      <c r="A373" s="135"/>
      <c r="B373" s="137"/>
      <c r="C373" s="137"/>
      <c r="D373" s="139"/>
      <c r="E373" s="139"/>
      <c r="F373" s="138"/>
      <c r="G373" s="139"/>
      <c r="I373" s="140"/>
    </row>
    <row r="374" ht="15" customHeight="1" spans="1:9" x14ac:dyDescent="0.25">
      <c r="A374" s="135"/>
      <c r="B374" s="137"/>
      <c r="C374" s="137"/>
      <c r="D374" s="139"/>
      <c r="E374" s="139"/>
      <c r="F374" s="138"/>
      <c r="G374" s="139"/>
      <c r="I374" s="140"/>
    </row>
    <row r="375" ht="15" customHeight="1" spans="1:9" x14ac:dyDescent="0.25">
      <c r="A375" s="135"/>
      <c r="B375" s="137"/>
      <c r="C375" s="137"/>
      <c r="D375" s="139"/>
      <c r="E375" s="139"/>
      <c r="F375" s="138"/>
      <c r="G375" s="139"/>
      <c r="I375" s="140"/>
    </row>
    <row r="376" ht="15" customHeight="1" spans="1:9" x14ac:dyDescent="0.25">
      <c r="A376" s="135"/>
      <c r="B376" s="137"/>
      <c r="C376" s="137"/>
      <c r="D376" s="139"/>
      <c r="E376" s="139"/>
      <c r="F376" s="139"/>
      <c r="G376" s="139"/>
      <c r="I376" s="140"/>
    </row>
    <row r="377" ht="15" customHeight="1" spans="1:9" x14ac:dyDescent="0.25">
      <c r="A377" s="135"/>
      <c r="B377" s="137"/>
      <c r="C377" s="137"/>
      <c r="D377" s="139"/>
      <c r="E377" s="139"/>
      <c r="F377" s="138"/>
      <c r="G377" s="139"/>
      <c r="I377" s="140"/>
    </row>
    <row r="378" ht="15" customHeight="1" spans="1:9" x14ac:dyDescent="0.25">
      <c r="A378" s="135"/>
      <c r="B378" s="137"/>
      <c r="C378" s="137"/>
      <c r="D378" s="139"/>
      <c r="E378" s="139"/>
      <c r="F378" s="138"/>
      <c r="G378" s="139"/>
      <c r="I378" s="140"/>
    </row>
    <row r="379" ht="15" customHeight="1" spans="1:9" x14ac:dyDescent="0.25">
      <c r="A379" s="135"/>
      <c r="B379" s="137"/>
      <c r="C379" s="137"/>
      <c r="D379" s="139"/>
      <c r="E379" s="139"/>
      <c r="F379" s="138"/>
      <c r="G379" s="139"/>
      <c r="I379" s="140"/>
    </row>
    <row r="380" ht="15" customHeight="1" spans="1:9" x14ac:dyDescent="0.25">
      <c r="A380" s="135"/>
      <c r="B380" s="137"/>
      <c r="C380" s="137"/>
      <c r="D380" s="139"/>
      <c r="E380" s="139"/>
      <c r="F380" s="138"/>
      <c r="G380" s="139"/>
      <c r="I380" s="140"/>
    </row>
    <row r="381" ht="15" customHeight="1" spans="1:9" x14ac:dyDescent="0.25">
      <c r="A381" s="135"/>
      <c r="B381" s="137"/>
      <c r="C381" s="137"/>
      <c r="D381" s="139"/>
      <c r="E381" s="139"/>
      <c r="F381" s="138"/>
      <c r="G381" s="139"/>
      <c r="I381" s="140"/>
    </row>
    <row r="382" ht="15" customHeight="1" spans="1:9" x14ac:dyDescent="0.25">
      <c r="A382" s="135"/>
      <c r="B382" s="136"/>
      <c r="C382" s="137"/>
      <c r="D382" s="138"/>
      <c r="E382" s="138"/>
      <c r="F382" s="138"/>
      <c r="G382" s="139"/>
      <c r="I382" s="140"/>
    </row>
    <row r="383" ht="15" customHeight="1" spans="1:9" x14ac:dyDescent="0.25">
      <c r="A383" s="135"/>
      <c r="B383" s="137"/>
      <c r="C383" s="137"/>
      <c r="D383" s="139"/>
      <c r="E383" s="139"/>
      <c r="F383" s="139"/>
      <c r="G383" s="139"/>
      <c r="I383" s="140"/>
    </row>
    <row r="384" ht="15" customHeight="1" spans="1:9" x14ac:dyDescent="0.25">
      <c r="A384" s="135"/>
      <c r="B384" s="136"/>
      <c r="C384" s="137"/>
      <c r="D384" s="138"/>
      <c r="E384" s="138"/>
      <c r="F384" s="138"/>
      <c r="G384" s="139"/>
      <c r="I384" s="140"/>
    </row>
    <row r="385" ht="15" customHeight="1" spans="1:9" x14ac:dyDescent="0.25">
      <c r="A385" s="135"/>
      <c r="B385" s="137"/>
      <c r="C385" s="137"/>
      <c r="D385" s="139"/>
      <c r="E385" s="139"/>
      <c r="F385" s="138"/>
      <c r="G385" s="139"/>
      <c r="I385" s="140"/>
    </row>
    <row r="386" ht="15" customHeight="1" spans="1:9" x14ac:dyDescent="0.25">
      <c r="A386" s="135"/>
      <c r="B386" s="136"/>
      <c r="C386" s="137"/>
      <c r="D386" s="138"/>
      <c r="E386" s="138"/>
      <c r="F386" s="138"/>
      <c r="G386" s="139"/>
      <c r="I386" s="140"/>
    </row>
    <row r="387" ht="15" customHeight="1" spans="1:9" x14ac:dyDescent="0.25">
      <c r="A387" s="135"/>
      <c r="B387" s="136"/>
      <c r="C387" s="137"/>
      <c r="D387" s="138"/>
      <c r="E387" s="138"/>
      <c r="F387" s="138"/>
      <c r="G387" s="139"/>
      <c r="I387" s="140"/>
    </row>
    <row r="388" ht="15" customHeight="1" spans="1:9" x14ac:dyDescent="0.25">
      <c r="A388" s="135"/>
      <c r="B388" s="136"/>
      <c r="C388" s="137"/>
      <c r="D388" s="138"/>
      <c r="E388" s="138"/>
      <c r="F388" s="138"/>
      <c r="G388" s="139"/>
      <c r="I388" s="140"/>
    </row>
    <row r="389" ht="15" customHeight="1" spans="1:9" x14ac:dyDescent="0.25">
      <c r="A389" s="135"/>
      <c r="B389" s="137"/>
      <c r="C389" s="137"/>
      <c r="D389" s="139"/>
      <c r="E389" s="139"/>
      <c r="F389" s="138"/>
      <c r="G389" s="139"/>
      <c r="I389" s="140"/>
    </row>
    <row r="390" ht="15" customHeight="1" spans="1:9" x14ac:dyDescent="0.25">
      <c r="A390" s="135"/>
      <c r="B390" s="137"/>
      <c r="C390" s="137"/>
      <c r="D390" s="139"/>
      <c r="E390" s="139"/>
      <c r="F390" s="138"/>
      <c r="G390" s="139"/>
      <c r="I390" s="140"/>
    </row>
    <row r="391" ht="15" customHeight="1" spans="1:9" x14ac:dyDescent="0.25">
      <c r="A391" s="135"/>
      <c r="B391" s="137"/>
      <c r="C391" s="137"/>
      <c r="D391" s="139"/>
      <c r="E391" s="139"/>
      <c r="F391" s="138"/>
      <c r="G391" s="139"/>
      <c r="I391" s="140"/>
    </row>
    <row r="392" ht="15" customHeight="1" spans="1:9" x14ac:dyDescent="0.25">
      <c r="A392" s="135"/>
      <c r="B392" s="137"/>
      <c r="C392" s="137"/>
      <c r="D392" s="139"/>
      <c r="E392" s="139"/>
      <c r="F392" s="139"/>
      <c r="G392" s="139"/>
      <c r="I392" s="140"/>
    </row>
    <row r="393" ht="15" customHeight="1" spans="1:9" x14ac:dyDescent="0.25">
      <c r="A393" s="135"/>
      <c r="B393" s="137"/>
      <c r="C393" s="137"/>
      <c r="D393" s="139"/>
      <c r="E393" s="139"/>
      <c r="F393" s="138"/>
      <c r="G393" s="139"/>
      <c r="I393" s="140"/>
    </row>
    <row r="394" ht="15" customHeight="1" spans="1:9" x14ac:dyDescent="0.25">
      <c r="A394" s="135"/>
      <c r="B394" s="136"/>
      <c r="C394" s="137"/>
      <c r="D394" s="138"/>
      <c r="E394" s="138"/>
      <c r="F394" s="138"/>
      <c r="G394" s="139"/>
      <c r="I394" s="140"/>
    </row>
    <row r="395" ht="15" customHeight="1" spans="1:9" x14ac:dyDescent="0.25">
      <c r="A395" s="135"/>
      <c r="B395" s="137"/>
      <c r="C395" s="137"/>
      <c r="D395" s="139"/>
      <c r="E395" s="139"/>
      <c r="F395" s="138"/>
      <c r="G395" s="139"/>
      <c r="I395" s="140"/>
    </row>
    <row r="396" ht="15" customHeight="1" spans="1:9" x14ac:dyDescent="0.25">
      <c r="A396" s="135"/>
      <c r="B396" s="137"/>
      <c r="C396" s="137"/>
      <c r="D396" s="139"/>
      <c r="E396" s="139"/>
      <c r="F396" s="138"/>
      <c r="G396" s="139"/>
      <c r="I396" s="140"/>
    </row>
    <row r="397" ht="15" customHeight="1" spans="1:9" x14ac:dyDescent="0.25">
      <c r="A397" s="135"/>
      <c r="B397" s="136"/>
      <c r="C397" s="137"/>
      <c r="D397" s="138"/>
      <c r="E397" s="138"/>
      <c r="F397" s="138"/>
      <c r="G397" s="139"/>
      <c r="I397" s="140"/>
    </row>
    <row r="398" ht="15" customHeight="1" spans="1:9" x14ac:dyDescent="0.25">
      <c r="A398" s="135"/>
      <c r="B398" s="137"/>
      <c r="C398" s="137"/>
      <c r="D398" s="139"/>
      <c r="E398" s="139"/>
      <c r="F398" s="138"/>
      <c r="G398" s="139"/>
      <c r="I398" s="140"/>
    </row>
    <row r="399" ht="15" customHeight="1" spans="1:9" x14ac:dyDescent="0.25">
      <c r="A399" s="135"/>
      <c r="B399" s="137"/>
      <c r="C399" s="137"/>
      <c r="D399" s="139"/>
      <c r="E399" s="139"/>
      <c r="F399" s="138"/>
      <c r="G399" s="139"/>
      <c r="I399" s="140"/>
    </row>
    <row r="400" ht="15" customHeight="1" spans="1:9" x14ac:dyDescent="0.25">
      <c r="A400" s="135"/>
      <c r="B400" s="137"/>
      <c r="C400" s="137"/>
      <c r="D400" s="139"/>
      <c r="E400" s="139"/>
      <c r="F400" s="138"/>
      <c r="G400" s="139"/>
      <c r="I400" s="140"/>
    </row>
    <row r="401" ht="15" customHeight="1" spans="1:9" x14ac:dyDescent="0.25">
      <c r="A401" s="135"/>
      <c r="B401" s="137"/>
      <c r="C401" s="137"/>
      <c r="D401" s="139"/>
      <c r="E401" s="139"/>
      <c r="F401" s="138"/>
      <c r="G401" s="139"/>
      <c r="I401" s="140"/>
    </row>
    <row r="402" ht="15" customHeight="1" spans="1:9" x14ac:dyDescent="0.25">
      <c r="A402" s="135"/>
      <c r="B402" s="136"/>
      <c r="C402" s="137"/>
      <c r="D402" s="138"/>
      <c r="E402" s="138"/>
      <c r="F402" s="138"/>
      <c r="G402" s="139"/>
      <c r="I402" s="140"/>
    </row>
    <row r="403" ht="15" customHeight="1" spans="1:9" x14ac:dyDescent="0.25">
      <c r="A403" s="135"/>
      <c r="B403" s="136"/>
      <c r="C403" s="137"/>
      <c r="D403" s="138"/>
      <c r="E403" s="138"/>
      <c r="F403" s="138"/>
      <c r="G403" s="139"/>
      <c r="I403" s="140"/>
    </row>
    <row r="404" ht="15" customHeight="1" spans="1:9" x14ac:dyDescent="0.25">
      <c r="A404" s="135"/>
      <c r="B404" s="136"/>
      <c r="C404" s="137"/>
      <c r="D404" s="138"/>
      <c r="E404" s="138"/>
      <c r="F404" s="138"/>
      <c r="G404" s="139"/>
      <c r="I404" s="140"/>
    </row>
    <row r="405" ht="15" customHeight="1" spans="1:9" x14ac:dyDescent="0.25">
      <c r="A405" s="135"/>
      <c r="B405" s="136"/>
      <c r="C405" s="137"/>
      <c r="D405" s="138"/>
      <c r="E405" s="138"/>
      <c r="F405" s="138"/>
      <c r="G405" s="139"/>
      <c r="I405" s="140"/>
    </row>
    <row r="406" ht="15" customHeight="1" spans="1:9" x14ac:dyDescent="0.25">
      <c r="A406" s="135"/>
      <c r="B406" s="136"/>
      <c r="C406" s="137"/>
      <c r="D406" s="138"/>
      <c r="E406" s="138"/>
      <c r="F406" s="138"/>
      <c r="G406" s="139"/>
      <c r="I406" s="140"/>
    </row>
    <row r="407" ht="15" customHeight="1" spans="1:9" x14ac:dyDescent="0.25">
      <c r="A407" s="135"/>
      <c r="B407" s="136"/>
      <c r="C407" s="137"/>
      <c r="D407" s="138"/>
      <c r="E407" s="138"/>
      <c r="F407" s="138"/>
      <c r="G407" s="139"/>
      <c r="I407" s="140"/>
    </row>
    <row r="408" ht="15" customHeight="1" spans="1:9" x14ac:dyDescent="0.25">
      <c r="A408" s="135"/>
      <c r="B408" s="136"/>
      <c r="C408" s="137"/>
      <c r="D408" s="138"/>
      <c r="E408" s="138"/>
      <c r="F408" s="138"/>
      <c r="G408" s="139"/>
      <c r="I408" s="140"/>
    </row>
    <row r="409" ht="15" customHeight="1" spans="1:9" x14ac:dyDescent="0.25">
      <c r="A409" s="135"/>
      <c r="B409" s="136"/>
      <c r="C409" s="137"/>
      <c r="D409" s="138"/>
      <c r="E409" s="138"/>
      <c r="F409" s="138"/>
      <c r="G409" s="139"/>
      <c r="I409" s="140"/>
    </row>
    <row r="410" ht="15" customHeight="1" spans="1:9" x14ac:dyDescent="0.25">
      <c r="A410" s="135"/>
      <c r="B410" s="136"/>
      <c r="C410" s="137"/>
      <c r="D410" s="138"/>
      <c r="E410" s="138"/>
      <c r="F410" s="138"/>
      <c r="G410" s="139"/>
      <c r="I410" s="140"/>
    </row>
    <row r="411" ht="15" customHeight="1" spans="1:9" x14ac:dyDescent="0.25">
      <c r="A411" s="135"/>
      <c r="B411" s="136"/>
      <c r="C411" s="137"/>
      <c r="D411" s="138"/>
      <c r="E411" s="138"/>
      <c r="F411" s="138"/>
      <c r="G411" s="139"/>
      <c r="I411" s="140"/>
    </row>
    <row r="412" ht="15" customHeight="1" spans="1:9" x14ac:dyDescent="0.25">
      <c r="A412" s="135"/>
      <c r="B412" s="136"/>
      <c r="C412" s="137"/>
      <c r="D412" s="138"/>
      <c r="E412" s="138"/>
      <c r="F412" s="138"/>
      <c r="G412" s="139"/>
      <c r="I412" s="140"/>
    </row>
    <row r="413" ht="15" customHeight="1" spans="1:9" x14ac:dyDescent="0.25">
      <c r="A413" s="135"/>
      <c r="B413" s="136"/>
      <c r="C413" s="137"/>
      <c r="D413" s="138"/>
      <c r="E413" s="138"/>
      <c r="F413" s="138"/>
      <c r="G413" s="139"/>
      <c r="I413" s="140"/>
    </row>
    <row r="414" ht="15" customHeight="1" spans="1:9" x14ac:dyDescent="0.25">
      <c r="A414" s="135"/>
      <c r="B414" s="136"/>
      <c r="C414" s="137"/>
      <c r="D414" s="138"/>
      <c r="E414" s="138"/>
      <c r="F414" s="138"/>
      <c r="G414" s="139"/>
      <c r="I414" s="140"/>
    </row>
    <row r="415" ht="15" customHeight="1" spans="1:9" x14ac:dyDescent="0.25">
      <c r="A415" s="135"/>
      <c r="B415" s="136"/>
      <c r="C415" s="137"/>
      <c r="D415" s="138"/>
      <c r="E415" s="138"/>
      <c r="F415" s="138"/>
      <c r="G415" s="139"/>
      <c r="I415" s="140"/>
    </row>
    <row r="416" ht="15" customHeight="1" spans="1:9" x14ac:dyDescent="0.25">
      <c r="A416" s="135"/>
      <c r="B416" s="136"/>
      <c r="C416" s="137"/>
      <c r="D416" s="138"/>
      <c r="E416" s="138"/>
      <c r="F416" s="138"/>
      <c r="G416" s="139"/>
      <c r="I416" s="140"/>
    </row>
    <row r="417" ht="15" customHeight="1" spans="1:9" x14ac:dyDescent="0.25">
      <c r="A417" s="135"/>
      <c r="B417" s="136"/>
      <c r="C417" s="137"/>
      <c r="D417" s="138"/>
      <c r="E417" s="138"/>
      <c r="F417" s="138"/>
      <c r="G417" s="139"/>
      <c r="I417" s="140"/>
    </row>
    <row r="418" ht="15" customHeight="1" spans="1:9" x14ac:dyDescent="0.25">
      <c r="A418" s="135"/>
      <c r="B418" s="136"/>
      <c r="C418" s="137"/>
      <c r="D418" s="138"/>
      <c r="E418" s="138"/>
      <c r="F418" s="138"/>
      <c r="G418" s="139"/>
      <c r="I418" s="140"/>
    </row>
    <row r="419" ht="15" customHeight="1" spans="1:9" x14ac:dyDescent="0.25">
      <c r="A419" s="135"/>
      <c r="B419" s="137"/>
      <c r="C419" s="137"/>
      <c r="D419" s="139"/>
      <c r="E419" s="139"/>
      <c r="F419" s="139"/>
      <c r="G419" s="139"/>
      <c r="I419" s="140"/>
    </row>
    <row r="420" ht="15" customHeight="1" spans="1:9" x14ac:dyDescent="0.25">
      <c r="A420" s="135"/>
      <c r="B420" s="136"/>
      <c r="C420" s="137"/>
      <c r="D420" s="138"/>
      <c r="E420" s="138"/>
      <c r="F420" s="138"/>
      <c r="G420" s="139"/>
      <c r="I420" s="140"/>
    </row>
    <row r="421" ht="15" customHeight="1" spans="1:9" x14ac:dyDescent="0.25">
      <c r="A421" s="135"/>
      <c r="B421" s="137"/>
      <c r="C421" s="137"/>
      <c r="D421" s="139"/>
      <c r="E421" s="139"/>
      <c r="F421" s="139"/>
      <c r="G421" s="139"/>
      <c r="I421" s="140"/>
    </row>
    <row r="422" ht="15" customHeight="1" spans="1:9" x14ac:dyDescent="0.25">
      <c r="A422" s="135"/>
      <c r="B422" s="136"/>
      <c r="C422" s="137"/>
      <c r="D422" s="138"/>
      <c r="E422" s="138"/>
      <c r="F422" s="138"/>
      <c r="G422" s="139"/>
      <c r="I422" s="140"/>
    </row>
    <row r="423" ht="15" customHeight="1" spans="1:9" x14ac:dyDescent="0.25">
      <c r="A423" s="135"/>
      <c r="B423" s="137"/>
      <c r="C423" s="137"/>
      <c r="D423" s="139"/>
      <c r="E423" s="139"/>
      <c r="F423" s="139"/>
      <c r="G423" s="139"/>
      <c r="I423" s="140"/>
    </row>
    <row r="424" ht="15" customHeight="1" spans="1:9" x14ac:dyDescent="0.25">
      <c r="A424" s="135"/>
      <c r="B424" s="136"/>
      <c r="C424" s="137"/>
      <c r="D424" s="138"/>
      <c r="E424" s="138"/>
      <c r="F424" s="138"/>
      <c r="G424" s="139"/>
      <c r="I424" s="140"/>
    </row>
    <row r="425" ht="15" customHeight="1" spans="1:9" x14ac:dyDescent="0.25">
      <c r="A425" s="135"/>
      <c r="B425" s="136"/>
      <c r="C425" s="137"/>
      <c r="D425" s="138"/>
      <c r="E425" s="138"/>
      <c r="F425" s="138"/>
      <c r="G425" s="139"/>
      <c r="I425" s="140"/>
    </row>
    <row r="426" ht="15" customHeight="1" spans="1:9" x14ac:dyDescent="0.25">
      <c r="A426" s="135"/>
      <c r="B426" s="136"/>
      <c r="C426" s="137"/>
      <c r="D426" s="138"/>
      <c r="E426" s="138"/>
      <c r="F426" s="138"/>
      <c r="G426" s="139"/>
      <c r="I426" s="140"/>
    </row>
    <row r="427" ht="15" customHeight="1" spans="1:9" x14ac:dyDescent="0.25">
      <c r="A427" s="135"/>
      <c r="B427" s="136"/>
      <c r="C427" s="137"/>
      <c r="D427" s="138"/>
      <c r="E427" s="138"/>
      <c r="F427" s="138"/>
      <c r="G427" s="139"/>
      <c r="I427" s="140"/>
    </row>
    <row r="428" ht="15" customHeight="1" spans="1:9" x14ac:dyDescent="0.25">
      <c r="A428" s="135"/>
      <c r="B428" s="136"/>
      <c r="C428" s="137"/>
      <c r="D428" s="138"/>
      <c r="E428" s="138"/>
      <c r="F428" s="138"/>
      <c r="G428" s="139"/>
      <c r="I428" s="140"/>
    </row>
    <row r="429" ht="15" customHeight="1" spans="1:9" x14ac:dyDescent="0.25">
      <c r="A429" s="135"/>
      <c r="B429" s="136"/>
      <c r="C429" s="137"/>
      <c r="D429" s="138"/>
      <c r="E429" s="138"/>
      <c r="F429" s="138"/>
      <c r="G429" s="139"/>
      <c r="I429" s="140"/>
    </row>
    <row r="430" ht="15" customHeight="1" spans="1:9" x14ac:dyDescent="0.25">
      <c r="A430" s="135"/>
      <c r="B430" s="136"/>
      <c r="C430" s="137"/>
      <c r="D430" s="138"/>
      <c r="E430" s="138"/>
      <c r="F430" s="138"/>
      <c r="G430" s="139"/>
      <c r="I430" s="140"/>
    </row>
    <row r="431" ht="15" customHeight="1" spans="1:9" x14ac:dyDescent="0.25">
      <c r="A431" s="135"/>
      <c r="B431" s="136"/>
      <c r="C431" s="137"/>
      <c r="D431" s="138"/>
      <c r="E431" s="138"/>
      <c r="F431" s="138"/>
      <c r="G431" s="139"/>
      <c r="I431" s="140"/>
    </row>
    <row r="432" ht="15" customHeight="1" spans="1:9" x14ac:dyDescent="0.25">
      <c r="A432" s="135"/>
      <c r="B432" s="136"/>
      <c r="C432" s="137"/>
      <c r="D432" s="138"/>
      <c r="E432" s="138"/>
      <c r="F432" s="138"/>
      <c r="G432" s="139"/>
      <c r="I432" s="140"/>
    </row>
    <row r="433" ht="15" customHeight="1" spans="1:9" x14ac:dyDescent="0.25">
      <c r="A433" s="135"/>
      <c r="B433" s="136"/>
      <c r="C433" s="137"/>
      <c r="D433" s="138"/>
      <c r="E433" s="138"/>
      <c r="F433" s="138"/>
      <c r="G433" s="139"/>
      <c r="I433" s="140"/>
    </row>
    <row r="434" ht="15" customHeight="1" spans="1:9" x14ac:dyDescent="0.25">
      <c r="A434" s="135"/>
      <c r="B434" s="136"/>
      <c r="C434" s="137"/>
      <c r="D434" s="138"/>
      <c r="E434" s="138"/>
      <c r="F434" s="138"/>
      <c r="G434" s="139"/>
      <c r="I434" s="140"/>
    </row>
    <row r="435" ht="15" customHeight="1" spans="1:9" x14ac:dyDescent="0.25">
      <c r="A435" s="135"/>
      <c r="B435" s="136"/>
      <c r="C435" s="137"/>
      <c r="D435" s="138"/>
      <c r="E435" s="138"/>
      <c r="F435" s="138"/>
      <c r="G435" s="139"/>
      <c r="I435" s="140"/>
    </row>
    <row r="436" ht="15" customHeight="1" spans="1:9" x14ac:dyDescent="0.25">
      <c r="A436" s="135"/>
      <c r="B436" s="136"/>
      <c r="C436" s="137"/>
      <c r="D436" s="138"/>
      <c r="E436" s="138"/>
      <c r="F436" s="138"/>
      <c r="G436" s="139"/>
      <c r="I436" s="140"/>
    </row>
    <row r="437" ht="15" customHeight="1" spans="1:9" x14ac:dyDescent="0.25">
      <c r="A437" s="135"/>
      <c r="B437" s="136"/>
      <c r="C437" s="137"/>
      <c r="D437" s="138"/>
      <c r="E437" s="138"/>
      <c r="F437" s="138"/>
      <c r="G437" s="139"/>
      <c r="I437" s="140"/>
    </row>
    <row r="438" ht="15" customHeight="1" spans="1:9" x14ac:dyDescent="0.25">
      <c r="A438" s="135"/>
      <c r="B438" s="136"/>
      <c r="C438" s="137"/>
      <c r="D438" s="138"/>
      <c r="E438" s="138"/>
      <c r="F438" s="138"/>
      <c r="G438" s="139"/>
      <c r="I438" s="140"/>
    </row>
    <row r="439" ht="15" customHeight="1" spans="1:9" x14ac:dyDescent="0.25">
      <c r="A439" s="135"/>
      <c r="B439" s="136"/>
      <c r="C439" s="137"/>
      <c r="D439" s="138"/>
      <c r="E439" s="138"/>
      <c r="F439" s="138"/>
      <c r="G439" s="139"/>
      <c r="I439" s="140"/>
    </row>
    <row r="440" ht="15" customHeight="1" spans="1:9" x14ac:dyDescent="0.25">
      <c r="A440" s="135"/>
      <c r="B440" s="136"/>
      <c r="C440" s="137"/>
      <c r="D440" s="138"/>
      <c r="E440" s="138"/>
      <c r="F440" s="138"/>
      <c r="G440" s="139"/>
      <c r="I440" s="140"/>
    </row>
    <row r="441" ht="15" customHeight="1" spans="1:9" x14ac:dyDescent="0.25">
      <c r="A441" s="135"/>
      <c r="B441" s="136"/>
      <c r="C441" s="137"/>
      <c r="D441" s="138"/>
      <c r="E441" s="138"/>
      <c r="F441" s="138"/>
      <c r="G441" s="139"/>
      <c r="I441" s="140"/>
    </row>
    <row r="442" ht="15" customHeight="1" spans="1:9" x14ac:dyDescent="0.25">
      <c r="A442" s="135"/>
      <c r="B442" s="136"/>
      <c r="C442" s="137"/>
      <c r="D442" s="138"/>
      <c r="E442" s="138"/>
      <c r="F442" s="138"/>
      <c r="G442" s="139"/>
      <c r="I442" s="140"/>
    </row>
    <row r="443" ht="15" customHeight="1" spans="1:9" x14ac:dyDescent="0.25">
      <c r="A443" s="135"/>
      <c r="B443" s="137"/>
      <c r="C443" s="137"/>
      <c r="D443" s="139"/>
      <c r="E443" s="139"/>
      <c r="F443" s="139"/>
      <c r="G443" s="139"/>
      <c r="I443" s="140"/>
    </row>
    <row r="444" ht="15" customHeight="1" spans="1:9" x14ac:dyDescent="0.25">
      <c r="A444" s="147"/>
      <c r="B444" s="137"/>
      <c r="C444" s="137"/>
      <c r="D444" s="139"/>
      <c r="E444" s="139"/>
      <c r="F444" s="139"/>
      <c r="G444" s="139"/>
      <c r="H444" s="137"/>
      <c r="I444" s="140"/>
    </row>
    <row r="445" ht="15" customHeight="1" spans="1:9" x14ac:dyDescent="0.25">
      <c r="A445" s="135"/>
      <c r="B445" s="137"/>
      <c r="C445" s="137"/>
      <c r="D445" s="139"/>
      <c r="E445" s="139"/>
      <c r="F445" s="139"/>
      <c r="G445" s="139"/>
      <c r="I445" s="140"/>
    </row>
    <row r="446" ht="15" customHeight="1" spans="1:9" x14ac:dyDescent="0.25">
      <c r="A446" s="135"/>
      <c r="B446" s="136"/>
      <c r="C446" s="137"/>
      <c r="D446" s="138"/>
      <c r="E446" s="138"/>
      <c r="F446" s="138"/>
      <c r="G446" s="139"/>
      <c r="I446" s="140"/>
    </row>
    <row r="447" ht="15" customHeight="1" spans="1:9" x14ac:dyDescent="0.25">
      <c r="A447" s="135"/>
      <c r="B447" s="136"/>
      <c r="C447" s="137"/>
      <c r="D447" s="138"/>
      <c r="E447" s="138"/>
      <c r="F447" s="138"/>
      <c r="G447" s="139"/>
      <c r="I447" s="140"/>
    </row>
    <row r="448" ht="15" customHeight="1" spans="1:9" x14ac:dyDescent="0.25">
      <c r="A448" s="135"/>
      <c r="B448" s="136"/>
      <c r="C448" s="137"/>
      <c r="D448" s="138"/>
      <c r="E448" s="138"/>
      <c r="F448" s="138"/>
      <c r="G448" s="139"/>
      <c r="I448" s="140"/>
    </row>
    <row r="449" ht="15" customHeight="1" spans="1:9" x14ac:dyDescent="0.25">
      <c r="A449" s="135"/>
      <c r="B449" s="137"/>
      <c r="C449" s="137"/>
      <c r="D449" s="139"/>
      <c r="E449" s="139"/>
      <c r="F449" s="139"/>
      <c r="G449" s="139"/>
      <c r="I449" s="140"/>
    </row>
    <row r="450" ht="15" customHeight="1" spans="1:9" x14ac:dyDescent="0.25">
      <c r="A450" s="135"/>
      <c r="B450" s="136"/>
      <c r="C450" s="137"/>
      <c r="D450" s="138"/>
      <c r="E450" s="138"/>
      <c r="F450" s="138"/>
      <c r="G450" s="139"/>
      <c r="I450" s="140"/>
    </row>
    <row r="451" ht="15" customHeight="1" spans="1:9" x14ac:dyDescent="0.25">
      <c r="A451" s="135"/>
      <c r="B451" s="136"/>
      <c r="C451" s="137"/>
      <c r="D451" s="138"/>
      <c r="E451" s="138"/>
      <c r="F451" s="138"/>
      <c r="G451" s="139"/>
      <c r="I451" s="140"/>
    </row>
    <row r="452" ht="15" customHeight="1" spans="1:9" x14ac:dyDescent="0.25">
      <c r="A452" s="135"/>
      <c r="B452" s="136"/>
      <c r="C452" s="137"/>
      <c r="D452" s="138"/>
      <c r="E452" s="138"/>
      <c r="F452" s="138"/>
      <c r="G452" s="139"/>
      <c r="I452" s="140"/>
    </row>
    <row r="453" ht="15" customHeight="1" spans="1:9" x14ac:dyDescent="0.25">
      <c r="A453" s="135"/>
      <c r="B453" s="136"/>
      <c r="C453" s="137"/>
      <c r="D453" s="138"/>
      <c r="E453" s="138"/>
      <c r="F453" s="138"/>
      <c r="G453" s="139"/>
      <c r="I453" s="140"/>
    </row>
    <row r="454" ht="15" customHeight="1" spans="1:9" x14ac:dyDescent="0.25">
      <c r="A454" s="135"/>
      <c r="B454" s="137"/>
      <c r="C454" s="137"/>
      <c r="D454" s="139"/>
      <c r="E454" s="139"/>
      <c r="F454" s="139"/>
      <c r="G454" s="139"/>
      <c r="I454" s="140"/>
    </row>
    <row r="455" ht="15" customHeight="1" spans="1:9" x14ac:dyDescent="0.25">
      <c r="A455" s="135"/>
      <c r="B455" s="136"/>
      <c r="C455" s="137"/>
      <c r="D455" s="138"/>
      <c r="E455" s="138"/>
      <c r="F455" s="138"/>
      <c r="G455" s="139"/>
      <c r="I455" s="140"/>
    </row>
    <row r="456" ht="15" customHeight="1" spans="1:9" x14ac:dyDescent="0.25">
      <c r="A456" s="135"/>
      <c r="B456" s="136"/>
      <c r="C456" s="137"/>
      <c r="D456" s="138"/>
      <c r="E456" s="138"/>
      <c r="F456" s="138"/>
      <c r="G456" s="139"/>
      <c r="I456" s="140"/>
    </row>
    <row r="457" ht="15" customHeight="1" spans="1:9" x14ac:dyDescent="0.25">
      <c r="A457" s="135"/>
      <c r="B457" s="136"/>
      <c r="C457" s="137"/>
      <c r="D457" s="138"/>
      <c r="E457" s="138"/>
      <c r="F457" s="138"/>
      <c r="G457" s="139"/>
      <c r="I457" s="140"/>
    </row>
    <row r="458" ht="15" customHeight="1" spans="1:9" x14ac:dyDescent="0.25">
      <c r="A458" s="135"/>
      <c r="B458" s="136"/>
      <c r="C458" s="137"/>
      <c r="D458" s="138"/>
      <c r="E458" s="138"/>
      <c r="F458" s="138"/>
      <c r="G458" s="139"/>
      <c r="I458" s="140"/>
    </row>
    <row r="459" ht="15" customHeight="1" spans="1:9" x14ac:dyDescent="0.25">
      <c r="A459" s="135"/>
      <c r="B459" s="136"/>
      <c r="C459" s="137"/>
      <c r="D459" s="138"/>
      <c r="E459" s="138"/>
      <c r="F459" s="138"/>
      <c r="G459" s="139"/>
      <c r="I459" s="140"/>
    </row>
    <row r="460" ht="15" customHeight="1" spans="1:9" x14ac:dyDescent="0.25">
      <c r="A460" s="135"/>
      <c r="B460" s="136"/>
      <c r="C460" s="137"/>
      <c r="D460" s="138"/>
      <c r="E460" s="138"/>
      <c r="F460" s="138"/>
      <c r="G460" s="139"/>
      <c r="I460" s="140"/>
    </row>
    <row r="461" ht="15" customHeight="1" spans="1:9" x14ac:dyDescent="0.25">
      <c r="A461" s="135"/>
      <c r="B461" s="136"/>
      <c r="C461" s="137"/>
      <c r="D461" s="138"/>
      <c r="E461" s="138"/>
      <c r="F461" s="138"/>
      <c r="G461" s="139"/>
      <c r="I461" s="140"/>
    </row>
    <row r="462" ht="15" customHeight="1" spans="1:9" x14ac:dyDescent="0.25">
      <c r="A462" s="135"/>
      <c r="B462" s="136"/>
      <c r="C462" s="137"/>
      <c r="D462" s="138"/>
      <c r="E462" s="138"/>
      <c r="F462" s="138"/>
      <c r="G462" s="139"/>
      <c r="I462" s="140"/>
    </row>
    <row r="463" ht="15" customHeight="1" spans="1:9" x14ac:dyDescent="0.25">
      <c r="A463" s="135"/>
      <c r="B463" s="136"/>
      <c r="C463" s="137"/>
      <c r="D463" s="138"/>
      <c r="E463" s="138"/>
      <c r="F463" s="138"/>
      <c r="G463" s="139"/>
      <c r="I463" s="140"/>
    </row>
    <row r="464" ht="15" customHeight="1" spans="1:9" x14ac:dyDescent="0.25">
      <c r="A464" s="135"/>
      <c r="B464" s="136"/>
      <c r="C464" s="137"/>
      <c r="D464" s="138"/>
      <c r="E464" s="138"/>
      <c r="F464" s="138"/>
      <c r="G464" s="139"/>
      <c r="I464" s="140"/>
    </row>
    <row r="465" ht="15" customHeight="1" spans="1:9" x14ac:dyDescent="0.25">
      <c r="A465" s="135"/>
      <c r="B465" s="137"/>
      <c r="C465" s="137"/>
      <c r="D465" s="139"/>
      <c r="E465" s="139"/>
      <c r="F465" s="138"/>
      <c r="G465" s="139"/>
      <c r="I465" s="140"/>
    </row>
    <row r="466" ht="15" customHeight="1" spans="1:9" x14ac:dyDescent="0.25">
      <c r="A466" s="135"/>
      <c r="B466" s="136"/>
      <c r="C466" s="137"/>
      <c r="D466" s="138"/>
      <c r="E466" s="138"/>
      <c r="F466" s="138"/>
      <c r="G466" s="139"/>
      <c r="I466" s="140"/>
    </row>
    <row r="467" ht="15" customHeight="1" spans="1:9" x14ac:dyDescent="0.25">
      <c r="A467" s="135"/>
      <c r="B467" s="136"/>
      <c r="C467" s="137"/>
      <c r="D467" s="138"/>
      <c r="E467" s="138"/>
      <c r="F467" s="138"/>
      <c r="G467" s="139"/>
      <c r="I467" s="140"/>
    </row>
    <row r="468" ht="15" customHeight="1" spans="1:9" x14ac:dyDescent="0.25">
      <c r="A468" s="135"/>
      <c r="B468" s="136"/>
      <c r="C468" s="137"/>
      <c r="D468" s="138"/>
      <c r="E468" s="138"/>
      <c r="F468" s="138"/>
      <c r="G468" s="139"/>
      <c r="I468" s="140"/>
    </row>
    <row r="469" ht="15" customHeight="1" spans="1:9" x14ac:dyDescent="0.25">
      <c r="A469" s="135"/>
      <c r="B469" s="136"/>
      <c r="C469" s="137"/>
      <c r="D469" s="138"/>
      <c r="E469" s="138"/>
      <c r="F469" s="138"/>
      <c r="G469" s="139"/>
      <c r="I469" s="140"/>
    </row>
    <row r="470" ht="15" customHeight="1" spans="1:9" x14ac:dyDescent="0.25">
      <c r="A470" s="135"/>
      <c r="B470" s="136"/>
      <c r="C470" s="137"/>
      <c r="D470" s="138"/>
      <c r="E470" s="138"/>
      <c r="F470" s="138"/>
      <c r="G470" s="139"/>
      <c r="I470" s="140"/>
    </row>
    <row r="471" ht="15" customHeight="1" spans="1:9" x14ac:dyDescent="0.25">
      <c r="A471" s="135"/>
      <c r="B471" s="136"/>
      <c r="C471" s="137"/>
      <c r="D471" s="138"/>
      <c r="E471" s="138"/>
      <c r="F471" s="138"/>
      <c r="G471" s="139"/>
      <c r="I471" s="140"/>
    </row>
    <row r="472" ht="15" customHeight="1" spans="1:9" x14ac:dyDescent="0.25">
      <c r="A472" s="135"/>
      <c r="B472" s="137"/>
      <c r="C472" s="137"/>
      <c r="D472" s="139"/>
      <c r="E472" s="139"/>
      <c r="F472" s="139"/>
      <c r="G472" s="139"/>
      <c r="I472" s="140"/>
    </row>
    <row r="473" ht="15" customHeight="1" spans="1:9" x14ac:dyDescent="0.25">
      <c r="A473" s="135"/>
      <c r="B473" s="136"/>
      <c r="C473" s="137"/>
      <c r="D473" s="138"/>
      <c r="E473" s="138"/>
      <c r="F473" s="138"/>
      <c r="G473" s="139"/>
      <c r="I473" s="140"/>
    </row>
    <row r="474" ht="15" customHeight="1" spans="1:9" x14ac:dyDescent="0.25">
      <c r="A474" s="135"/>
      <c r="B474" s="136"/>
      <c r="C474" s="137"/>
      <c r="D474" s="138"/>
      <c r="E474" s="138"/>
      <c r="F474" s="138"/>
      <c r="G474" s="139"/>
      <c r="I474" s="140"/>
    </row>
    <row r="475" ht="15" customHeight="1" spans="1:9" x14ac:dyDescent="0.25">
      <c r="A475" s="135"/>
      <c r="B475" s="136"/>
      <c r="C475" s="137"/>
      <c r="D475" s="138"/>
      <c r="E475" s="138"/>
      <c r="F475" s="138"/>
      <c r="G475" s="139"/>
      <c r="I475" s="140"/>
    </row>
    <row r="476" ht="15" customHeight="1" spans="1:9" x14ac:dyDescent="0.25">
      <c r="A476" s="135"/>
      <c r="B476" s="136"/>
      <c r="C476" s="137"/>
      <c r="D476" s="138"/>
      <c r="E476" s="138"/>
      <c r="F476" s="138"/>
      <c r="G476" s="139"/>
      <c r="I476" s="140"/>
    </row>
    <row r="477" ht="15" customHeight="1" spans="1:9" x14ac:dyDescent="0.25">
      <c r="A477" s="135"/>
      <c r="B477" s="136"/>
      <c r="C477" s="137"/>
      <c r="D477" s="138"/>
      <c r="E477" s="138"/>
      <c r="F477" s="138"/>
      <c r="G477" s="139"/>
      <c r="I477" s="140"/>
    </row>
    <row r="478" ht="15" customHeight="1" spans="1:9" x14ac:dyDescent="0.25">
      <c r="A478" s="135"/>
      <c r="B478" s="136"/>
      <c r="C478" s="137"/>
      <c r="D478" s="138"/>
      <c r="E478" s="138"/>
      <c r="F478" s="138"/>
      <c r="G478" s="139"/>
      <c r="I478" s="140"/>
    </row>
    <row r="479" ht="15" customHeight="1" spans="1:9" x14ac:dyDescent="0.25">
      <c r="A479" s="135"/>
      <c r="B479" s="137"/>
      <c r="C479" s="137"/>
      <c r="D479" s="139"/>
      <c r="E479" s="139"/>
      <c r="F479" s="139"/>
      <c r="G479" s="139"/>
      <c r="I479" s="140"/>
    </row>
    <row r="480" ht="15" customHeight="1" spans="1:9" x14ac:dyDescent="0.25">
      <c r="A480" s="135"/>
      <c r="B480" s="136"/>
      <c r="C480" s="137"/>
      <c r="D480" s="138"/>
      <c r="E480" s="138"/>
      <c r="F480" s="138"/>
      <c r="G480" s="139"/>
      <c r="I480" s="140"/>
    </row>
    <row r="481" ht="15" customHeight="1" spans="1:9" x14ac:dyDescent="0.25">
      <c r="A481" s="135"/>
      <c r="B481" s="136"/>
      <c r="C481" s="137"/>
      <c r="D481" s="138"/>
      <c r="E481" s="138"/>
      <c r="F481" s="138"/>
      <c r="G481" s="139"/>
      <c r="I481" s="140"/>
    </row>
    <row r="482" ht="15" customHeight="1" spans="1:9" x14ac:dyDescent="0.25">
      <c r="A482" s="135"/>
      <c r="B482" s="136"/>
      <c r="C482" s="137"/>
      <c r="D482" s="138"/>
      <c r="E482" s="138"/>
      <c r="F482" s="138"/>
      <c r="G482" s="139"/>
      <c r="I482" s="140"/>
    </row>
    <row r="483" ht="15" customHeight="1" spans="1:9" x14ac:dyDescent="0.25">
      <c r="A483" s="135"/>
      <c r="B483" s="136"/>
      <c r="C483" s="137"/>
      <c r="D483" s="138"/>
      <c r="E483" s="138"/>
      <c r="F483" s="138"/>
      <c r="G483" s="139"/>
      <c r="I483" s="140"/>
    </row>
    <row r="484" ht="15" customHeight="1" spans="1:9" x14ac:dyDescent="0.25">
      <c r="A484" s="135"/>
      <c r="B484" s="137"/>
      <c r="C484" s="137"/>
      <c r="D484" s="139"/>
      <c r="E484" s="139"/>
      <c r="F484" s="138"/>
      <c r="G484" s="139"/>
      <c r="I484" s="140"/>
    </row>
    <row r="485" ht="15" customHeight="1" spans="1:9" x14ac:dyDescent="0.25">
      <c r="A485" s="135"/>
      <c r="B485" s="136"/>
      <c r="C485" s="137"/>
      <c r="D485" s="138"/>
      <c r="E485" s="138"/>
      <c r="F485" s="138"/>
      <c r="G485" s="139"/>
      <c r="I485" s="140"/>
    </row>
    <row r="486" ht="15" customHeight="1" spans="1:9" x14ac:dyDescent="0.25">
      <c r="A486" s="135"/>
      <c r="B486" s="136"/>
      <c r="C486" s="137"/>
      <c r="D486" s="138"/>
      <c r="E486" s="138"/>
      <c r="F486" s="138"/>
      <c r="G486" s="139"/>
      <c r="I486" s="140"/>
    </row>
    <row r="487" ht="15" customHeight="1" spans="1:9" x14ac:dyDescent="0.25">
      <c r="A487" s="135"/>
      <c r="B487" s="136"/>
      <c r="C487" s="137"/>
      <c r="D487" s="138"/>
      <c r="E487" s="138"/>
      <c r="F487" s="138"/>
      <c r="G487" s="139"/>
      <c r="I487" s="140"/>
    </row>
    <row r="488" ht="15" customHeight="1" spans="1:9" x14ac:dyDescent="0.25">
      <c r="A488" s="135"/>
      <c r="B488" s="136"/>
      <c r="C488" s="137"/>
      <c r="D488" s="138"/>
      <c r="E488" s="138"/>
      <c r="F488" s="138"/>
      <c r="G488" s="139"/>
      <c r="I488" s="140"/>
    </row>
    <row r="489" ht="15" customHeight="1" spans="1:9" x14ac:dyDescent="0.25">
      <c r="A489" s="135"/>
      <c r="B489" s="136"/>
      <c r="C489" s="137"/>
      <c r="D489" s="138"/>
      <c r="E489" s="138"/>
      <c r="F489" s="138"/>
      <c r="G489" s="139"/>
      <c r="I489" s="140"/>
    </row>
    <row r="490" ht="15" customHeight="1" spans="1:9" x14ac:dyDescent="0.25">
      <c r="A490" s="135"/>
      <c r="B490" s="136"/>
      <c r="C490" s="137"/>
      <c r="D490" s="138"/>
      <c r="E490" s="138"/>
      <c r="F490" s="138"/>
      <c r="G490" s="139"/>
      <c r="I490" s="140"/>
    </row>
    <row r="491" ht="15" customHeight="1" spans="1:9" x14ac:dyDescent="0.25">
      <c r="A491" s="135"/>
      <c r="B491" s="136"/>
      <c r="C491" s="137"/>
      <c r="D491" s="138"/>
      <c r="E491" s="138"/>
      <c r="F491" s="138"/>
      <c r="G491" s="139"/>
      <c r="I491" s="140"/>
    </row>
    <row r="492" ht="15" customHeight="1" spans="1:9" x14ac:dyDescent="0.25">
      <c r="A492" s="135"/>
      <c r="B492" s="136"/>
      <c r="C492" s="137"/>
      <c r="D492" s="138"/>
      <c r="E492" s="138"/>
      <c r="F492" s="138"/>
      <c r="G492" s="139"/>
      <c r="I492" s="140"/>
    </row>
    <row r="493" ht="15" customHeight="1" spans="1:9" x14ac:dyDescent="0.25">
      <c r="A493" s="135"/>
      <c r="B493" s="136"/>
      <c r="C493" s="137"/>
      <c r="D493" s="138"/>
      <c r="E493" s="138"/>
      <c r="F493" s="138"/>
      <c r="G493" s="139"/>
      <c r="I493" s="140"/>
    </row>
    <row r="494" ht="15" customHeight="1" spans="1:9" x14ac:dyDescent="0.25">
      <c r="A494" s="135"/>
      <c r="B494" s="136"/>
      <c r="C494" s="137"/>
      <c r="D494" s="138"/>
      <c r="E494" s="138"/>
      <c r="F494" s="138"/>
      <c r="G494" s="139"/>
      <c r="I494" s="140"/>
    </row>
    <row r="495" ht="15" customHeight="1" spans="1:9" x14ac:dyDescent="0.25">
      <c r="A495" s="135"/>
      <c r="B495" s="137"/>
      <c r="C495" s="137"/>
      <c r="D495" s="139"/>
      <c r="E495" s="139"/>
      <c r="F495" s="139"/>
      <c r="G495" s="139"/>
      <c r="I495" s="140"/>
    </row>
    <row r="496" ht="15" customHeight="1" spans="1:9" x14ac:dyDescent="0.25">
      <c r="A496" s="135"/>
      <c r="B496" s="136"/>
      <c r="C496" s="137"/>
      <c r="D496" s="138"/>
      <c r="E496" s="138"/>
      <c r="F496" s="138"/>
      <c r="G496" s="139"/>
      <c r="I496" s="140"/>
    </row>
    <row r="497" ht="15" customHeight="1" spans="1:9" x14ac:dyDescent="0.25">
      <c r="A497" s="135"/>
      <c r="B497" s="136"/>
      <c r="C497" s="137"/>
      <c r="D497" s="138"/>
      <c r="E497" s="138"/>
      <c r="F497" s="138"/>
      <c r="G497" s="139"/>
      <c r="I497" s="140"/>
    </row>
    <row r="498" ht="15" customHeight="1" spans="1:9" x14ac:dyDescent="0.25">
      <c r="A498" s="135"/>
      <c r="B498" s="136"/>
      <c r="C498" s="137"/>
      <c r="D498" s="138"/>
      <c r="E498" s="138"/>
      <c r="F498" s="138"/>
      <c r="G498" s="139"/>
      <c r="I498" s="140"/>
    </row>
    <row r="499" ht="15" customHeight="1" spans="1:9" x14ac:dyDescent="0.25">
      <c r="A499" s="135"/>
      <c r="B499" s="136"/>
      <c r="C499" s="137"/>
      <c r="D499" s="138"/>
      <c r="E499" s="138"/>
      <c r="F499" s="138"/>
      <c r="G499" s="139"/>
      <c r="I499" s="140"/>
    </row>
    <row r="500" ht="15" customHeight="1" spans="1:9" x14ac:dyDescent="0.25">
      <c r="A500" s="135"/>
      <c r="B500" s="137"/>
      <c r="C500" s="137"/>
      <c r="D500" s="139"/>
      <c r="E500" s="139"/>
      <c r="F500" s="139"/>
      <c r="G500" s="139"/>
      <c r="I500" s="140"/>
    </row>
    <row r="501" ht="15" customHeight="1" spans="1:9" x14ac:dyDescent="0.25">
      <c r="A501" s="135"/>
      <c r="B501" s="136"/>
      <c r="C501" s="137"/>
      <c r="D501" s="138"/>
      <c r="E501" s="138"/>
      <c r="F501" s="138"/>
      <c r="G501" s="139"/>
      <c r="I501" s="140"/>
    </row>
    <row r="502" ht="15" customHeight="1" spans="1:9" x14ac:dyDescent="0.25">
      <c r="A502" s="135"/>
      <c r="B502" s="136"/>
      <c r="C502" s="137"/>
      <c r="D502" s="138"/>
      <c r="E502" s="138"/>
      <c r="F502" s="138"/>
      <c r="G502" s="139"/>
      <c r="I502" s="140"/>
    </row>
    <row r="503" ht="15" customHeight="1" spans="1:9" x14ac:dyDescent="0.25">
      <c r="A503" s="135"/>
      <c r="B503" s="136"/>
      <c r="C503" s="137"/>
      <c r="D503" s="138"/>
      <c r="E503" s="138"/>
      <c r="F503" s="138"/>
      <c r="G503" s="139"/>
      <c r="I503" s="140"/>
    </row>
    <row r="504" ht="15" customHeight="1" spans="1:9" x14ac:dyDescent="0.25">
      <c r="A504" s="135"/>
      <c r="B504" s="136"/>
      <c r="C504" s="137"/>
      <c r="D504" s="138"/>
      <c r="E504" s="138"/>
      <c r="F504" s="138"/>
      <c r="G504" s="139"/>
      <c r="I504" s="140"/>
    </row>
    <row r="505" ht="15" customHeight="1" spans="1:9" x14ac:dyDescent="0.25">
      <c r="A505" s="135"/>
      <c r="B505" s="136"/>
      <c r="C505" s="137"/>
      <c r="D505" s="138"/>
      <c r="E505" s="138"/>
      <c r="F505" s="138"/>
      <c r="G505" s="139"/>
      <c r="I505" s="140"/>
    </row>
    <row r="506" ht="15" customHeight="1" spans="1:9" x14ac:dyDescent="0.25">
      <c r="A506" s="135"/>
      <c r="B506" s="137"/>
      <c r="C506" s="137"/>
      <c r="D506" s="139"/>
      <c r="E506" s="139"/>
      <c r="F506" s="139"/>
      <c r="G506" s="139"/>
      <c r="I506" s="140"/>
    </row>
    <row r="507" ht="15" customHeight="1" spans="1:9" x14ac:dyDescent="0.25">
      <c r="A507" s="135"/>
      <c r="B507" s="136"/>
      <c r="C507" s="137"/>
      <c r="D507" s="138"/>
      <c r="E507" s="138"/>
      <c r="F507" s="138"/>
      <c r="G507" s="139"/>
      <c r="I507" s="140"/>
    </row>
    <row r="508" ht="15" customHeight="1" spans="1:9" x14ac:dyDescent="0.25">
      <c r="A508" s="135"/>
      <c r="B508" s="136"/>
      <c r="C508" s="137"/>
      <c r="D508" s="138"/>
      <c r="E508" s="138"/>
      <c r="F508" s="138"/>
      <c r="G508" s="139"/>
      <c r="I508" s="140"/>
    </row>
    <row r="509" ht="15" customHeight="1" spans="1:9" x14ac:dyDescent="0.25">
      <c r="A509" s="135"/>
      <c r="B509" s="136"/>
      <c r="C509" s="137"/>
      <c r="D509" s="138"/>
      <c r="E509" s="138"/>
      <c r="F509" s="138"/>
      <c r="G509" s="139"/>
      <c r="I509" s="140"/>
    </row>
    <row r="510" ht="15" customHeight="1" spans="1:9" x14ac:dyDescent="0.25">
      <c r="A510" s="135"/>
      <c r="B510" s="136"/>
      <c r="C510" s="137"/>
      <c r="D510" s="138"/>
      <c r="E510" s="138"/>
      <c r="F510" s="138"/>
      <c r="G510" s="139"/>
      <c r="I510" s="140"/>
    </row>
    <row r="511" ht="15" customHeight="1" spans="1:9" x14ac:dyDescent="0.25">
      <c r="A511" s="135"/>
      <c r="B511" s="136"/>
      <c r="C511" s="137"/>
      <c r="D511" s="138"/>
      <c r="E511" s="138"/>
      <c r="F511" s="138"/>
      <c r="G511" s="139"/>
      <c r="I511" s="140"/>
    </row>
    <row r="512" ht="15" customHeight="1" spans="1:9" x14ac:dyDescent="0.25">
      <c r="A512" s="135"/>
      <c r="B512" s="136"/>
      <c r="C512" s="137"/>
      <c r="D512" s="138"/>
      <c r="E512" s="138"/>
      <c r="F512" s="138"/>
      <c r="G512" s="139"/>
      <c r="I512" s="140"/>
    </row>
    <row r="513" ht="15" customHeight="1" spans="1:9" x14ac:dyDescent="0.25">
      <c r="A513" s="135"/>
      <c r="B513" s="136"/>
      <c r="C513" s="137"/>
      <c r="D513" s="138"/>
      <c r="E513" s="138"/>
      <c r="F513" s="138"/>
      <c r="G513" s="139"/>
      <c r="I513" s="140"/>
    </row>
    <row r="514" ht="15" customHeight="1" spans="1:9" x14ac:dyDescent="0.25">
      <c r="A514" s="135"/>
      <c r="B514" s="136"/>
      <c r="C514" s="137"/>
      <c r="D514" s="138"/>
      <c r="E514" s="138"/>
      <c r="F514" s="138"/>
      <c r="G514" s="139"/>
      <c r="I514" s="140"/>
    </row>
    <row r="515" ht="15" customHeight="1" spans="1:9" x14ac:dyDescent="0.25">
      <c r="A515" s="135"/>
      <c r="B515" s="136"/>
      <c r="C515" s="137"/>
      <c r="D515" s="138"/>
      <c r="E515" s="138"/>
      <c r="F515" s="138"/>
      <c r="G515" s="139"/>
      <c r="I515" s="140"/>
    </row>
    <row r="516" ht="15" customHeight="1" spans="1:9" x14ac:dyDescent="0.25">
      <c r="A516" s="135"/>
      <c r="B516" s="136"/>
      <c r="C516" s="137"/>
      <c r="D516" s="138"/>
      <c r="E516" s="138"/>
      <c r="F516" s="138"/>
      <c r="G516" s="139"/>
      <c r="I516" s="140"/>
    </row>
    <row r="517" ht="15" customHeight="1" spans="1:9" x14ac:dyDescent="0.25">
      <c r="A517" s="135"/>
      <c r="B517" s="136"/>
      <c r="C517" s="137"/>
      <c r="D517" s="138"/>
      <c r="E517" s="138"/>
      <c r="F517" s="138"/>
      <c r="G517" s="139"/>
      <c r="I517" s="140"/>
    </row>
    <row r="518" ht="15" customHeight="1" spans="1:9" x14ac:dyDescent="0.25">
      <c r="A518" s="135"/>
      <c r="B518" s="136"/>
      <c r="C518" s="137"/>
      <c r="D518" s="138"/>
      <c r="E518" s="138"/>
      <c r="F518" s="138"/>
      <c r="G518" s="139"/>
      <c r="I518" s="140"/>
    </row>
    <row r="519" ht="15" customHeight="1" spans="1:9" x14ac:dyDescent="0.25">
      <c r="A519" s="135"/>
      <c r="B519" s="136"/>
      <c r="C519" s="137"/>
      <c r="D519" s="138"/>
      <c r="E519" s="138"/>
      <c r="F519" s="138"/>
      <c r="G519" s="139"/>
      <c r="I519" s="140"/>
    </row>
    <row r="520" ht="15" customHeight="1" spans="1:9" x14ac:dyDescent="0.25">
      <c r="A520" s="135"/>
      <c r="B520" s="136"/>
      <c r="C520" s="137"/>
      <c r="D520" s="138"/>
      <c r="E520" s="138"/>
      <c r="F520" s="138"/>
      <c r="G520" s="139"/>
      <c r="I520" s="140"/>
    </row>
    <row r="521" ht="15" customHeight="1" spans="1:9" x14ac:dyDescent="0.25">
      <c r="A521" s="135"/>
      <c r="B521" s="136"/>
      <c r="C521" s="137"/>
      <c r="D521" s="138"/>
      <c r="E521" s="138"/>
      <c r="F521" s="138"/>
      <c r="G521" s="139"/>
      <c r="I521" s="140"/>
    </row>
    <row r="522" ht="15" customHeight="1" spans="1:9" x14ac:dyDescent="0.25">
      <c r="A522" s="135"/>
      <c r="B522" s="136"/>
      <c r="C522" s="137"/>
      <c r="D522" s="138"/>
      <c r="E522" s="138"/>
      <c r="F522" s="138"/>
      <c r="G522" s="139"/>
      <c r="I522" s="140"/>
    </row>
    <row r="523" ht="15" customHeight="1" spans="1:9" x14ac:dyDescent="0.25">
      <c r="A523" s="135"/>
      <c r="B523" s="136"/>
      <c r="C523" s="137"/>
      <c r="D523" s="138"/>
      <c r="E523" s="138"/>
      <c r="F523" s="138"/>
      <c r="G523" s="139"/>
      <c r="I523" s="140"/>
    </row>
    <row r="524" ht="15" customHeight="1" spans="1:9" x14ac:dyDescent="0.25">
      <c r="A524" s="135"/>
      <c r="B524" s="136"/>
      <c r="C524" s="137"/>
      <c r="D524" s="138"/>
      <c r="E524" s="138"/>
      <c r="F524" s="138"/>
      <c r="G524" s="139"/>
      <c r="I524" s="140"/>
    </row>
    <row r="525" ht="15" customHeight="1" spans="1:9" x14ac:dyDescent="0.25">
      <c r="A525" s="135"/>
      <c r="B525" s="136"/>
      <c r="C525" s="137"/>
      <c r="D525" s="138"/>
      <c r="E525" s="138"/>
      <c r="F525" s="138"/>
      <c r="G525" s="139"/>
      <c r="I525" s="140"/>
    </row>
    <row r="526" ht="15" customHeight="1" spans="1:9" x14ac:dyDescent="0.25">
      <c r="A526" s="135"/>
      <c r="B526" s="136"/>
      <c r="C526" s="137"/>
      <c r="D526" s="138"/>
      <c r="E526" s="138"/>
      <c r="F526" s="138"/>
      <c r="G526" s="139"/>
      <c r="I526" s="140"/>
    </row>
    <row r="527" ht="15" customHeight="1" spans="1:9" x14ac:dyDescent="0.25">
      <c r="A527" s="135"/>
      <c r="B527" s="136"/>
      <c r="C527" s="137"/>
      <c r="D527" s="138"/>
      <c r="E527" s="138"/>
      <c r="F527" s="138"/>
      <c r="G527" s="139"/>
      <c r="I527" s="140"/>
    </row>
    <row r="528" ht="15" customHeight="1" spans="1:9" x14ac:dyDescent="0.25">
      <c r="A528" s="135"/>
      <c r="B528" s="136"/>
      <c r="C528" s="137"/>
      <c r="D528" s="138"/>
      <c r="E528" s="138"/>
      <c r="F528" s="138"/>
      <c r="G528" s="139"/>
      <c r="I528" s="140"/>
    </row>
    <row r="529" ht="15" customHeight="1" spans="1:9" x14ac:dyDescent="0.25">
      <c r="A529" s="135"/>
      <c r="B529" s="136"/>
      <c r="C529" s="137"/>
      <c r="D529" s="138"/>
      <c r="E529" s="138"/>
      <c r="F529" s="138"/>
      <c r="G529" s="139"/>
      <c r="I529" s="140"/>
    </row>
    <row r="530" ht="15" customHeight="1" spans="1:9" x14ac:dyDescent="0.25">
      <c r="A530" s="135"/>
      <c r="B530" s="136"/>
      <c r="C530" s="137"/>
      <c r="D530" s="138"/>
      <c r="E530" s="138"/>
      <c r="F530" s="138"/>
      <c r="G530" s="139"/>
      <c r="I530" s="140"/>
    </row>
    <row r="531" ht="15" customHeight="1" spans="1:9" x14ac:dyDescent="0.25">
      <c r="A531" s="135"/>
      <c r="B531" s="136"/>
      <c r="C531" s="137"/>
      <c r="D531" s="138"/>
      <c r="E531" s="138"/>
      <c r="F531" s="138"/>
      <c r="G531" s="139"/>
      <c r="I531" s="140"/>
    </row>
    <row r="532" ht="15" customHeight="1" spans="1:9" x14ac:dyDescent="0.25">
      <c r="A532" s="147"/>
      <c r="B532" s="137"/>
      <c r="C532" s="137"/>
      <c r="D532" s="139"/>
      <c r="E532" s="139"/>
      <c r="F532" s="139"/>
      <c r="G532" s="139"/>
      <c r="H532" s="137"/>
      <c r="I532" s="140"/>
    </row>
    <row r="533" ht="15" customHeight="1" spans="1:9" x14ac:dyDescent="0.25">
      <c r="A533" s="147"/>
      <c r="B533" s="137"/>
      <c r="C533" s="137"/>
      <c r="D533" s="139"/>
      <c r="E533" s="139"/>
      <c r="F533" s="139"/>
      <c r="G533" s="139"/>
      <c r="H533" s="137"/>
      <c r="I533" s="140"/>
    </row>
    <row r="534" ht="15" customHeight="1" spans="1:9" x14ac:dyDescent="0.25">
      <c r="A534" s="147"/>
      <c r="B534" s="137"/>
      <c r="C534" s="137"/>
      <c r="D534" s="139"/>
      <c r="E534" s="139"/>
      <c r="F534" s="139"/>
      <c r="G534" s="139"/>
      <c r="H534" s="137"/>
      <c r="I534" s="140"/>
    </row>
    <row r="535" ht="15" customHeight="1" spans="1:9" x14ac:dyDescent="0.25">
      <c r="A535" s="147"/>
      <c r="B535" s="137"/>
      <c r="C535" s="137"/>
      <c r="D535" s="139"/>
      <c r="E535" s="139"/>
      <c r="F535" s="139"/>
      <c r="G535" s="139"/>
      <c r="H535" s="137"/>
      <c r="I535" s="140"/>
    </row>
    <row r="536" ht="15" customHeight="1" spans="1:9" x14ac:dyDescent="0.25">
      <c r="A536" s="147"/>
      <c r="B536" s="137"/>
      <c r="C536" s="137"/>
      <c r="D536" s="139"/>
      <c r="E536" s="139"/>
      <c r="F536" s="139"/>
      <c r="G536" s="139"/>
      <c r="H536" s="137"/>
      <c r="I536" s="140"/>
    </row>
    <row r="537" ht="15" customHeight="1" spans="1:9" x14ac:dyDescent="0.25">
      <c r="A537" s="147"/>
      <c r="B537" s="137"/>
      <c r="C537" s="137"/>
      <c r="D537" s="139"/>
      <c r="E537" s="139"/>
      <c r="F537" s="139"/>
      <c r="G537" s="139"/>
      <c r="H537" s="137"/>
      <c r="I537" s="140"/>
    </row>
    <row r="538" ht="15" customHeight="1" spans="1:9" x14ac:dyDescent="0.25">
      <c r="A538" s="147"/>
      <c r="B538" s="137"/>
      <c r="C538" s="137"/>
      <c r="D538" s="139"/>
      <c r="E538" s="139"/>
      <c r="F538" s="139"/>
      <c r="G538" s="139"/>
      <c r="H538" s="137"/>
      <c r="I538" s="140"/>
    </row>
    <row r="539" ht="15" customHeight="1" spans="1:9" x14ac:dyDescent="0.25">
      <c r="A539" s="135"/>
      <c r="B539" s="136"/>
      <c r="C539" s="137"/>
      <c r="D539" s="138"/>
      <c r="E539" s="138"/>
      <c r="F539" s="138"/>
      <c r="G539" s="139"/>
      <c r="I539" s="140"/>
    </row>
    <row r="540" ht="15" customHeight="1" spans="1:9" x14ac:dyDescent="0.25">
      <c r="A540" s="135"/>
      <c r="B540" s="137"/>
      <c r="C540" s="137"/>
      <c r="D540" s="139"/>
      <c r="E540" s="139"/>
      <c r="F540" s="139"/>
      <c r="G540" s="139"/>
      <c r="I540" s="140"/>
    </row>
    <row r="541" ht="15" customHeight="1" spans="1:9" x14ac:dyDescent="0.25">
      <c r="A541" s="147"/>
      <c r="B541" s="137"/>
      <c r="C541" s="137"/>
      <c r="D541" s="139"/>
      <c r="E541" s="139"/>
      <c r="F541" s="139"/>
      <c r="G541" s="139"/>
      <c r="H541" s="137"/>
      <c r="I541" s="140"/>
    </row>
    <row r="542" ht="15" customHeight="1" spans="1:9" x14ac:dyDescent="0.25">
      <c r="A542" s="135"/>
      <c r="B542" s="137"/>
      <c r="C542" s="137"/>
      <c r="D542" s="139"/>
      <c r="E542" s="139"/>
      <c r="F542" s="139"/>
      <c r="G542" s="139"/>
      <c r="I542" s="140"/>
    </row>
    <row r="543" ht="15" customHeight="1" spans="1:9" x14ac:dyDescent="0.25">
      <c r="A543" s="147"/>
      <c r="B543" s="137"/>
      <c r="C543" s="137"/>
      <c r="D543" s="139"/>
      <c r="E543" s="139"/>
      <c r="F543" s="139"/>
      <c r="G543" s="139"/>
      <c r="H543" s="137"/>
      <c r="I543" s="140"/>
    </row>
    <row r="544" ht="15" customHeight="1" spans="1:9" x14ac:dyDescent="0.25">
      <c r="A544" s="135"/>
      <c r="B544" s="137"/>
      <c r="C544" s="137"/>
      <c r="D544" s="139"/>
      <c r="E544" s="139"/>
      <c r="F544" s="138"/>
      <c r="G544" s="139"/>
      <c r="I544" s="140"/>
    </row>
    <row r="545" ht="15" customHeight="1" spans="1:9" x14ac:dyDescent="0.25">
      <c r="A545" s="147"/>
      <c r="B545" s="137"/>
      <c r="C545" s="137"/>
      <c r="D545" s="139"/>
      <c r="E545" s="139"/>
      <c r="F545" s="139"/>
      <c r="G545" s="139"/>
      <c r="H545" s="137"/>
      <c r="I545" s="140"/>
    </row>
    <row r="546" ht="15" customHeight="1" spans="1:9" x14ac:dyDescent="0.25">
      <c r="A546" s="147"/>
      <c r="B546" s="137"/>
      <c r="C546" s="137"/>
      <c r="D546" s="139"/>
      <c r="E546" s="139"/>
      <c r="F546" s="139"/>
      <c r="G546" s="139"/>
      <c r="H546" s="137"/>
      <c r="I546" s="140"/>
    </row>
    <row r="547" ht="15" customHeight="1" spans="1:9" x14ac:dyDescent="0.25">
      <c r="A547" s="147"/>
      <c r="B547" s="137"/>
      <c r="C547" s="137"/>
      <c r="D547" s="139"/>
      <c r="E547" s="139"/>
      <c r="F547" s="139"/>
      <c r="G547" s="139"/>
      <c r="H547" s="137"/>
      <c r="I547" s="140"/>
    </row>
    <row r="548" ht="15" customHeight="1" spans="1:9" x14ac:dyDescent="0.25">
      <c r="A548" s="135"/>
      <c r="B548" s="137"/>
      <c r="C548" s="137"/>
      <c r="D548" s="139"/>
      <c r="E548" s="139"/>
      <c r="F548" s="139"/>
      <c r="G548" s="139"/>
      <c r="I548" s="140"/>
    </row>
    <row r="549" ht="15" customHeight="1" spans="1:9" x14ac:dyDescent="0.25">
      <c r="A549" s="135"/>
      <c r="B549" s="137"/>
      <c r="C549" s="136"/>
      <c r="D549" s="139"/>
      <c r="E549" s="139"/>
      <c r="F549" s="138"/>
      <c r="G549" s="138"/>
      <c r="H549" s="136"/>
      <c r="I549" s="140"/>
    </row>
    <row r="550" ht="15" customHeight="1" spans="1:9" x14ac:dyDescent="0.25">
      <c r="A550" s="147"/>
      <c r="B550" s="137"/>
      <c r="C550" s="137"/>
      <c r="D550" s="139"/>
      <c r="E550" s="139"/>
      <c r="F550" s="139"/>
      <c r="G550" s="139"/>
      <c r="H550" s="137"/>
      <c r="I550" s="140"/>
    </row>
    <row r="551" ht="15" customHeight="1" spans="1:9" x14ac:dyDescent="0.25">
      <c r="A551" s="147"/>
      <c r="B551" s="137"/>
      <c r="C551" s="137"/>
      <c r="D551" s="139"/>
      <c r="E551" s="139"/>
      <c r="F551" s="139"/>
      <c r="G551" s="139"/>
      <c r="H551" s="137"/>
      <c r="I551" s="140"/>
    </row>
    <row r="552" ht="15" customHeight="1" spans="1:9" x14ac:dyDescent="0.25">
      <c r="A552" s="147"/>
      <c r="B552" s="137"/>
      <c r="C552" s="137"/>
      <c r="D552" s="139"/>
      <c r="E552" s="139"/>
      <c r="F552" s="139"/>
      <c r="G552" s="139"/>
      <c r="H552" s="137"/>
      <c r="I552" s="140"/>
    </row>
    <row r="553" ht="15" customHeight="1" spans="1:9" x14ac:dyDescent="0.25">
      <c r="A553" s="147"/>
      <c r="B553" s="137"/>
      <c r="C553" s="137"/>
      <c r="D553" s="139"/>
      <c r="E553" s="139"/>
      <c r="F553" s="139"/>
      <c r="G553" s="139"/>
      <c r="H553" s="137"/>
      <c r="I553" s="140"/>
    </row>
    <row r="554" ht="15" customHeight="1" spans="1:9" x14ac:dyDescent="0.25">
      <c r="A554" s="135"/>
      <c r="B554" s="136"/>
      <c r="C554" s="137"/>
      <c r="D554" s="138"/>
      <c r="E554" s="138"/>
      <c r="F554" s="138"/>
      <c r="G554" s="139"/>
      <c r="I554" s="140"/>
    </row>
    <row r="555" ht="15" customHeight="1" spans="1:9" x14ac:dyDescent="0.25">
      <c r="A555" s="135"/>
      <c r="B555" s="136"/>
      <c r="C555" s="137"/>
      <c r="D555" s="138"/>
      <c r="E555" s="138"/>
      <c r="F555" s="138"/>
      <c r="G555" s="139"/>
      <c r="I555" s="140"/>
    </row>
    <row r="556" ht="15" customHeight="1" spans="1:9" x14ac:dyDescent="0.25">
      <c r="A556" s="147"/>
      <c r="B556" s="137"/>
      <c r="C556" s="137"/>
      <c r="D556" s="139"/>
      <c r="E556" s="139"/>
      <c r="F556" s="139"/>
      <c r="G556" s="139"/>
      <c r="H556" s="137"/>
      <c r="I556" s="140"/>
    </row>
    <row r="557" ht="15" customHeight="1" spans="1:9" x14ac:dyDescent="0.25">
      <c r="A557" s="135"/>
      <c r="B557" s="136"/>
      <c r="C557" s="137"/>
      <c r="D557" s="138"/>
      <c r="E557" s="138"/>
      <c r="F557" s="138"/>
      <c r="G557" s="139"/>
      <c r="I557" s="140"/>
    </row>
    <row r="558" ht="15" customHeight="1" spans="1:9" x14ac:dyDescent="0.25">
      <c r="A558" s="147"/>
      <c r="B558" s="137"/>
      <c r="C558" s="137"/>
      <c r="D558" s="139"/>
      <c r="E558" s="139"/>
      <c r="F558" s="139"/>
      <c r="G558" s="139"/>
      <c r="H558" s="137"/>
      <c r="I558" s="140"/>
    </row>
    <row r="559" ht="15" customHeight="1" spans="1:9" x14ac:dyDescent="0.25">
      <c r="A559" s="147"/>
      <c r="B559" s="137"/>
      <c r="C559" s="137"/>
      <c r="D559" s="139"/>
      <c r="E559" s="139"/>
      <c r="F559" s="139"/>
      <c r="G559" s="139"/>
      <c r="H559" s="137"/>
      <c r="I559" s="140"/>
    </row>
    <row r="560" ht="15" customHeight="1" spans="1:9" x14ac:dyDescent="0.25">
      <c r="A560" s="135"/>
      <c r="B560" s="136"/>
      <c r="C560" s="137"/>
      <c r="D560" s="138"/>
      <c r="E560" s="138"/>
      <c r="F560" s="138"/>
      <c r="G560" s="139"/>
      <c r="I560" s="140"/>
    </row>
    <row r="561" ht="15" customHeight="1" spans="1:9" x14ac:dyDescent="0.25">
      <c r="A561" s="147"/>
      <c r="B561" s="137"/>
      <c r="C561" s="137"/>
      <c r="D561" s="139"/>
      <c r="E561" s="139"/>
      <c r="F561" s="139"/>
      <c r="G561" s="139"/>
      <c r="H561" s="137"/>
      <c r="I561" s="140"/>
    </row>
    <row r="562" ht="15" customHeight="1" spans="1:9" x14ac:dyDescent="0.25">
      <c r="A562" s="147"/>
      <c r="B562" s="137"/>
      <c r="C562" s="137"/>
      <c r="D562" s="139"/>
      <c r="E562" s="139"/>
      <c r="F562" s="139"/>
      <c r="G562" s="139"/>
      <c r="H562" s="137"/>
      <c r="I562" s="140"/>
    </row>
    <row r="563" ht="15" customHeight="1" spans="1:9" x14ac:dyDescent="0.25">
      <c r="A563" s="147"/>
      <c r="B563" s="137"/>
      <c r="C563" s="137"/>
      <c r="D563" s="139"/>
      <c r="E563" s="139"/>
      <c r="F563" s="139"/>
      <c r="G563" s="139"/>
      <c r="H563" s="137"/>
      <c r="I563" s="140"/>
    </row>
    <row r="564" ht="15" customHeight="1" spans="1:9" x14ac:dyDescent="0.25">
      <c r="A564" s="147"/>
      <c r="B564" s="137"/>
      <c r="C564" s="137"/>
      <c r="D564" s="139"/>
      <c r="E564" s="139"/>
      <c r="F564" s="139"/>
      <c r="G564" s="139"/>
      <c r="H564" s="137"/>
      <c r="I564" s="140"/>
    </row>
    <row r="565" ht="15" customHeight="1" spans="1:9" x14ac:dyDescent="0.25">
      <c r="A565" s="147"/>
      <c r="B565" s="137"/>
      <c r="C565" s="137"/>
      <c r="D565" s="139"/>
      <c r="E565" s="139"/>
      <c r="F565" s="139"/>
      <c r="G565" s="139"/>
      <c r="H565" s="137"/>
      <c r="I565" s="140"/>
    </row>
    <row r="566" ht="15" customHeight="1" spans="1:9" x14ac:dyDescent="0.25">
      <c r="A566" s="135"/>
      <c r="B566" s="136"/>
      <c r="C566" s="137"/>
      <c r="D566" s="138"/>
      <c r="E566" s="138"/>
      <c r="F566" s="138"/>
      <c r="G566" s="139"/>
      <c r="I566" s="140"/>
    </row>
    <row r="567" ht="15" customHeight="1" spans="1:9" x14ac:dyDescent="0.25">
      <c r="A567" s="135"/>
      <c r="B567" s="136"/>
      <c r="C567" s="137"/>
      <c r="D567" s="138"/>
      <c r="E567" s="138"/>
      <c r="F567" s="138"/>
      <c r="G567" s="139"/>
      <c r="I567" s="140"/>
    </row>
    <row r="568" ht="15" customHeight="1" spans="1:9" x14ac:dyDescent="0.25">
      <c r="A568" s="135"/>
      <c r="B568" s="137"/>
      <c r="C568" s="137"/>
      <c r="D568" s="139"/>
      <c r="E568" s="139"/>
      <c r="F568" s="139"/>
      <c r="G568" s="139"/>
      <c r="I568" s="140"/>
    </row>
    <row r="569" ht="15" customHeight="1" spans="1:9" x14ac:dyDescent="0.25">
      <c r="A569" s="135"/>
      <c r="B569" s="137"/>
      <c r="C569" s="137"/>
      <c r="D569" s="139"/>
      <c r="E569" s="139"/>
      <c r="F569" s="139"/>
      <c r="G569" s="139"/>
      <c r="I569" s="140"/>
    </row>
    <row r="570" ht="15" customHeight="1" spans="1:9" x14ac:dyDescent="0.25">
      <c r="A570" s="135"/>
      <c r="B570" s="137"/>
      <c r="C570" s="137"/>
      <c r="D570" s="139"/>
      <c r="E570" s="139"/>
      <c r="F570" s="139"/>
      <c r="G570" s="139"/>
      <c r="I570" s="140"/>
    </row>
    <row r="571" ht="15" customHeight="1" spans="1:18" x14ac:dyDescent="0.25">
      <c r="A571" s="135"/>
      <c r="B571" s="136"/>
      <c r="C571" s="137"/>
      <c r="D571" s="138"/>
      <c r="E571" s="138"/>
      <c r="F571" s="138"/>
      <c r="G571" s="139"/>
      <c r="I571" s="140"/>
      <c r="J571" s="146"/>
      <c r="K571" s="146"/>
      <c r="L571" s="146"/>
      <c r="M571" s="146"/>
      <c r="N571" s="146"/>
      <c r="O571" s="146"/>
      <c r="P571" s="146"/>
      <c r="Q571" s="146"/>
      <c r="R571" s="146"/>
    </row>
    <row r="572" ht="15" customHeight="1" spans="1:17" x14ac:dyDescent="0.25">
      <c r="A572" s="135"/>
      <c r="B572" s="136"/>
      <c r="C572" s="137"/>
      <c r="D572" s="138"/>
      <c r="E572" s="138"/>
      <c r="F572" s="138"/>
      <c r="G572" s="139"/>
      <c r="I572" s="140"/>
      <c r="M572" s="146"/>
      <c r="N572" s="146"/>
      <c r="P572" s="146"/>
      <c r="Q572" s="146"/>
    </row>
    <row r="573" ht="15" customHeight="1" spans="1:9" x14ac:dyDescent="0.25">
      <c r="A573" s="135"/>
      <c r="B573" s="136"/>
      <c r="C573" s="137"/>
      <c r="D573" s="138"/>
      <c r="E573" s="138"/>
      <c r="F573" s="138"/>
      <c r="G573" s="139"/>
      <c r="I573" s="140"/>
    </row>
    <row r="574" ht="15" customHeight="1" spans="1:9" x14ac:dyDescent="0.25">
      <c r="A574" s="135"/>
      <c r="B574" s="136"/>
      <c r="C574" s="137"/>
      <c r="D574" s="138"/>
      <c r="E574" s="138"/>
      <c r="F574" s="138"/>
      <c r="G574" s="139"/>
      <c r="H574" s="137" t="s">
        <v>190</v>
      </c>
      <c r="I574" s="140"/>
    </row>
    <row r="575" ht="15" customHeight="1" spans="1:9" x14ac:dyDescent="0.25">
      <c r="A575" s="135"/>
      <c r="B575" s="136"/>
      <c r="C575" s="137"/>
      <c r="D575" s="138"/>
      <c r="E575" s="138"/>
      <c r="F575" s="138"/>
      <c r="G575" s="139"/>
      <c r="I575" s="140"/>
    </row>
    <row r="576" ht="15" customHeight="1" spans="1:9" x14ac:dyDescent="0.25">
      <c r="A576" s="135"/>
      <c r="B576" s="137"/>
      <c r="C576" s="137"/>
      <c r="D576" s="139"/>
      <c r="E576" s="139"/>
      <c r="F576" s="139"/>
      <c r="G576" s="139"/>
      <c r="I576" s="140"/>
    </row>
    <row r="577" ht="15" customHeight="1" spans="1:9" x14ac:dyDescent="0.25">
      <c r="A577" s="135"/>
      <c r="B577" s="137"/>
      <c r="C577" s="137"/>
      <c r="D577" s="139"/>
      <c r="E577" s="139"/>
      <c r="F577" s="139"/>
      <c r="G577" s="139"/>
      <c r="I577" s="140"/>
    </row>
    <row r="578" ht="15" customHeight="1" spans="1:9" x14ac:dyDescent="0.25">
      <c r="A578" s="135"/>
      <c r="B578" s="136"/>
      <c r="C578" s="137"/>
      <c r="D578" s="138"/>
      <c r="E578" s="138"/>
      <c r="F578" s="138"/>
      <c r="G578" s="139"/>
      <c r="I578" s="140"/>
    </row>
    <row r="579" ht="15" customHeight="1" spans="1:9" x14ac:dyDescent="0.25">
      <c r="A579" s="135"/>
      <c r="B579" s="137"/>
      <c r="C579" s="137"/>
      <c r="D579" s="139"/>
      <c r="E579" s="139"/>
      <c r="F579" s="139"/>
      <c r="G579" s="139"/>
      <c r="I579" s="140"/>
    </row>
    <row r="580" ht="15" customHeight="1" spans="1:9" x14ac:dyDescent="0.25">
      <c r="A580" s="135"/>
      <c r="B580" s="137"/>
      <c r="C580" s="137"/>
      <c r="D580" s="139"/>
      <c r="E580" s="139"/>
      <c r="F580" s="139"/>
      <c r="G580" s="139"/>
      <c r="I580" s="140"/>
    </row>
    <row r="581" ht="15" customHeight="1" spans="1:9" x14ac:dyDescent="0.25">
      <c r="A581" s="135"/>
      <c r="B581" s="136"/>
      <c r="C581" s="137"/>
      <c r="D581" s="138"/>
      <c r="E581" s="138"/>
      <c r="F581" s="138"/>
      <c r="G581" s="139"/>
      <c r="I581" s="140"/>
    </row>
    <row r="582" ht="15" customHeight="1" spans="1:9" x14ac:dyDescent="0.25">
      <c r="A582" s="135"/>
      <c r="B582" s="136"/>
      <c r="C582" s="137"/>
      <c r="D582" s="138"/>
      <c r="E582" s="138"/>
      <c r="F582" s="138"/>
      <c r="G582" s="139"/>
      <c r="I582" s="140"/>
    </row>
    <row r="583" ht="15" customHeight="1" spans="1:9" x14ac:dyDescent="0.25">
      <c r="A583" s="135"/>
      <c r="B583" s="136"/>
      <c r="C583" s="137"/>
      <c r="D583" s="138"/>
      <c r="E583" s="138"/>
      <c r="F583" s="138"/>
      <c r="G583" s="139"/>
      <c r="I583" s="140"/>
    </row>
    <row r="584" ht="15" customHeight="1" spans="1:9" x14ac:dyDescent="0.25">
      <c r="A584" s="135"/>
      <c r="B584" s="137"/>
      <c r="C584" s="137"/>
      <c r="D584" s="139"/>
      <c r="E584" s="139"/>
      <c r="F584" s="139"/>
      <c r="G584" s="139"/>
      <c r="I584" s="140"/>
    </row>
    <row r="585" ht="15" customHeight="1" spans="1:9" x14ac:dyDescent="0.25">
      <c r="A585" s="135"/>
      <c r="B585" s="136"/>
      <c r="C585" s="137"/>
      <c r="D585" s="138"/>
      <c r="E585" s="138"/>
      <c r="F585" s="138"/>
      <c r="G585" s="139"/>
      <c r="I585" s="140"/>
    </row>
    <row r="586" ht="15" customHeight="1" spans="1:9" x14ac:dyDescent="0.25">
      <c r="A586" s="135"/>
      <c r="B586" s="137"/>
      <c r="C586" s="137"/>
      <c r="D586" s="139"/>
      <c r="E586" s="139"/>
      <c r="F586" s="139"/>
      <c r="G586" s="139"/>
      <c r="I586" s="140"/>
    </row>
    <row r="587" ht="15" customHeight="1" spans="1:9" x14ac:dyDescent="0.25">
      <c r="A587" s="135"/>
      <c r="B587" s="137"/>
      <c r="C587" s="137"/>
      <c r="D587" s="139"/>
      <c r="E587" s="139"/>
      <c r="F587" s="138"/>
      <c r="G587" s="139"/>
      <c r="I587" s="140"/>
    </row>
    <row r="588" ht="15" customHeight="1" spans="1:9" x14ac:dyDescent="0.25">
      <c r="A588" s="135"/>
      <c r="B588" s="136"/>
      <c r="C588" s="137"/>
      <c r="D588" s="138"/>
      <c r="E588" s="138"/>
      <c r="F588" s="138"/>
      <c r="G588" s="139"/>
      <c r="I588" s="140"/>
    </row>
    <row r="589" ht="15" customHeight="1" spans="1:9" x14ac:dyDescent="0.25">
      <c r="A589" s="135"/>
      <c r="B589" s="137"/>
      <c r="C589" s="137"/>
      <c r="D589" s="139"/>
      <c r="E589" s="139"/>
      <c r="F589" s="139"/>
      <c r="G589" s="139"/>
      <c r="I589" s="140"/>
    </row>
    <row r="590" ht="15" customHeight="1" spans="1:9" x14ac:dyDescent="0.25">
      <c r="A590" s="135"/>
      <c r="B590" s="136"/>
      <c r="C590" s="137"/>
      <c r="D590" s="138"/>
      <c r="E590" s="138"/>
      <c r="F590" s="138"/>
      <c r="G590" s="139"/>
      <c r="I590" s="140"/>
    </row>
    <row r="591" ht="15" customHeight="1" spans="1:9" x14ac:dyDescent="0.25">
      <c r="A591" s="135"/>
      <c r="B591" s="136"/>
      <c r="C591" s="137"/>
      <c r="D591" s="138"/>
      <c r="E591" s="138"/>
      <c r="F591" s="138"/>
      <c r="G591" s="139"/>
      <c r="I591" s="140"/>
    </row>
    <row r="592" ht="15" customHeight="1" spans="1:9" x14ac:dyDescent="0.25">
      <c r="A592" s="135"/>
      <c r="B592" s="137"/>
      <c r="C592" s="137"/>
      <c r="D592" s="139"/>
      <c r="E592" s="139"/>
      <c r="F592" s="139"/>
      <c r="G592" s="139"/>
      <c r="I592" s="140"/>
    </row>
    <row r="593" ht="15" customHeight="1" spans="1:9" x14ac:dyDescent="0.25">
      <c r="A593" s="135"/>
      <c r="B593" s="137"/>
      <c r="C593" s="137"/>
      <c r="D593" s="139"/>
      <c r="E593" s="139"/>
      <c r="F593" s="138"/>
      <c r="G593" s="139"/>
      <c r="I593" s="140"/>
    </row>
    <row r="594" ht="15" customHeight="1" spans="1:9" x14ac:dyDescent="0.25">
      <c r="A594" s="135"/>
      <c r="B594" s="136"/>
      <c r="C594" s="137"/>
      <c r="D594" s="138"/>
      <c r="E594" s="138"/>
      <c r="F594" s="138"/>
      <c r="G594" s="139"/>
      <c r="I594" s="140"/>
    </row>
    <row r="595" ht="15" customHeight="1" spans="1:9" x14ac:dyDescent="0.25">
      <c r="A595" s="135"/>
      <c r="B595" s="136"/>
      <c r="C595" s="137"/>
      <c r="D595" s="138"/>
      <c r="E595" s="138"/>
      <c r="F595" s="138"/>
      <c r="G595" s="139"/>
      <c r="I595" s="140"/>
    </row>
    <row r="596" ht="15" customHeight="1" spans="1:9" x14ac:dyDescent="0.25">
      <c r="A596" s="135"/>
      <c r="B596" s="136"/>
      <c r="C596" s="137"/>
      <c r="D596" s="138"/>
      <c r="E596" s="138"/>
      <c r="F596" s="138"/>
      <c r="G596" s="139"/>
      <c r="I596" s="140"/>
    </row>
    <row r="597" ht="15" customHeight="1" spans="1:9" x14ac:dyDescent="0.25">
      <c r="A597" s="135"/>
      <c r="B597" s="137"/>
      <c r="C597" s="137"/>
      <c r="D597" s="139"/>
      <c r="E597" s="139"/>
      <c r="F597" s="139"/>
      <c r="G597" s="139"/>
      <c r="I597" s="140"/>
    </row>
    <row r="598" ht="15" customHeight="1" spans="1:9" x14ac:dyDescent="0.25">
      <c r="A598" s="135"/>
      <c r="B598" s="137"/>
      <c r="C598" s="137"/>
      <c r="D598" s="139"/>
      <c r="E598" s="139"/>
      <c r="F598" s="139"/>
      <c r="G598" s="139"/>
      <c r="I598" s="140"/>
    </row>
    <row r="599" ht="15" customHeight="1" spans="1:9" x14ac:dyDescent="0.25">
      <c r="A599" s="135"/>
      <c r="B599" s="136"/>
      <c r="C599" s="137"/>
      <c r="D599" s="138"/>
      <c r="E599" s="138"/>
      <c r="F599" s="138"/>
      <c r="G599" s="139"/>
      <c r="I599" s="140"/>
    </row>
    <row r="600" ht="15" customHeight="1" spans="1:9" x14ac:dyDescent="0.25">
      <c r="A600" s="135"/>
      <c r="B600" s="136"/>
      <c r="C600" s="137"/>
      <c r="D600" s="138"/>
      <c r="E600" s="138"/>
      <c r="F600" s="138"/>
      <c r="G600" s="139"/>
      <c r="I600" s="140"/>
    </row>
    <row r="601" ht="15" customHeight="1" spans="1:9" x14ac:dyDescent="0.25">
      <c r="A601" s="135"/>
      <c r="B601" s="137"/>
      <c r="C601" s="137"/>
      <c r="D601" s="139"/>
      <c r="E601" s="139"/>
      <c r="F601" s="139"/>
      <c r="G601" s="139"/>
      <c r="I601" s="140"/>
    </row>
    <row r="602" ht="15" customHeight="1" spans="1:9" x14ac:dyDescent="0.25">
      <c r="A602" s="135"/>
      <c r="B602" s="136"/>
      <c r="C602" s="137"/>
      <c r="D602" s="138"/>
      <c r="E602" s="138"/>
      <c r="F602" s="138"/>
      <c r="G602" s="139"/>
      <c r="I602" s="140"/>
    </row>
    <row r="603" ht="15" customHeight="1" spans="1:9" x14ac:dyDescent="0.25">
      <c r="A603" s="135"/>
      <c r="B603" s="136"/>
      <c r="C603" s="137"/>
      <c r="D603" s="138"/>
      <c r="E603" s="138"/>
      <c r="F603" s="138"/>
      <c r="G603" s="139"/>
      <c r="I603" s="140"/>
    </row>
    <row r="604" ht="15" customHeight="1" spans="1:9" x14ac:dyDescent="0.25">
      <c r="A604" s="135"/>
      <c r="B604" s="136"/>
      <c r="C604" s="137"/>
      <c r="D604" s="138"/>
      <c r="E604" s="138"/>
      <c r="F604" s="138"/>
      <c r="G604" s="139"/>
      <c r="I604" s="140"/>
    </row>
    <row r="605" ht="15" customHeight="1" spans="1:9" x14ac:dyDescent="0.25">
      <c r="A605" s="135"/>
      <c r="B605" s="136"/>
      <c r="C605" s="137"/>
      <c r="D605" s="138"/>
      <c r="E605" s="138"/>
      <c r="F605" s="138"/>
      <c r="G605" s="139"/>
      <c r="I605" s="140"/>
    </row>
    <row r="606" ht="15" customHeight="1" spans="1:9" x14ac:dyDescent="0.25">
      <c r="A606" s="135"/>
      <c r="B606" s="136"/>
      <c r="C606" s="137"/>
      <c r="D606" s="138"/>
      <c r="E606" s="138"/>
      <c r="F606" s="138"/>
      <c r="G606" s="139"/>
      <c r="I606" s="140"/>
    </row>
    <row r="607" ht="15" customHeight="1" spans="1:9" x14ac:dyDescent="0.25">
      <c r="A607" s="135"/>
      <c r="B607" s="136"/>
      <c r="C607" s="137"/>
      <c r="D607" s="138"/>
      <c r="E607" s="138"/>
      <c r="F607" s="138"/>
      <c r="G607" s="139"/>
      <c r="I607" s="140"/>
    </row>
    <row r="608" ht="15" customHeight="1" spans="1:9" x14ac:dyDescent="0.25">
      <c r="A608" s="135"/>
      <c r="B608" s="137"/>
      <c r="C608" s="137"/>
      <c r="D608" s="139"/>
      <c r="E608" s="139"/>
      <c r="F608" s="139"/>
      <c r="G608" s="139"/>
      <c r="I608" s="140"/>
    </row>
    <row r="609" ht="15" customHeight="1" spans="1:9" x14ac:dyDescent="0.25">
      <c r="A609" s="135"/>
      <c r="B609" s="137"/>
      <c r="C609" s="137"/>
      <c r="D609" s="139"/>
      <c r="E609" s="139"/>
      <c r="F609" s="138"/>
      <c r="G609" s="139"/>
      <c r="I609" s="140"/>
    </row>
    <row r="610" ht="15" customHeight="1" spans="1:9" x14ac:dyDescent="0.25">
      <c r="A610" s="135"/>
      <c r="B610" s="136"/>
      <c r="C610" s="137"/>
      <c r="D610" s="138"/>
      <c r="E610" s="138"/>
      <c r="F610" s="138"/>
      <c r="G610" s="139"/>
      <c r="I610" s="140"/>
    </row>
    <row r="611" ht="15" customHeight="1" spans="1:9" x14ac:dyDescent="0.25">
      <c r="A611" s="135"/>
      <c r="B611" s="136"/>
      <c r="C611" s="137"/>
      <c r="D611" s="138"/>
      <c r="E611" s="138"/>
      <c r="F611" s="138"/>
      <c r="G611" s="139"/>
      <c r="I611" s="140"/>
    </row>
    <row r="612" ht="15" customHeight="1" spans="1:9" x14ac:dyDescent="0.25">
      <c r="A612" s="135"/>
      <c r="B612" s="136"/>
      <c r="C612" s="137"/>
      <c r="D612" s="138"/>
      <c r="E612" s="138"/>
      <c r="F612" s="138"/>
      <c r="G612" s="139"/>
      <c r="I612" s="140"/>
    </row>
    <row r="613" ht="15" customHeight="1" spans="1:9" x14ac:dyDescent="0.25">
      <c r="A613" s="135"/>
      <c r="B613" s="137"/>
      <c r="C613" s="137"/>
      <c r="D613" s="139"/>
      <c r="E613" s="139"/>
      <c r="F613" s="138"/>
      <c r="G613" s="139"/>
      <c r="I613" s="140"/>
    </row>
    <row r="614" ht="15" customHeight="1" spans="1:9" x14ac:dyDescent="0.25">
      <c r="A614" s="135"/>
      <c r="B614" s="136"/>
      <c r="C614" s="137"/>
      <c r="D614" s="138"/>
      <c r="E614" s="138"/>
      <c r="F614" s="138"/>
      <c r="G614" s="139"/>
      <c r="I614" s="140"/>
    </row>
    <row r="615" ht="15" customHeight="1" spans="1:9" x14ac:dyDescent="0.25">
      <c r="A615" s="135"/>
      <c r="B615" s="137"/>
      <c r="C615" s="137"/>
      <c r="D615" s="139"/>
      <c r="E615" s="139"/>
      <c r="F615" s="138"/>
      <c r="G615" s="139"/>
      <c r="I615" s="140"/>
    </row>
    <row r="616" ht="15" customHeight="1" spans="1:9" x14ac:dyDescent="0.25">
      <c r="A616" s="135"/>
      <c r="B616" s="136"/>
      <c r="C616" s="137"/>
      <c r="D616" s="138"/>
      <c r="E616" s="138"/>
      <c r="F616" s="138"/>
      <c r="G616" s="139"/>
      <c r="I616" s="140"/>
    </row>
    <row r="617" ht="15" customHeight="1" spans="1:9" x14ac:dyDescent="0.25">
      <c r="A617" s="135"/>
      <c r="B617" s="136"/>
      <c r="C617" s="137"/>
      <c r="D617" s="138"/>
      <c r="E617" s="138"/>
      <c r="F617" s="138"/>
      <c r="G617" s="139"/>
      <c r="I617" s="140"/>
    </row>
    <row r="618" ht="15" customHeight="1" spans="1:9" x14ac:dyDescent="0.25">
      <c r="A618" s="135"/>
      <c r="B618" s="136"/>
      <c r="C618" s="137"/>
      <c r="D618" s="138"/>
      <c r="E618" s="138"/>
      <c r="F618" s="138"/>
      <c r="G618" s="139"/>
      <c r="I618" s="140"/>
    </row>
    <row r="619" ht="15" customHeight="1" spans="1:9" x14ac:dyDescent="0.25">
      <c r="A619" s="135"/>
      <c r="B619" s="136"/>
      <c r="C619" s="137"/>
      <c r="D619" s="138"/>
      <c r="E619" s="138"/>
      <c r="F619" s="138"/>
      <c r="G619" s="139"/>
      <c r="I619" s="140"/>
    </row>
    <row r="620" ht="15" customHeight="1" spans="1:9" x14ac:dyDescent="0.25">
      <c r="A620" s="135"/>
      <c r="B620" s="137"/>
      <c r="C620" s="137"/>
      <c r="D620" s="139"/>
      <c r="E620" s="139"/>
      <c r="F620" s="139"/>
      <c r="G620" s="139"/>
      <c r="I620" s="140"/>
    </row>
    <row r="621" ht="15" customHeight="1" spans="1:9" x14ac:dyDescent="0.25">
      <c r="A621" s="135"/>
      <c r="B621" s="136"/>
      <c r="C621" s="137"/>
      <c r="D621" s="138"/>
      <c r="E621" s="138"/>
      <c r="F621" s="138"/>
      <c r="G621" s="139"/>
      <c r="I621" s="140"/>
    </row>
    <row r="622" ht="15" customHeight="1" spans="1:9" x14ac:dyDescent="0.25">
      <c r="A622" s="135"/>
      <c r="B622" s="136"/>
      <c r="C622" s="137"/>
      <c r="D622" s="138"/>
      <c r="E622" s="138"/>
      <c r="F622" s="138"/>
      <c r="G622" s="139"/>
      <c r="I622" s="140"/>
    </row>
    <row r="623" ht="15" customHeight="1" spans="1:9" x14ac:dyDescent="0.25">
      <c r="A623" s="135"/>
      <c r="B623" s="136"/>
      <c r="C623" s="137"/>
      <c r="D623" s="138"/>
      <c r="E623" s="138"/>
      <c r="F623" s="138"/>
      <c r="G623" s="139"/>
      <c r="I623" s="140"/>
    </row>
    <row r="624" ht="15" customHeight="1" spans="1:9" x14ac:dyDescent="0.25">
      <c r="A624" s="135"/>
      <c r="B624" s="136"/>
      <c r="C624" s="137"/>
      <c r="D624" s="138"/>
      <c r="E624" s="138"/>
      <c r="F624" s="138"/>
      <c r="G624" s="139"/>
      <c r="I624" s="140"/>
    </row>
    <row r="625" ht="15" customHeight="1" spans="1:9" x14ac:dyDescent="0.25">
      <c r="A625" s="135"/>
      <c r="B625" s="137"/>
      <c r="C625" s="137"/>
      <c r="D625" s="139"/>
      <c r="E625" s="139"/>
      <c r="F625" s="139"/>
      <c r="G625" s="139"/>
      <c r="I625" s="140"/>
    </row>
    <row r="626" ht="15" customHeight="1" spans="1:9" x14ac:dyDescent="0.25">
      <c r="A626" s="135"/>
      <c r="B626" s="136"/>
      <c r="C626" s="137"/>
      <c r="D626" s="138"/>
      <c r="E626" s="138"/>
      <c r="F626" s="138"/>
      <c r="G626" s="139"/>
      <c r="I626" s="140"/>
    </row>
    <row r="627" ht="15" customHeight="1" spans="1:9" x14ac:dyDescent="0.25">
      <c r="A627" s="135"/>
      <c r="B627" s="136"/>
      <c r="C627" s="137"/>
      <c r="D627" s="138"/>
      <c r="E627" s="138"/>
      <c r="F627" s="138"/>
      <c r="G627" s="139"/>
      <c r="I627" s="140"/>
    </row>
    <row r="628" ht="15" customHeight="1" spans="1:9" x14ac:dyDescent="0.25">
      <c r="A628" s="135"/>
      <c r="B628" s="137"/>
      <c r="C628" s="137"/>
      <c r="D628" s="139"/>
      <c r="E628" s="139"/>
      <c r="F628" s="138"/>
      <c r="G628" s="139"/>
      <c r="I628" s="140"/>
    </row>
    <row r="629" ht="15" customHeight="1" spans="1:9" x14ac:dyDescent="0.25">
      <c r="A629" s="135"/>
      <c r="B629" s="137"/>
      <c r="C629" s="137"/>
      <c r="D629" s="139"/>
      <c r="E629" s="139"/>
      <c r="F629" s="139"/>
      <c r="G629" s="139"/>
      <c r="I629" s="140"/>
    </row>
    <row r="630" ht="15" customHeight="1" spans="1:9" x14ac:dyDescent="0.25">
      <c r="A630" s="135"/>
      <c r="B630" s="136"/>
      <c r="C630" s="137"/>
      <c r="D630" s="138"/>
      <c r="E630" s="138"/>
      <c r="F630" s="138"/>
      <c r="G630" s="139"/>
      <c r="I630" s="140"/>
    </row>
    <row r="631" ht="15" customHeight="1" spans="1:9" x14ac:dyDescent="0.25">
      <c r="A631" s="135"/>
      <c r="B631" s="136"/>
      <c r="C631" s="137"/>
      <c r="D631" s="138"/>
      <c r="E631" s="138"/>
      <c r="F631" s="138"/>
      <c r="G631" s="139"/>
      <c r="I631" s="140"/>
    </row>
    <row r="632" ht="15" customHeight="1" spans="1:9" x14ac:dyDescent="0.25">
      <c r="A632" s="135"/>
      <c r="B632" s="136"/>
      <c r="C632" s="137"/>
      <c r="D632" s="138"/>
      <c r="E632" s="138"/>
      <c r="F632" s="138"/>
      <c r="G632" s="139"/>
      <c r="I632" s="140"/>
    </row>
    <row r="633" ht="15" customHeight="1" spans="1:9" x14ac:dyDescent="0.25">
      <c r="A633" s="135"/>
      <c r="B633" s="136"/>
      <c r="C633" s="137"/>
      <c r="D633" s="138"/>
      <c r="E633" s="138"/>
      <c r="F633" s="138"/>
      <c r="G633" s="139"/>
      <c r="I633" s="140"/>
    </row>
    <row r="634" ht="15" customHeight="1" spans="1:9" x14ac:dyDescent="0.25">
      <c r="A634" s="135"/>
      <c r="B634" s="136"/>
      <c r="C634" s="137"/>
      <c r="D634" s="138"/>
      <c r="E634" s="138"/>
      <c r="F634" s="138"/>
      <c r="G634" s="139"/>
      <c r="I634" s="140"/>
    </row>
    <row r="635" ht="15" customHeight="1" spans="1:9" x14ac:dyDescent="0.25">
      <c r="A635" s="135"/>
      <c r="B635" s="136"/>
      <c r="C635" s="137"/>
      <c r="D635" s="138"/>
      <c r="E635" s="138"/>
      <c r="F635" s="138"/>
      <c r="G635" s="139"/>
      <c r="H635" s="137" t="s">
        <v>191</v>
      </c>
      <c r="I635" s="140"/>
    </row>
    <row r="636" ht="15" customHeight="1" spans="1:9" x14ac:dyDescent="0.25">
      <c r="A636" s="135"/>
      <c r="B636" s="136"/>
      <c r="C636" s="137"/>
      <c r="D636" s="138"/>
      <c r="E636" s="138"/>
      <c r="F636" s="138"/>
      <c r="G636" s="139"/>
      <c r="I636" s="140"/>
    </row>
    <row r="637" ht="15" customHeight="1" spans="1:9" x14ac:dyDescent="0.25">
      <c r="A637" s="135"/>
      <c r="B637" s="137"/>
      <c r="C637" s="137"/>
      <c r="D637" s="139"/>
      <c r="E637" s="139"/>
      <c r="F637" s="139"/>
      <c r="G637" s="139"/>
      <c r="I637" s="140"/>
    </row>
    <row r="638" ht="15" customHeight="1" spans="1:9" x14ac:dyDescent="0.25">
      <c r="A638" s="135"/>
      <c r="B638" s="136"/>
      <c r="C638" s="137"/>
      <c r="D638" s="138"/>
      <c r="E638" s="138"/>
      <c r="F638" s="138"/>
      <c r="G638" s="139"/>
      <c r="I638" s="140"/>
    </row>
    <row r="639" ht="15" customHeight="1" spans="1:9" x14ac:dyDescent="0.25">
      <c r="A639" s="135"/>
      <c r="B639" s="136"/>
      <c r="C639" s="137"/>
      <c r="D639" s="138"/>
      <c r="E639" s="138"/>
      <c r="F639" s="138"/>
      <c r="G639" s="139"/>
      <c r="I639" s="140"/>
    </row>
    <row r="640" ht="15" customHeight="1" spans="1:9" x14ac:dyDescent="0.25">
      <c r="A640" s="135"/>
      <c r="B640" s="136"/>
      <c r="C640" s="137"/>
      <c r="D640" s="138"/>
      <c r="E640" s="138"/>
      <c r="F640" s="138"/>
      <c r="G640" s="139"/>
      <c r="I640" s="140"/>
    </row>
    <row r="641" ht="15" customHeight="1" spans="1:9" x14ac:dyDescent="0.25">
      <c r="A641" s="135"/>
      <c r="B641" s="136"/>
      <c r="C641" s="137"/>
      <c r="D641" s="138"/>
      <c r="E641" s="138"/>
      <c r="F641" s="138"/>
      <c r="G641" s="139"/>
      <c r="I641" s="140"/>
    </row>
    <row r="642" ht="15" customHeight="1" spans="1:9" x14ac:dyDescent="0.25">
      <c r="A642" s="135"/>
      <c r="B642" s="136"/>
      <c r="C642" s="137"/>
      <c r="D642" s="138"/>
      <c r="E642" s="138"/>
      <c r="F642" s="138"/>
      <c r="G642" s="139"/>
      <c r="I642" s="140"/>
    </row>
    <row r="643" ht="15" customHeight="1" spans="1:9" x14ac:dyDescent="0.25">
      <c r="A643" s="135"/>
      <c r="B643" s="137"/>
      <c r="C643" s="137"/>
      <c r="D643" s="139"/>
      <c r="E643" s="139"/>
      <c r="F643" s="138"/>
      <c r="G643" s="139"/>
      <c r="I643" s="140"/>
    </row>
    <row r="644" ht="15" customHeight="1" spans="1:9" x14ac:dyDescent="0.25">
      <c r="A644" s="135"/>
      <c r="B644" s="136"/>
      <c r="C644" s="137"/>
      <c r="D644" s="138"/>
      <c r="E644" s="138"/>
      <c r="F644" s="138"/>
      <c r="G644" s="139"/>
      <c r="I644" s="140"/>
    </row>
    <row r="645" ht="15" customHeight="1" spans="1:9" x14ac:dyDescent="0.25">
      <c r="A645" s="135"/>
      <c r="B645" s="137"/>
      <c r="C645" s="137"/>
      <c r="D645" s="139"/>
      <c r="E645" s="139"/>
      <c r="F645" s="138"/>
      <c r="G645" s="139"/>
      <c r="I645" s="140"/>
    </row>
    <row r="646" ht="15" customHeight="1" spans="1:9" x14ac:dyDescent="0.25">
      <c r="A646" s="135"/>
      <c r="B646" s="136"/>
      <c r="C646" s="137"/>
      <c r="D646" s="138"/>
      <c r="E646" s="138"/>
      <c r="F646" s="138"/>
      <c r="G646" s="139"/>
      <c r="I646" s="140"/>
    </row>
    <row r="647" ht="15" customHeight="1" spans="1:9" x14ac:dyDescent="0.25">
      <c r="A647" s="135"/>
      <c r="B647" s="136"/>
      <c r="C647" s="137"/>
      <c r="D647" s="138"/>
      <c r="E647" s="138"/>
      <c r="F647" s="138"/>
      <c r="G647" s="139"/>
      <c r="I647" s="140"/>
    </row>
    <row r="648" ht="15" customHeight="1" spans="1:9" x14ac:dyDescent="0.25">
      <c r="A648" s="135"/>
      <c r="B648" s="137"/>
      <c r="C648" s="137"/>
      <c r="D648" s="139"/>
      <c r="E648" s="139"/>
      <c r="F648" s="138"/>
      <c r="G648" s="139"/>
      <c r="I648" s="140"/>
    </row>
    <row r="649" ht="15" customHeight="1" spans="1:9" x14ac:dyDescent="0.25">
      <c r="A649" s="135"/>
      <c r="B649" s="136"/>
      <c r="C649" s="137"/>
      <c r="D649" s="138"/>
      <c r="E649" s="138"/>
      <c r="F649" s="138"/>
      <c r="G649" s="139"/>
      <c r="I649" s="140"/>
    </row>
    <row r="650" ht="15" customHeight="1" spans="1:9" x14ac:dyDescent="0.25">
      <c r="A650" s="135"/>
      <c r="B650" s="136"/>
      <c r="C650" s="137"/>
      <c r="D650" s="138"/>
      <c r="E650" s="138"/>
      <c r="F650" s="138"/>
      <c r="G650" s="139"/>
      <c r="I650" s="140"/>
    </row>
    <row r="651" ht="15" customHeight="1" spans="1:9" x14ac:dyDescent="0.25">
      <c r="A651" s="135"/>
      <c r="B651" s="136"/>
      <c r="C651" s="137"/>
      <c r="D651" s="138"/>
      <c r="E651" s="138"/>
      <c r="F651" s="138"/>
      <c r="G651" s="139"/>
      <c r="I651" s="140"/>
    </row>
    <row r="652" ht="15" customHeight="1" spans="1:9" x14ac:dyDescent="0.25">
      <c r="A652" s="135"/>
      <c r="B652" s="137"/>
      <c r="C652" s="137"/>
      <c r="D652" s="139"/>
      <c r="E652" s="139"/>
      <c r="F652" s="138"/>
      <c r="G652" s="139"/>
      <c r="I652" s="140"/>
    </row>
    <row r="653" ht="15" customHeight="1" spans="1:9" x14ac:dyDescent="0.25">
      <c r="A653" s="135"/>
      <c r="B653" s="136"/>
      <c r="C653" s="137"/>
      <c r="D653" s="138"/>
      <c r="E653" s="138"/>
      <c r="F653" s="138"/>
      <c r="G653" s="139"/>
      <c r="I653" s="140"/>
    </row>
    <row r="654" ht="15" customHeight="1" spans="1:9" x14ac:dyDescent="0.25">
      <c r="A654" s="135"/>
      <c r="B654" s="137"/>
      <c r="C654" s="137"/>
      <c r="D654" s="139"/>
      <c r="E654" s="139"/>
      <c r="F654" s="139"/>
      <c r="G654" s="139"/>
      <c r="I654" s="140"/>
    </row>
    <row r="655" ht="15" customHeight="1" spans="1:9" x14ac:dyDescent="0.25">
      <c r="A655" s="135"/>
      <c r="B655" s="136"/>
      <c r="C655" s="137"/>
      <c r="D655" s="138"/>
      <c r="E655" s="138"/>
      <c r="F655" s="138"/>
      <c r="G655" s="139"/>
      <c r="I655" s="140"/>
    </row>
    <row r="656" ht="15" customHeight="1" spans="1:9" x14ac:dyDescent="0.25">
      <c r="A656" s="135"/>
      <c r="B656" s="136"/>
      <c r="C656" s="137"/>
      <c r="D656" s="138"/>
      <c r="E656" s="138"/>
      <c r="F656" s="138"/>
      <c r="G656" s="139"/>
      <c r="I656" s="140"/>
    </row>
    <row r="657" ht="15" customHeight="1" spans="1:9" x14ac:dyDescent="0.25">
      <c r="A657" s="135"/>
      <c r="B657" s="136"/>
      <c r="C657" s="137"/>
      <c r="D657" s="138"/>
      <c r="E657" s="138"/>
      <c r="F657" s="138"/>
      <c r="G657" s="139"/>
      <c r="I657" s="140"/>
    </row>
    <row r="658" ht="15" customHeight="1" spans="1:9" x14ac:dyDescent="0.25">
      <c r="A658" s="135"/>
      <c r="B658" s="136"/>
      <c r="C658" s="137"/>
      <c r="D658" s="138"/>
      <c r="E658" s="138"/>
      <c r="F658" s="138"/>
      <c r="G658" s="139"/>
      <c r="I658" s="140"/>
    </row>
    <row r="659" ht="15" customHeight="1" spans="1:9" x14ac:dyDescent="0.25">
      <c r="A659" s="135"/>
      <c r="B659" s="136"/>
      <c r="C659" s="137"/>
      <c r="D659" s="138"/>
      <c r="E659" s="138"/>
      <c r="F659" s="138"/>
      <c r="G659" s="139"/>
      <c r="I659" s="140"/>
    </row>
    <row r="660" ht="15" customHeight="1" spans="1:9" x14ac:dyDescent="0.25">
      <c r="A660" s="135"/>
      <c r="B660" s="136"/>
      <c r="C660" s="137"/>
      <c r="D660" s="138"/>
      <c r="E660" s="138"/>
      <c r="F660" s="138"/>
      <c r="G660" s="139"/>
      <c r="I660" s="140"/>
    </row>
    <row r="661" ht="15" customHeight="1" spans="1:9" x14ac:dyDescent="0.25">
      <c r="A661" s="147"/>
      <c r="B661" s="137"/>
      <c r="C661" s="137"/>
      <c r="D661" s="139"/>
      <c r="E661" s="139"/>
      <c r="F661" s="139"/>
      <c r="G661" s="139"/>
      <c r="H661" s="137"/>
      <c r="I661" s="140"/>
    </row>
    <row r="662" ht="15" customHeight="1" spans="1:9" x14ac:dyDescent="0.25">
      <c r="A662" s="135"/>
      <c r="B662" s="136"/>
      <c r="C662" s="137"/>
      <c r="D662" s="138"/>
      <c r="E662" s="138"/>
      <c r="F662" s="138"/>
      <c r="G662" s="139"/>
      <c r="I662" s="140"/>
    </row>
    <row r="663" ht="15" customHeight="1" spans="1:9" x14ac:dyDescent="0.25">
      <c r="A663" s="135"/>
      <c r="B663" s="136"/>
      <c r="C663" s="137"/>
      <c r="D663" s="138"/>
      <c r="E663" s="138"/>
      <c r="F663" s="138"/>
      <c r="G663" s="139"/>
      <c r="I663" s="140"/>
    </row>
    <row r="664" ht="15" customHeight="1" spans="1:9" x14ac:dyDescent="0.25">
      <c r="A664" s="135"/>
      <c r="B664" s="136"/>
      <c r="C664" s="137"/>
      <c r="D664" s="138"/>
      <c r="E664" s="138"/>
      <c r="F664" s="138"/>
      <c r="G664" s="139"/>
      <c r="I664" s="140"/>
    </row>
    <row r="665" ht="15" customHeight="1" spans="1:9" x14ac:dyDescent="0.25">
      <c r="A665" s="135"/>
      <c r="B665" s="136"/>
      <c r="C665" s="137"/>
      <c r="D665" s="138"/>
      <c r="E665" s="138"/>
      <c r="F665" s="138"/>
      <c r="G665" s="139"/>
      <c r="I665" s="140"/>
    </row>
    <row r="666" ht="15" customHeight="1" spans="1:9" x14ac:dyDescent="0.25">
      <c r="A666" s="135"/>
      <c r="B666" s="136"/>
      <c r="C666" s="137"/>
      <c r="D666" s="138"/>
      <c r="E666" s="138"/>
      <c r="F666" s="138"/>
      <c r="G666" s="139"/>
      <c r="I666" s="140"/>
    </row>
    <row r="667" ht="15" customHeight="1" spans="1:9" x14ac:dyDescent="0.25">
      <c r="A667" s="135"/>
      <c r="B667" s="136"/>
      <c r="C667" s="137"/>
      <c r="D667" s="138"/>
      <c r="E667" s="138"/>
      <c r="F667" s="138"/>
      <c r="G667" s="139"/>
      <c r="I667" s="140"/>
    </row>
    <row r="668" ht="15" customHeight="1" spans="1:9" x14ac:dyDescent="0.25">
      <c r="A668" s="135"/>
      <c r="B668" s="137"/>
      <c r="C668" s="137"/>
      <c r="D668" s="139"/>
      <c r="E668" s="139"/>
      <c r="F668" s="138"/>
      <c r="G668" s="139"/>
      <c r="I668" s="140"/>
    </row>
    <row r="669" ht="15" customHeight="1" spans="1:9" x14ac:dyDescent="0.25">
      <c r="A669" s="135"/>
      <c r="B669" s="136"/>
      <c r="C669" s="137"/>
      <c r="D669" s="138"/>
      <c r="E669" s="138"/>
      <c r="F669" s="138"/>
      <c r="G669" s="139"/>
      <c r="I669" s="140"/>
    </row>
    <row r="670" ht="15" customHeight="1" spans="1:9" x14ac:dyDescent="0.25">
      <c r="A670" s="148"/>
      <c r="B670" s="136"/>
      <c r="C670" s="137"/>
      <c r="D670" s="138"/>
      <c r="E670" s="138"/>
      <c r="F670" s="138"/>
      <c r="G670" s="139"/>
      <c r="I670" s="140"/>
    </row>
    <row r="671" ht="15" customHeight="1" spans="1:9" x14ac:dyDescent="0.25">
      <c r="A671" s="135"/>
      <c r="B671" s="136"/>
      <c r="C671" s="137"/>
      <c r="D671" s="138"/>
      <c r="E671" s="138"/>
      <c r="F671" s="138"/>
      <c r="G671" s="139"/>
      <c r="I671" s="140"/>
    </row>
    <row r="672" ht="15" customHeight="1" spans="1:9" x14ac:dyDescent="0.25">
      <c r="A672" s="135"/>
      <c r="B672" s="136"/>
      <c r="C672" s="137"/>
      <c r="D672" s="138"/>
      <c r="E672" s="138"/>
      <c r="F672" s="138"/>
      <c r="G672" s="139"/>
      <c r="I672" s="140"/>
    </row>
    <row r="673" ht="15" customHeight="1" spans="1:9" x14ac:dyDescent="0.25">
      <c r="A673" s="135"/>
      <c r="B673" s="136"/>
      <c r="C673" s="137"/>
      <c r="D673" s="138"/>
      <c r="E673" s="138"/>
      <c r="F673" s="138"/>
      <c r="G673" s="139"/>
      <c r="I673" s="140"/>
    </row>
    <row r="674" ht="15" customHeight="1" spans="1:9" x14ac:dyDescent="0.25">
      <c r="A674" s="135"/>
      <c r="B674" s="136"/>
      <c r="C674" s="137"/>
      <c r="D674" s="138"/>
      <c r="E674" s="138"/>
      <c r="F674" s="138"/>
      <c r="G674" s="139"/>
      <c r="I674" s="140"/>
    </row>
    <row r="675" ht="15" customHeight="1" spans="1:9" x14ac:dyDescent="0.25">
      <c r="A675" s="135"/>
      <c r="B675" s="136"/>
      <c r="C675" s="137"/>
      <c r="D675" s="138"/>
      <c r="E675" s="138"/>
      <c r="F675" s="138"/>
      <c r="G675" s="139"/>
      <c r="I675" s="140"/>
    </row>
    <row r="676" ht="15" customHeight="1" spans="1:9" x14ac:dyDescent="0.25">
      <c r="A676" s="135"/>
      <c r="B676" s="136"/>
      <c r="C676" s="137"/>
      <c r="D676" s="138"/>
      <c r="E676" s="138"/>
      <c r="F676" s="138"/>
      <c r="G676" s="139"/>
      <c r="I676" s="140"/>
    </row>
    <row r="677" ht="15" customHeight="1" spans="1:9" x14ac:dyDescent="0.25">
      <c r="A677" s="147"/>
      <c r="B677" s="137"/>
      <c r="C677" s="137"/>
      <c r="D677" s="139"/>
      <c r="E677" s="139"/>
      <c r="F677" s="139"/>
      <c r="G677" s="139"/>
      <c r="H677" s="137"/>
      <c r="I677" s="140"/>
    </row>
    <row r="678" ht="15" customHeight="1" spans="1:9" x14ac:dyDescent="0.25">
      <c r="A678" s="135"/>
      <c r="B678" s="136"/>
      <c r="C678" s="137"/>
      <c r="D678" s="138"/>
      <c r="E678" s="138"/>
      <c r="F678" s="138"/>
      <c r="G678" s="139"/>
      <c r="I678" s="140"/>
    </row>
    <row r="679" ht="15" customHeight="1" spans="1:9" x14ac:dyDescent="0.25">
      <c r="A679" s="135"/>
      <c r="B679" s="136"/>
      <c r="C679" s="137"/>
      <c r="D679" s="138"/>
      <c r="E679" s="138"/>
      <c r="F679" s="138"/>
      <c r="G679" s="139"/>
      <c r="I679" s="140"/>
    </row>
    <row r="680" ht="15" customHeight="1" spans="1:9" x14ac:dyDescent="0.25">
      <c r="A680" s="135"/>
      <c r="B680" s="136"/>
      <c r="C680" s="137"/>
      <c r="D680" s="138"/>
      <c r="E680" s="138"/>
      <c r="F680" s="138"/>
      <c r="G680" s="139"/>
      <c r="I680" s="140"/>
    </row>
    <row r="681" ht="15" customHeight="1" spans="1:9" x14ac:dyDescent="0.25">
      <c r="A681" s="135"/>
      <c r="B681" s="136"/>
      <c r="C681" s="137"/>
      <c r="D681" s="138"/>
      <c r="E681" s="138"/>
      <c r="F681" s="138"/>
      <c r="G681" s="139"/>
      <c r="I681" s="140"/>
    </row>
    <row r="682" ht="15" customHeight="1" spans="1:9" x14ac:dyDescent="0.25">
      <c r="A682" s="135"/>
      <c r="B682" s="136"/>
      <c r="C682" s="137"/>
      <c r="D682" s="138"/>
      <c r="E682" s="138"/>
      <c r="F682" s="138"/>
      <c r="G682" s="139"/>
      <c r="I682" s="140"/>
    </row>
    <row r="683" ht="15" customHeight="1" spans="1:9" x14ac:dyDescent="0.25">
      <c r="A683" s="135"/>
      <c r="B683" s="136"/>
      <c r="C683" s="137"/>
      <c r="D683" s="138"/>
      <c r="E683" s="138"/>
      <c r="F683" s="138"/>
      <c r="G683" s="139"/>
      <c r="I683" s="140"/>
    </row>
    <row r="684" ht="15" customHeight="1" spans="1:9" x14ac:dyDescent="0.25">
      <c r="A684" s="135"/>
      <c r="B684" s="136"/>
      <c r="C684" s="137"/>
      <c r="D684" s="138"/>
      <c r="E684" s="138"/>
      <c r="F684" s="138"/>
      <c r="G684" s="139"/>
      <c r="I684" s="140"/>
    </row>
    <row r="685" ht="15" customHeight="1" spans="1:9" x14ac:dyDescent="0.25">
      <c r="A685" s="135"/>
      <c r="B685" s="136"/>
      <c r="C685" s="137"/>
      <c r="D685" s="138"/>
      <c r="E685" s="138"/>
      <c r="F685" s="138"/>
      <c r="G685" s="139"/>
      <c r="I685" s="140"/>
    </row>
    <row r="686" ht="15" customHeight="1" spans="1:9" x14ac:dyDescent="0.25">
      <c r="A686" s="135"/>
      <c r="B686" s="136"/>
      <c r="C686" s="137"/>
      <c r="D686" s="138"/>
      <c r="E686" s="138"/>
      <c r="F686" s="138"/>
      <c r="G686" s="139"/>
      <c r="I686" s="140"/>
    </row>
    <row r="687" ht="15" customHeight="1" spans="1:9" x14ac:dyDescent="0.25">
      <c r="A687" s="135"/>
      <c r="B687" s="136"/>
      <c r="C687" s="137"/>
      <c r="D687" s="138"/>
      <c r="E687" s="138"/>
      <c r="F687" s="138"/>
      <c r="G687" s="139"/>
      <c r="I687" s="140"/>
    </row>
    <row r="688" ht="15" customHeight="1" spans="1:9" x14ac:dyDescent="0.25">
      <c r="A688" s="135"/>
      <c r="B688" s="136"/>
      <c r="C688" s="137"/>
      <c r="D688" s="138"/>
      <c r="E688" s="138"/>
      <c r="F688" s="138"/>
      <c r="G688" s="139"/>
      <c r="I688" s="140"/>
    </row>
    <row r="689" ht="15" customHeight="1" spans="1:9" x14ac:dyDescent="0.25">
      <c r="A689" s="135"/>
      <c r="B689" s="136"/>
      <c r="C689" s="137"/>
      <c r="D689" s="138"/>
      <c r="E689" s="138"/>
      <c r="F689" s="138"/>
      <c r="G689" s="139"/>
      <c r="I689" s="140"/>
    </row>
    <row r="690" ht="15" customHeight="1" spans="1:9" x14ac:dyDescent="0.25">
      <c r="A690" s="135"/>
      <c r="B690" s="136"/>
      <c r="C690" s="137"/>
      <c r="D690" s="138"/>
      <c r="E690" s="138"/>
      <c r="F690" s="138"/>
      <c r="G690" s="139"/>
      <c r="I690" s="140"/>
    </row>
    <row r="691" ht="15" customHeight="1" spans="1:9" x14ac:dyDescent="0.25">
      <c r="A691" s="135"/>
      <c r="B691" s="136"/>
      <c r="C691" s="137"/>
      <c r="D691" s="138"/>
      <c r="E691" s="138"/>
      <c r="F691" s="138"/>
      <c r="G691" s="139"/>
      <c r="I691" s="140"/>
    </row>
    <row r="692" ht="15" customHeight="1" spans="1:9" x14ac:dyDescent="0.25">
      <c r="A692" s="135"/>
      <c r="B692" s="136"/>
      <c r="C692" s="137"/>
      <c r="D692" s="138"/>
      <c r="E692" s="138"/>
      <c r="F692" s="138"/>
      <c r="G692" s="139"/>
      <c r="I692" s="140"/>
    </row>
    <row r="693" ht="15" customHeight="1" spans="1:9" x14ac:dyDescent="0.25">
      <c r="A693" s="135"/>
      <c r="B693" s="136"/>
      <c r="C693" s="137"/>
      <c r="D693" s="138"/>
      <c r="E693" s="138"/>
      <c r="F693" s="138"/>
      <c r="G693" s="139"/>
      <c r="I693" s="140"/>
    </row>
    <row r="694" ht="15" customHeight="1" spans="1:9" x14ac:dyDescent="0.25">
      <c r="A694" s="135"/>
      <c r="B694" s="136"/>
      <c r="C694" s="137"/>
      <c r="D694" s="138"/>
      <c r="E694" s="138"/>
      <c r="F694" s="138"/>
      <c r="G694" s="139"/>
      <c r="I694" s="140"/>
    </row>
    <row r="695" ht="15" customHeight="1" spans="1:9" x14ac:dyDescent="0.25">
      <c r="A695" s="135"/>
      <c r="B695" s="136"/>
      <c r="C695" s="137"/>
      <c r="D695" s="138"/>
      <c r="E695" s="138"/>
      <c r="F695" s="138"/>
      <c r="G695" s="139"/>
      <c r="I695" s="140"/>
    </row>
    <row r="696" ht="15" customHeight="1" spans="1:9" x14ac:dyDescent="0.25">
      <c r="A696" s="135"/>
      <c r="B696" s="136"/>
      <c r="C696" s="137"/>
      <c r="D696" s="138"/>
      <c r="E696" s="138"/>
      <c r="F696" s="138"/>
      <c r="G696" s="139"/>
      <c r="I696" s="140"/>
    </row>
    <row r="697" ht="15" customHeight="1" spans="1:9" x14ac:dyDescent="0.25">
      <c r="A697" s="135"/>
      <c r="B697" s="136"/>
      <c r="C697" s="137"/>
      <c r="D697" s="138"/>
      <c r="E697" s="138"/>
      <c r="F697" s="138"/>
      <c r="G697" s="139"/>
      <c r="I697" s="140"/>
    </row>
    <row r="698" ht="15" customHeight="1" spans="1:9" x14ac:dyDescent="0.25">
      <c r="A698" s="135"/>
      <c r="B698" s="136"/>
      <c r="C698" s="137"/>
      <c r="D698" s="138"/>
      <c r="E698" s="138"/>
      <c r="F698" s="138"/>
      <c r="G698" s="139"/>
      <c r="I698" s="140"/>
    </row>
    <row r="699" ht="15" customHeight="1" spans="1:9" x14ac:dyDescent="0.25">
      <c r="A699" s="147"/>
      <c r="B699" s="137"/>
      <c r="C699" s="137"/>
      <c r="D699" s="139"/>
      <c r="E699" s="139"/>
      <c r="F699" s="139"/>
      <c r="G699" s="139"/>
      <c r="H699" s="137"/>
      <c r="I699" s="140"/>
    </row>
    <row r="700" ht="15" customHeight="1" spans="1:9" x14ac:dyDescent="0.25">
      <c r="A700" s="135"/>
      <c r="B700" s="136"/>
      <c r="C700" s="137"/>
      <c r="D700" s="138"/>
      <c r="E700" s="138"/>
      <c r="F700" s="138"/>
      <c r="G700" s="139"/>
      <c r="I700" s="140"/>
    </row>
    <row r="701" ht="15" customHeight="1" spans="1:9" x14ac:dyDescent="0.25">
      <c r="A701" s="135"/>
      <c r="B701" s="136"/>
      <c r="C701" s="137"/>
      <c r="D701" s="138"/>
      <c r="E701" s="138"/>
      <c r="F701" s="138"/>
      <c r="G701" s="139"/>
      <c r="I701" s="140"/>
    </row>
    <row r="702" ht="15" customHeight="1" spans="1:9" x14ac:dyDescent="0.25">
      <c r="A702" s="135"/>
      <c r="B702" s="136"/>
      <c r="C702" s="137"/>
      <c r="D702" s="138"/>
      <c r="E702" s="138"/>
      <c r="F702" s="138"/>
      <c r="G702" s="139"/>
      <c r="I702" s="140"/>
    </row>
    <row r="703" ht="15" customHeight="1" spans="1:9" x14ac:dyDescent="0.25">
      <c r="A703" s="135"/>
      <c r="B703" s="136"/>
      <c r="C703" s="137"/>
      <c r="D703" s="138"/>
      <c r="E703" s="138"/>
      <c r="F703" s="138"/>
      <c r="G703" s="139"/>
      <c r="I703" s="140"/>
    </row>
    <row r="704" ht="15" customHeight="1" spans="1:9" x14ac:dyDescent="0.25">
      <c r="A704" s="135"/>
      <c r="B704" s="136"/>
      <c r="C704" s="137"/>
      <c r="D704" s="138"/>
      <c r="E704" s="138"/>
      <c r="F704" s="138"/>
      <c r="G704" s="139"/>
      <c r="I704" s="140"/>
    </row>
    <row r="705" ht="15" customHeight="1" spans="1:9" x14ac:dyDescent="0.25">
      <c r="A705" s="135"/>
      <c r="B705" s="136"/>
      <c r="C705" s="137"/>
      <c r="D705" s="138"/>
      <c r="E705" s="138"/>
      <c r="F705" s="138"/>
      <c r="G705" s="139"/>
      <c r="I705" s="140"/>
    </row>
    <row r="706" ht="15" customHeight="1" spans="1:9" x14ac:dyDescent="0.25">
      <c r="A706" s="135"/>
      <c r="B706" s="136"/>
      <c r="C706" s="137"/>
      <c r="D706" s="138"/>
      <c r="E706" s="138"/>
      <c r="F706" s="138"/>
      <c r="G706" s="139"/>
      <c r="I706" s="140"/>
    </row>
    <row r="707" ht="15" customHeight="1" spans="1:9" x14ac:dyDescent="0.25">
      <c r="A707" s="135"/>
      <c r="B707" s="136"/>
      <c r="C707" s="137"/>
      <c r="D707" s="138"/>
      <c r="E707" s="138"/>
      <c r="F707" s="138"/>
      <c r="G707" s="139"/>
      <c r="I707" s="140"/>
    </row>
    <row r="708" ht="15" customHeight="1" spans="1:9" x14ac:dyDescent="0.25">
      <c r="A708" s="135"/>
      <c r="B708" s="136"/>
      <c r="C708" s="137"/>
      <c r="D708" s="138"/>
      <c r="E708" s="138"/>
      <c r="F708" s="138"/>
      <c r="G708" s="139"/>
      <c r="I708" s="140"/>
    </row>
    <row r="709" ht="15" customHeight="1" spans="1:9" x14ac:dyDescent="0.25">
      <c r="A709" s="135"/>
      <c r="B709" s="136"/>
      <c r="C709" s="137"/>
      <c r="D709" s="138"/>
      <c r="E709" s="138"/>
      <c r="F709" s="138"/>
      <c r="G709" s="139"/>
      <c r="I709" s="140"/>
    </row>
    <row r="710" ht="15" customHeight="1" spans="1:9" x14ac:dyDescent="0.25">
      <c r="A710" s="135"/>
      <c r="B710" s="136"/>
      <c r="C710" s="137"/>
      <c r="D710" s="138"/>
      <c r="E710" s="138"/>
      <c r="F710" s="138"/>
      <c r="G710" s="139"/>
      <c r="H710" s="137" t="s">
        <v>186</v>
      </c>
      <c r="I710" s="140"/>
    </row>
    <row r="711" ht="15" customHeight="1" spans="1:9" x14ac:dyDescent="0.25">
      <c r="A711" s="135"/>
      <c r="B711" s="136"/>
      <c r="C711" s="137"/>
      <c r="D711" s="138"/>
      <c r="E711" s="138"/>
      <c r="F711" s="138"/>
      <c r="G711" s="139"/>
      <c r="I711" s="140"/>
    </row>
    <row r="712" ht="15" customHeight="1" spans="1:9" x14ac:dyDescent="0.25">
      <c r="A712" s="135"/>
      <c r="B712" s="136"/>
      <c r="C712" s="137"/>
      <c r="D712" s="138"/>
      <c r="E712" s="138"/>
      <c r="F712" s="138"/>
      <c r="G712" s="139"/>
      <c r="I712" s="140"/>
    </row>
    <row r="713" ht="15" customHeight="1" spans="1:9" x14ac:dyDescent="0.25">
      <c r="A713" s="135"/>
      <c r="B713" s="136"/>
      <c r="C713" s="137"/>
      <c r="D713" s="138"/>
      <c r="E713" s="138"/>
      <c r="F713" s="138"/>
      <c r="G713" s="139"/>
      <c r="I713" s="140"/>
    </row>
    <row r="714" ht="15" customHeight="1" spans="1:9" x14ac:dyDescent="0.25">
      <c r="A714" s="135"/>
      <c r="B714" s="136"/>
      <c r="C714" s="137"/>
      <c r="D714" s="138"/>
      <c r="E714" s="138"/>
      <c r="F714" s="138"/>
      <c r="G714" s="139"/>
      <c r="I714" s="140"/>
    </row>
    <row r="715" ht="15" customHeight="1" spans="1:9" x14ac:dyDescent="0.25">
      <c r="A715" s="135"/>
      <c r="B715" s="136"/>
      <c r="C715" s="137"/>
      <c r="D715" s="138"/>
      <c r="E715" s="138"/>
      <c r="F715" s="138"/>
      <c r="G715" s="139"/>
      <c r="I715" s="140"/>
    </row>
    <row r="716" ht="15" customHeight="1" spans="1:9" x14ac:dyDescent="0.25">
      <c r="A716" s="135"/>
      <c r="B716" s="136"/>
      <c r="C716" s="137"/>
      <c r="D716" s="138"/>
      <c r="E716" s="138"/>
      <c r="F716" s="138"/>
      <c r="G716" s="139"/>
      <c r="I716" s="140"/>
    </row>
    <row r="717" ht="15" customHeight="1" spans="1:9" x14ac:dyDescent="0.25">
      <c r="A717" s="135"/>
      <c r="B717" s="136"/>
      <c r="C717" s="137"/>
      <c r="D717" s="138"/>
      <c r="E717" s="138"/>
      <c r="F717" s="138"/>
      <c r="G717" s="139"/>
      <c r="I717" s="140"/>
    </row>
    <row r="718" ht="15" customHeight="1" spans="1:9" x14ac:dyDescent="0.25">
      <c r="A718" s="147"/>
      <c r="B718" s="137"/>
      <c r="C718" s="137"/>
      <c r="D718" s="139"/>
      <c r="E718" s="139"/>
      <c r="F718" s="139"/>
      <c r="G718" s="139"/>
      <c r="H718" s="137"/>
      <c r="I718" s="140"/>
    </row>
    <row r="719" ht="15" customHeight="1" spans="1:9" x14ac:dyDescent="0.25">
      <c r="A719" s="135"/>
      <c r="B719" s="136"/>
      <c r="C719" s="137"/>
      <c r="D719" s="138"/>
      <c r="E719" s="138"/>
      <c r="F719" s="138"/>
      <c r="G719" s="139"/>
      <c r="I719" s="140"/>
    </row>
    <row r="720" ht="15" customHeight="1" spans="1:9" x14ac:dyDescent="0.25">
      <c r="A720" s="135"/>
      <c r="B720" s="136"/>
      <c r="C720" s="137"/>
      <c r="D720" s="138"/>
      <c r="E720" s="138"/>
      <c r="F720" s="138"/>
      <c r="G720" s="139"/>
      <c r="I720" s="140"/>
    </row>
    <row r="721" ht="15" customHeight="1" spans="1:9" x14ac:dyDescent="0.25">
      <c r="A721" s="135"/>
      <c r="B721" s="136"/>
      <c r="C721" s="137"/>
      <c r="D721" s="138"/>
      <c r="E721" s="138"/>
      <c r="F721" s="138"/>
      <c r="G721" s="139"/>
      <c r="I721" s="140"/>
    </row>
    <row r="722" ht="15" customHeight="1" spans="1:9" x14ac:dyDescent="0.25">
      <c r="A722" s="135"/>
      <c r="B722" s="136"/>
      <c r="C722" s="137"/>
      <c r="D722" s="138"/>
      <c r="E722" s="138"/>
      <c r="F722" s="138"/>
      <c r="G722" s="139"/>
      <c r="I722" s="140"/>
    </row>
    <row r="723" ht="15" customHeight="1" spans="1:9" x14ac:dyDescent="0.25">
      <c r="A723" s="135"/>
      <c r="B723" s="136"/>
      <c r="C723" s="137"/>
      <c r="D723" s="138"/>
      <c r="E723" s="138"/>
      <c r="F723" s="138"/>
      <c r="G723" s="139"/>
      <c r="I723" s="140"/>
    </row>
    <row r="724" ht="15" customHeight="1" spans="1:9" x14ac:dyDescent="0.25">
      <c r="A724" s="135"/>
      <c r="B724" s="136"/>
      <c r="C724" s="137"/>
      <c r="D724" s="138"/>
      <c r="E724" s="138"/>
      <c r="F724" s="138"/>
      <c r="G724" s="139"/>
      <c r="H724" s="137" t="s">
        <v>186</v>
      </c>
      <c r="I724" s="140"/>
    </row>
    <row r="725" ht="15" customHeight="1" spans="1:9" x14ac:dyDescent="0.25">
      <c r="A725" s="135"/>
      <c r="B725" s="136"/>
      <c r="C725" s="137"/>
      <c r="D725" s="138"/>
      <c r="E725" s="138"/>
      <c r="F725" s="138"/>
      <c r="G725" s="139"/>
      <c r="H725" s="137" t="s">
        <v>186</v>
      </c>
      <c r="I725" s="140"/>
    </row>
    <row r="726" ht="15" customHeight="1" spans="1:9" x14ac:dyDescent="0.25">
      <c r="A726" s="135"/>
      <c r="B726" s="136"/>
      <c r="C726" s="137"/>
      <c r="D726" s="138"/>
      <c r="E726" s="138"/>
      <c r="F726" s="138"/>
      <c r="G726" s="139"/>
      <c r="I726" s="140"/>
    </row>
    <row r="727" ht="15" customHeight="1" spans="1:9" x14ac:dyDescent="0.25">
      <c r="A727" s="135"/>
      <c r="B727" s="136"/>
      <c r="C727" s="137"/>
      <c r="D727" s="138"/>
      <c r="E727" s="138"/>
      <c r="F727" s="138"/>
      <c r="G727" s="139"/>
      <c r="I727" s="140"/>
    </row>
    <row r="728" ht="15" customHeight="1" spans="1:9" x14ac:dyDescent="0.25">
      <c r="A728" s="135"/>
      <c r="B728" s="136"/>
      <c r="C728" s="137"/>
      <c r="D728" s="138"/>
      <c r="E728" s="138"/>
      <c r="F728" s="138"/>
      <c r="G728" s="139"/>
      <c r="I728" s="140"/>
    </row>
    <row r="729" ht="15" customHeight="1" spans="1:9" x14ac:dyDescent="0.25">
      <c r="A729" s="135"/>
      <c r="B729" s="136"/>
      <c r="C729" s="137"/>
      <c r="D729" s="138"/>
      <c r="E729" s="138"/>
      <c r="F729" s="138"/>
      <c r="G729" s="139"/>
      <c r="I729" s="140"/>
    </row>
    <row r="730" ht="15" customHeight="1" spans="1:9" x14ac:dyDescent="0.25">
      <c r="A730" s="135"/>
      <c r="B730" s="136"/>
      <c r="C730" s="137"/>
      <c r="D730" s="138"/>
      <c r="E730" s="138"/>
      <c r="F730" s="138"/>
      <c r="G730" s="139"/>
      <c r="I730" s="140"/>
    </row>
    <row r="731" ht="15" customHeight="1" spans="1:9" x14ac:dyDescent="0.25">
      <c r="A731" s="135"/>
      <c r="B731" s="136"/>
      <c r="C731" s="137"/>
      <c r="D731" s="138"/>
      <c r="E731" s="138"/>
      <c r="F731" s="138"/>
      <c r="G731" s="139"/>
      <c r="I731" s="140"/>
    </row>
    <row r="732" ht="15" customHeight="1" spans="1:9" x14ac:dyDescent="0.25">
      <c r="A732" s="135"/>
      <c r="B732" s="136"/>
      <c r="C732" s="137"/>
      <c r="D732" s="138"/>
      <c r="E732" s="138"/>
      <c r="F732" s="138"/>
      <c r="G732" s="139"/>
      <c r="I732" s="140"/>
    </row>
    <row r="733" ht="15" customHeight="1" spans="1:9" x14ac:dyDescent="0.25">
      <c r="A733" s="135"/>
      <c r="B733" s="136"/>
      <c r="C733" s="137"/>
      <c r="D733" s="138"/>
      <c r="E733" s="138"/>
      <c r="F733" s="138"/>
      <c r="G733" s="139"/>
      <c r="I733" s="140"/>
    </row>
    <row r="734" ht="15" customHeight="1" spans="1:9" x14ac:dyDescent="0.25">
      <c r="A734" s="135"/>
      <c r="B734" s="136"/>
      <c r="C734" s="137"/>
      <c r="D734" s="138"/>
      <c r="E734" s="138"/>
      <c r="F734" s="138"/>
      <c r="G734" s="139"/>
      <c r="I734" s="140"/>
    </row>
    <row r="735" ht="15" customHeight="1" spans="1:9" x14ac:dyDescent="0.25">
      <c r="A735" s="135"/>
      <c r="B735" s="136"/>
      <c r="C735" s="137"/>
      <c r="D735" s="138"/>
      <c r="E735" s="138"/>
      <c r="F735" s="138"/>
      <c r="G735" s="139"/>
      <c r="I735" s="140"/>
    </row>
    <row r="736" ht="15" customHeight="1" spans="1:9" x14ac:dyDescent="0.25">
      <c r="A736" s="135"/>
      <c r="B736" s="136"/>
      <c r="C736" s="137"/>
      <c r="D736" s="138"/>
      <c r="E736" s="138"/>
      <c r="F736" s="138"/>
      <c r="G736" s="139"/>
      <c r="I736" s="140"/>
    </row>
    <row r="737" ht="15" customHeight="1" spans="1:9" x14ac:dyDescent="0.25">
      <c r="A737" s="135"/>
      <c r="B737" s="136"/>
      <c r="C737" s="137"/>
      <c r="D737" s="138"/>
      <c r="E737" s="138"/>
      <c r="F737" s="138"/>
      <c r="G737" s="139"/>
      <c r="I737" s="140"/>
    </row>
    <row r="738" ht="15" customHeight="1" spans="1:9" x14ac:dyDescent="0.25">
      <c r="A738" s="135"/>
      <c r="B738" s="136"/>
      <c r="C738" s="137"/>
      <c r="D738" s="138"/>
      <c r="E738" s="138"/>
      <c r="F738" s="138"/>
      <c r="G738" s="139"/>
      <c r="I738" s="140"/>
    </row>
    <row r="739" ht="15" customHeight="1" spans="1:9" x14ac:dyDescent="0.25">
      <c r="A739" s="135"/>
      <c r="B739" s="136"/>
      <c r="C739" s="137"/>
      <c r="D739" s="138"/>
      <c r="E739" s="138"/>
      <c r="F739" s="138"/>
      <c r="G739" s="139"/>
      <c r="I739" s="140"/>
    </row>
    <row r="740" ht="15" customHeight="1" spans="1:9" x14ac:dyDescent="0.25">
      <c r="A740" s="135"/>
      <c r="B740" s="136"/>
      <c r="C740" s="137"/>
      <c r="D740" s="138"/>
      <c r="E740" s="138"/>
      <c r="F740" s="138"/>
      <c r="G740" s="139"/>
      <c r="I740" s="140"/>
    </row>
    <row r="741" ht="15" customHeight="1" spans="1:9" x14ac:dyDescent="0.25">
      <c r="A741" s="135"/>
      <c r="B741" s="136"/>
      <c r="C741" s="137"/>
      <c r="D741" s="138"/>
      <c r="E741" s="138"/>
      <c r="F741" s="138"/>
      <c r="G741" s="139"/>
      <c r="I741" s="140"/>
    </row>
    <row r="742" ht="15" customHeight="1" spans="1:9" x14ac:dyDescent="0.25">
      <c r="A742" s="135"/>
      <c r="B742" s="136"/>
      <c r="C742" s="137"/>
      <c r="D742" s="138"/>
      <c r="E742" s="138"/>
      <c r="F742" s="138"/>
      <c r="G742" s="139"/>
      <c r="I742" s="140"/>
    </row>
    <row r="743" ht="15" customHeight="1" spans="1:9" x14ac:dyDescent="0.25">
      <c r="A743" s="135"/>
      <c r="B743" s="136"/>
      <c r="C743" s="137"/>
      <c r="D743" s="138"/>
      <c r="E743" s="138"/>
      <c r="F743" s="138"/>
      <c r="G743" s="139"/>
      <c r="I743" s="140"/>
    </row>
    <row r="744" ht="15" customHeight="1" spans="1:9" x14ac:dyDescent="0.25">
      <c r="A744" s="135"/>
      <c r="B744" s="136"/>
      <c r="C744" s="137"/>
      <c r="D744" s="138"/>
      <c r="E744" s="138"/>
      <c r="F744" s="138"/>
      <c r="G744" s="139"/>
      <c r="I744" s="140"/>
    </row>
    <row r="745" ht="15" customHeight="1" spans="1:9" x14ac:dyDescent="0.25">
      <c r="A745" s="135"/>
      <c r="B745" s="136"/>
      <c r="C745" s="137"/>
      <c r="D745" s="138"/>
      <c r="E745" s="138"/>
      <c r="F745" s="138"/>
      <c r="G745" s="139"/>
      <c r="I745" s="140"/>
    </row>
    <row r="746" ht="15" customHeight="1" spans="1:9" x14ac:dyDescent="0.25">
      <c r="A746" s="135"/>
      <c r="B746" s="136"/>
      <c r="C746" s="137"/>
      <c r="D746" s="138"/>
      <c r="E746" s="138"/>
      <c r="F746" s="138"/>
      <c r="G746" s="139"/>
      <c r="I746" s="140"/>
    </row>
    <row r="747" ht="15" customHeight="1" spans="1:9" x14ac:dyDescent="0.25">
      <c r="A747" s="135"/>
      <c r="B747" s="136"/>
      <c r="C747" s="137"/>
      <c r="D747" s="138"/>
      <c r="E747" s="138"/>
      <c r="F747" s="138"/>
      <c r="G747" s="139"/>
      <c r="I747" s="140"/>
    </row>
    <row r="748" ht="15" customHeight="1" spans="1:9" x14ac:dyDescent="0.25">
      <c r="A748" s="135"/>
      <c r="B748" s="136"/>
      <c r="C748" s="137"/>
      <c r="D748" s="138"/>
      <c r="E748" s="138"/>
      <c r="F748" s="138"/>
      <c r="G748" s="139"/>
      <c r="I748" s="140"/>
    </row>
    <row r="749" ht="15" customHeight="1" spans="1:9" x14ac:dyDescent="0.25">
      <c r="A749" s="135"/>
      <c r="B749" s="136"/>
      <c r="C749" s="137"/>
      <c r="D749" s="138"/>
      <c r="E749" s="138"/>
      <c r="F749" s="138"/>
      <c r="G749" s="139"/>
      <c r="I749" s="140"/>
    </row>
    <row r="750" ht="15" customHeight="1" spans="1:9" x14ac:dyDescent="0.25">
      <c r="A750" s="135"/>
      <c r="B750" s="136"/>
      <c r="C750" s="137"/>
      <c r="D750" s="138"/>
      <c r="E750" s="138"/>
      <c r="F750" s="138"/>
      <c r="G750" s="139"/>
      <c r="I750" s="140"/>
    </row>
    <row r="751" ht="15" customHeight="1" spans="1:9" x14ac:dyDescent="0.25">
      <c r="A751" s="135"/>
      <c r="B751" s="136"/>
      <c r="C751" s="137"/>
      <c r="D751" s="138"/>
      <c r="E751" s="138"/>
      <c r="F751" s="138"/>
      <c r="G751" s="139"/>
      <c r="I751" s="140"/>
    </row>
    <row r="752" ht="15" customHeight="1" spans="1:9" x14ac:dyDescent="0.25">
      <c r="A752" s="135"/>
      <c r="B752" s="136"/>
      <c r="C752" s="137"/>
      <c r="D752" s="138"/>
      <c r="E752" s="138"/>
      <c r="F752" s="138"/>
      <c r="G752" s="139"/>
      <c r="I752" s="140"/>
    </row>
    <row r="753" ht="15" customHeight="1" spans="1:9" x14ac:dyDescent="0.25">
      <c r="A753" s="135"/>
      <c r="B753" s="136"/>
      <c r="C753" s="137"/>
      <c r="D753" s="138"/>
      <c r="E753" s="138"/>
      <c r="F753" s="138"/>
      <c r="G753" s="139"/>
      <c r="I753" s="140"/>
    </row>
    <row r="754" ht="15" customHeight="1" spans="1:9" x14ac:dyDescent="0.25">
      <c r="A754" s="135"/>
      <c r="B754" s="136"/>
      <c r="C754" s="137"/>
      <c r="D754" s="138"/>
      <c r="E754" s="138"/>
      <c r="F754" s="138"/>
      <c r="G754" s="139"/>
      <c r="I754" s="140"/>
    </row>
    <row r="755" ht="15" customHeight="1" spans="1:9" x14ac:dyDescent="0.25">
      <c r="A755" s="135"/>
      <c r="B755" s="136"/>
      <c r="C755" s="137"/>
      <c r="D755" s="138"/>
      <c r="E755" s="138"/>
      <c r="F755" s="138"/>
      <c r="G755" s="139"/>
      <c r="I755" s="140"/>
    </row>
    <row r="756" ht="15" customHeight="1" spans="1:9" x14ac:dyDescent="0.25">
      <c r="A756" s="135"/>
      <c r="B756" s="136"/>
      <c r="C756" s="137"/>
      <c r="D756" s="138"/>
      <c r="E756" s="138"/>
      <c r="F756" s="138"/>
      <c r="G756" s="139"/>
      <c r="I756" s="140"/>
    </row>
    <row r="757" ht="15" customHeight="1" spans="1:9" x14ac:dyDescent="0.25">
      <c r="A757" s="135"/>
      <c r="B757" s="136"/>
      <c r="C757" s="137"/>
      <c r="D757" s="138"/>
      <c r="E757" s="138"/>
      <c r="F757" s="138"/>
      <c r="G757" s="139"/>
      <c r="I757" s="140"/>
    </row>
    <row r="758" ht="15" customHeight="1" spans="1:9" x14ac:dyDescent="0.25">
      <c r="A758" s="135"/>
      <c r="B758" s="136"/>
      <c r="C758" s="137"/>
      <c r="D758" s="138"/>
      <c r="E758" s="138"/>
      <c r="F758" s="138"/>
      <c r="G758" s="139"/>
      <c r="I758" s="140"/>
    </row>
    <row r="759" ht="15" customHeight="1" spans="1:9" x14ac:dyDescent="0.25">
      <c r="A759" s="135"/>
      <c r="B759" s="136"/>
      <c r="C759" s="137"/>
      <c r="D759" s="138"/>
      <c r="E759" s="138"/>
      <c r="F759" s="138"/>
      <c r="G759" s="139"/>
      <c r="I759" s="140"/>
    </row>
    <row r="760" ht="15" customHeight="1" spans="1:9" x14ac:dyDescent="0.25">
      <c r="A760" s="135"/>
      <c r="B760" s="136"/>
      <c r="C760" s="137"/>
      <c r="D760" s="138"/>
      <c r="E760" s="138"/>
      <c r="F760" s="138"/>
      <c r="G760" s="139"/>
      <c r="I760" s="140"/>
    </row>
    <row r="761" ht="15" customHeight="1" spans="1:9" x14ac:dyDescent="0.25">
      <c r="A761" s="135"/>
      <c r="B761" s="136"/>
      <c r="C761" s="137"/>
      <c r="D761" s="138"/>
      <c r="E761" s="138"/>
      <c r="F761" s="138"/>
      <c r="G761" s="139"/>
      <c r="I761" s="140"/>
    </row>
    <row r="762" ht="15" customHeight="1" spans="1:9" x14ac:dyDescent="0.25">
      <c r="A762" s="135"/>
      <c r="B762" s="136"/>
      <c r="C762" s="137"/>
      <c r="D762" s="138"/>
      <c r="E762" s="138"/>
      <c r="F762" s="138"/>
      <c r="G762" s="139"/>
      <c r="I762" s="140"/>
    </row>
    <row r="763" ht="15" customHeight="1" spans="1:9" x14ac:dyDescent="0.25">
      <c r="A763" s="135"/>
      <c r="B763" s="136"/>
      <c r="C763" s="137"/>
      <c r="D763" s="138"/>
      <c r="E763" s="138"/>
      <c r="F763" s="138"/>
      <c r="G763" s="139"/>
      <c r="I763" s="140"/>
    </row>
    <row r="764" ht="15" customHeight="1" spans="1:9" x14ac:dyDescent="0.25">
      <c r="A764" s="135"/>
      <c r="B764" s="136"/>
      <c r="C764" s="137"/>
      <c r="D764" s="138"/>
      <c r="E764" s="138"/>
      <c r="F764" s="138"/>
      <c r="G764" s="139"/>
      <c r="I764" s="140"/>
    </row>
    <row r="765" ht="15" customHeight="1" spans="1:9" x14ac:dyDescent="0.25">
      <c r="A765" s="135"/>
      <c r="B765" s="136"/>
      <c r="C765" s="137"/>
      <c r="D765" s="138"/>
      <c r="E765" s="138"/>
      <c r="F765" s="138"/>
      <c r="G765" s="139"/>
      <c r="I765" s="140"/>
    </row>
    <row r="766" ht="15" customHeight="1" spans="1:9" x14ac:dyDescent="0.25">
      <c r="A766" s="135"/>
      <c r="B766" s="136"/>
      <c r="C766" s="137"/>
      <c r="D766" s="138"/>
      <c r="E766" s="138"/>
      <c r="F766" s="138"/>
      <c r="G766" s="139"/>
      <c r="I766" s="140"/>
    </row>
    <row r="767" ht="15" customHeight="1" spans="1:9" x14ac:dyDescent="0.25">
      <c r="A767" s="135"/>
      <c r="B767" s="136"/>
      <c r="C767" s="137"/>
      <c r="D767" s="138"/>
      <c r="E767" s="138"/>
      <c r="F767" s="138"/>
      <c r="G767" s="139"/>
      <c r="I767" s="140"/>
    </row>
    <row r="768" ht="15" customHeight="1" spans="1:9" x14ac:dyDescent="0.25">
      <c r="A768" s="135"/>
      <c r="B768" s="136"/>
      <c r="C768" s="137"/>
      <c r="D768" s="138"/>
      <c r="E768" s="138"/>
      <c r="F768" s="138"/>
      <c r="G768" s="139"/>
      <c r="I768" s="140"/>
    </row>
    <row r="769" ht="15" customHeight="1" spans="1:9" x14ac:dyDescent="0.25">
      <c r="A769" s="135"/>
      <c r="B769" s="136"/>
      <c r="C769" s="137"/>
      <c r="D769" s="138"/>
      <c r="E769" s="138"/>
      <c r="F769" s="138"/>
      <c r="G769" s="139"/>
      <c r="I769" s="140"/>
    </row>
    <row r="770" ht="15" customHeight="1" spans="1:9" x14ac:dyDescent="0.25">
      <c r="A770" s="135"/>
      <c r="B770" s="136"/>
      <c r="C770" s="137"/>
      <c r="D770" s="138"/>
      <c r="E770" s="138"/>
      <c r="F770" s="138"/>
      <c r="G770" s="139"/>
      <c r="I770" s="140"/>
    </row>
    <row r="771" ht="15" customHeight="1" spans="1:9" x14ac:dyDescent="0.25">
      <c r="A771" s="135"/>
      <c r="B771" s="136"/>
      <c r="C771" s="137"/>
      <c r="D771" s="138"/>
      <c r="E771" s="138"/>
      <c r="F771" s="138"/>
      <c r="G771" s="139"/>
      <c r="I771" s="140"/>
    </row>
    <row r="772" ht="15" customHeight="1" spans="1:9" x14ac:dyDescent="0.25">
      <c r="A772" s="135"/>
      <c r="B772" s="136"/>
      <c r="C772" s="137"/>
      <c r="D772" s="138"/>
      <c r="E772" s="138"/>
      <c r="F772" s="138"/>
      <c r="G772" s="139"/>
      <c r="I772" s="140"/>
    </row>
    <row r="773" ht="15" customHeight="1" spans="1:9" x14ac:dyDescent="0.25">
      <c r="A773" s="135"/>
      <c r="B773" s="136"/>
      <c r="C773" s="137"/>
      <c r="D773" s="138"/>
      <c r="E773" s="138"/>
      <c r="F773" s="138"/>
      <c r="G773" s="139"/>
      <c r="I773" s="140"/>
    </row>
    <row r="774" ht="15" customHeight="1" spans="1:9" x14ac:dyDescent="0.25">
      <c r="A774" s="135"/>
      <c r="B774" s="136"/>
      <c r="C774" s="137"/>
      <c r="D774" s="138"/>
      <c r="E774" s="138"/>
      <c r="F774" s="138"/>
      <c r="G774" s="139"/>
      <c r="I774" s="140"/>
    </row>
    <row r="775" ht="15" customHeight="1" spans="1:9" x14ac:dyDescent="0.25">
      <c r="A775" s="135"/>
      <c r="B775" s="136"/>
      <c r="C775" s="137"/>
      <c r="D775" s="138"/>
      <c r="E775" s="138"/>
      <c r="F775" s="138"/>
      <c r="G775" s="139"/>
      <c r="I775" s="140"/>
    </row>
    <row r="776" ht="15" customHeight="1" spans="1:9" x14ac:dyDescent="0.25">
      <c r="A776" s="135"/>
      <c r="B776" s="136"/>
      <c r="C776" s="137"/>
      <c r="D776" s="138"/>
      <c r="E776" s="138"/>
      <c r="F776" s="138"/>
      <c r="G776" s="139"/>
      <c r="I776" s="140"/>
    </row>
    <row r="777" ht="15" customHeight="1" spans="1:9" x14ac:dyDescent="0.25">
      <c r="A777" s="135"/>
      <c r="B777" s="136"/>
      <c r="C777" s="137"/>
      <c r="D777" s="138"/>
      <c r="E777" s="138"/>
      <c r="F777" s="138"/>
      <c r="G777" s="139"/>
      <c r="I777" s="140"/>
    </row>
    <row r="778" ht="15" customHeight="1" spans="1:9" x14ac:dyDescent="0.25">
      <c r="A778" s="135"/>
      <c r="B778" s="136"/>
      <c r="C778" s="137"/>
      <c r="D778" s="138"/>
      <c r="E778" s="138"/>
      <c r="F778" s="138"/>
      <c r="G778" s="139"/>
      <c r="I778" s="140"/>
    </row>
    <row r="779" ht="15" customHeight="1" spans="1:9" x14ac:dyDescent="0.25">
      <c r="A779" s="135"/>
      <c r="B779" s="136"/>
      <c r="C779" s="137"/>
      <c r="D779" s="138"/>
      <c r="E779" s="138"/>
      <c r="F779" s="138"/>
      <c r="G779" s="139"/>
      <c r="I779" s="140"/>
    </row>
    <row r="780" ht="15" customHeight="1" spans="1:9" x14ac:dyDescent="0.25">
      <c r="A780" s="135"/>
      <c r="B780" s="136"/>
      <c r="C780" s="137"/>
      <c r="D780" s="138"/>
      <c r="E780" s="138"/>
      <c r="F780" s="138"/>
      <c r="G780" s="139"/>
      <c r="I780" s="140"/>
    </row>
    <row r="781" ht="15" customHeight="1" spans="1:9" x14ac:dyDescent="0.25">
      <c r="A781" s="135"/>
      <c r="B781" s="136"/>
      <c r="C781" s="137"/>
      <c r="D781" s="138"/>
      <c r="E781" s="138"/>
      <c r="F781" s="138"/>
      <c r="G781" s="139"/>
      <c r="I781" s="140"/>
    </row>
    <row r="782" ht="15" customHeight="1" spans="1:9" x14ac:dyDescent="0.25">
      <c r="A782" s="135"/>
      <c r="B782" s="136"/>
      <c r="C782" s="137"/>
      <c r="D782" s="138"/>
      <c r="E782" s="138"/>
      <c r="F782" s="138"/>
      <c r="G782" s="139"/>
      <c r="I782" s="140"/>
    </row>
    <row r="783" ht="15" customHeight="1" spans="1:9" x14ac:dyDescent="0.25">
      <c r="A783" s="135"/>
      <c r="B783" s="136"/>
      <c r="C783" s="137"/>
      <c r="D783" s="138"/>
      <c r="E783" s="138"/>
      <c r="F783" s="138"/>
      <c r="G783" s="139"/>
      <c r="I783" s="140"/>
    </row>
    <row r="784" ht="15" customHeight="1" spans="1:9" x14ac:dyDescent="0.25">
      <c r="A784" s="135"/>
      <c r="B784" s="136"/>
      <c r="C784" s="137"/>
      <c r="D784" s="138"/>
      <c r="E784" s="138"/>
      <c r="F784" s="138"/>
      <c r="G784" s="139"/>
      <c r="I784" s="140"/>
    </row>
    <row r="785" ht="15" customHeight="1" spans="1:9" x14ac:dyDescent="0.25">
      <c r="A785" s="135"/>
      <c r="B785" s="136"/>
      <c r="C785" s="137"/>
      <c r="D785" s="138"/>
      <c r="E785" s="138"/>
      <c r="F785" s="138"/>
      <c r="G785" s="139"/>
      <c r="I785" s="140"/>
    </row>
    <row r="786" ht="15" customHeight="1" spans="1:9" x14ac:dyDescent="0.25">
      <c r="A786" s="135"/>
      <c r="B786" s="136"/>
      <c r="C786" s="137"/>
      <c r="D786" s="138"/>
      <c r="E786" s="138"/>
      <c r="F786" s="138"/>
      <c r="G786" s="139"/>
      <c r="I786" s="140"/>
    </row>
    <row r="787" ht="15" customHeight="1" spans="1:9" x14ac:dyDescent="0.25">
      <c r="A787" s="135"/>
      <c r="B787" s="136"/>
      <c r="C787" s="137"/>
      <c r="D787" s="138"/>
      <c r="E787" s="138"/>
      <c r="F787" s="138"/>
      <c r="G787" s="139"/>
      <c r="I787" s="140"/>
    </row>
    <row r="788" ht="15" customHeight="1" spans="1:9" x14ac:dyDescent="0.25">
      <c r="A788" s="135"/>
      <c r="B788" s="136"/>
      <c r="C788" s="137"/>
      <c r="D788" s="138"/>
      <c r="E788" s="138"/>
      <c r="F788" s="138"/>
      <c r="G788" s="139"/>
      <c r="I788" s="140"/>
    </row>
    <row r="789" ht="15" customHeight="1" spans="1:9" x14ac:dyDescent="0.25">
      <c r="A789" s="135"/>
      <c r="B789" s="136"/>
      <c r="C789" s="137"/>
      <c r="D789" s="138"/>
      <c r="E789" s="138"/>
      <c r="F789" s="138"/>
      <c r="G789" s="139"/>
      <c r="I789" s="140"/>
    </row>
    <row r="790" ht="15" customHeight="1" spans="1:9" x14ac:dyDescent="0.25">
      <c r="A790" s="135"/>
      <c r="B790" s="136"/>
      <c r="C790" s="137"/>
      <c r="D790" s="138"/>
      <c r="E790" s="138"/>
      <c r="F790" s="138"/>
      <c r="G790" s="139"/>
      <c r="I790" s="140"/>
    </row>
    <row r="791" ht="15" customHeight="1" spans="1:9" x14ac:dyDescent="0.25">
      <c r="A791" s="135"/>
      <c r="B791" s="136"/>
      <c r="C791" s="137"/>
      <c r="D791" s="138"/>
      <c r="E791" s="138"/>
      <c r="F791" s="138"/>
      <c r="G791" s="139"/>
      <c r="I791" s="140"/>
    </row>
    <row r="792" ht="15" customHeight="1" spans="1:9" x14ac:dyDescent="0.25">
      <c r="A792" s="135"/>
      <c r="B792" s="136"/>
      <c r="C792" s="137"/>
      <c r="D792" s="138"/>
      <c r="E792" s="138"/>
      <c r="F792" s="138"/>
      <c r="G792" s="139"/>
      <c r="I792" s="140"/>
    </row>
    <row r="793" ht="15" customHeight="1" spans="1:9" x14ac:dyDescent="0.25">
      <c r="A793" s="135"/>
      <c r="B793" s="136"/>
      <c r="C793" s="137"/>
      <c r="D793" s="138"/>
      <c r="E793" s="138"/>
      <c r="F793" s="138"/>
      <c r="G793" s="139"/>
      <c r="I793" s="140"/>
    </row>
    <row r="794" ht="15" customHeight="1" spans="1:9" x14ac:dyDescent="0.25">
      <c r="A794" s="135"/>
      <c r="B794" s="136"/>
      <c r="C794" s="137"/>
      <c r="D794" s="138"/>
      <c r="E794" s="138"/>
      <c r="F794" s="138"/>
      <c r="G794" s="139"/>
      <c r="I794" s="140"/>
    </row>
    <row r="795" ht="15" customHeight="1" spans="1:9" x14ac:dyDescent="0.25">
      <c r="A795" s="135"/>
      <c r="B795" s="136"/>
      <c r="C795" s="137"/>
      <c r="D795" s="138"/>
      <c r="E795" s="138"/>
      <c r="F795" s="138"/>
      <c r="G795" s="139"/>
      <c r="I795" s="140"/>
    </row>
    <row r="796" ht="15" customHeight="1" spans="1:9" x14ac:dyDescent="0.25">
      <c r="A796" s="135"/>
      <c r="B796" s="136"/>
      <c r="C796" s="137"/>
      <c r="D796" s="138"/>
      <c r="E796" s="138"/>
      <c r="F796" s="138"/>
      <c r="G796" s="139"/>
      <c r="I796" s="140"/>
    </row>
    <row r="797" ht="15" customHeight="1" spans="1:9" x14ac:dyDescent="0.25">
      <c r="A797" s="135"/>
      <c r="B797" s="136"/>
      <c r="C797" s="137"/>
      <c r="D797" s="138"/>
      <c r="E797" s="138"/>
      <c r="F797" s="138"/>
      <c r="G797" s="139"/>
      <c r="I797" s="140"/>
    </row>
    <row r="798" ht="15" customHeight="1" spans="1:9" x14ac:dyDescent="0.25">
      <c r="A798" s="135"/>
      <c r="B798" s="136"/>
      <c r="C798" s="137"/>
      <c r="D798" s="138"/>
      <c r="E798" s="138"/>
      <c r="F798" s="138"/>
      <c r="G798" s="139"/>
      <c r="I798" s="140"/>
    </row>
    <row r="799" ht="15" customHeight="1" spans="1:9" x14ac:dyDescent="0.25">
      <c r="A799" s="135"/>
      <c r="B799" s="136"/>
      <c r="C799" s="137"/>
      <c r="D799" s="138"/>
      <c r="E799" s="138"/>
      <c r="F799" s="138"/>
      <c r="G799" s="139"/>
      <c r="I799" s="140"/>
    </row>
    <row r="800" ht="15" customHeight="1" spans="1:9" x14ac:dyDescent="0.25">
      <c r="A800" s="135"/>
      <c r="B800" s="136"/>
      <c r="C800" s="137"/>
      <c r="D800" s="138"/>
      <c r="E800" s="138"/>
      <c r="F800" s="138"/>
      <c r="G800" s="139"/>
      <c r="I800" s="140"/>
    </row>
    <row r="801" ht="15" customHeight="1" spans="1:9" x14ac:dyDescent="0.25">
      <c r="A801" s="135"/>
      <c r="B801" s="136"/>
      <c r="C801" s="137"/>
      <c r="D801" s="138"/>
      <c r="E801" s="138"/>
      <c r="F801" s="138"/>
      <c r="G801" s="139"/>
      <c r="I801" s="140"/>
    </row>
    <row r="802" ht="15" customHeight="1" spans="1:9" x14ac:dyDescent="0.25">
      <c r="A802" s="135"/>
      <c r="B802" s="136"/>
      <c r="C802" s="137"/>
      <c r="D802" s="138"/>
      <c r="E802" s="138"/>
      <c r="F802" s="138"/>
      <c r="G802" s="139"/>
      <c r="I802" s="140"/>
    </row>
    <row r="803" ht="15" customHeight="1" spans="1:9" x14ac:dyDescent="0.25">
      <c r="A803" s="135"/>
      <c r="B803" s="136"/>
      <c r="C803" s="137"/>
      <c r="D803" s="138"/>
      <c r="E803" s="138"/>
      <c r="F803" s="138"/>
      <c r="G803" s="139"/>
      <c r="I803" s="140"/>
    </row>
    <row r="804" ht="15" customHeight="1" spans="1:9" x14ac:dyDescent="0.25">
      <c r="A804" s="135"/>
      <c r="B804" s="136"/>
      <c r="C804" s="137"/>
      <c r="D804" s="138"/>
      <c r="E804" s="138"/>
      <c r="F804" s="138"/>
      <c r="G804" s="139"/>
      <c r="I804" s="140"/>
    </row>
    <row r="805" ht="15" customHeight="1" spans="1:9" x14ac:dyDescent="0.25">
      <c r="A805" s="135"/>
      <c r="B805" s="136"/>
      <c r="C805" s="137"/>
      <c r="D805" s="138"/>
      <c r="E805" s="138"/>
      <c r="F805" s="138"/>
      <c r="G805" s="139"/>
      <c r="I805" s="140"/>
    </row>
    <row r="806" ht="15" customHeight="1" spans="1:9" x14ac:dyDescent="0.25">
      <c r="A806" s="135"/>
      <c r="B806" s="136"/>
      <c r="C806" s="137"/>
      <c r="D806" s="138"/>
      <c r="E806" s="138"/>
      <c r="F806" s="138"/>
      <c r="G806" s="139"/>
      <c r="I806" s="140"/>
    </row>
    <row r="807" ht="15" customHeight="1" spans="1:9" x14ac:dyDescent="0.25">
      <c r="A807" s="135"/>
      <c r="B807" s="136"/>
      <c r="C807" s="137"/>
      <c r="D807" s="138"/>
      <c r="E807" s="138"/>
      <c r="F807" s="138"/>
      <c r="G807" s="139"/>
      <c r="I807" s="140"/>
    </row>
    <row r="808" ht="15" customHeight="1" spans="1:9" x14ac:dyDescent="0.25">
      <c r="A808" s="135"/>
      <c r="B808" s="136"/>
      <c r="C808" s="137"/>
      <c r="D808" s="138"/>
      <c r="E808" s="138"/>
      <c r="F808" s="138"/>
      <c r="G808" s="139"/>
      <c r="I808" s="140"/>
    </row>
    <row r="809" ht="15" customHeight="1" spans="1:9" x14ac:dyDescent="0.25">
      <c r="A809" s="135"/>
      <c r="B809" s="136"/>
      <c r="C809" s="137"/>
      <c r="D809" s="138"/>
      <c r="E809" s="138"/>
      <c r="F809" s="138"/>
      <c r="G809" s="139"/>
      <c r="I809" s="140"/>
    </row>
    <row r="810" ht="15" customHeight="1" spans="1:9" x14ac:dyDescent="0.25">
      <c r="A810" s="135"/>
      <c r="B810" s="136"/>
      <c r="C810" s="137"/>
      <c r="D810" s="138"/>
      <c r="E810" s="138"/>
      <c r="F810" s="138"/>
      <c r="G810" s="139"/>
      <c r="I810" s="140"/>
    </row>
    <row r="811" ht="15" customHeight="1" spans="1:9" x14ac:dyDescent="0.25">
      <c r="A811" s="135"/>
      <c r="B811" s="136"/>
      <c r="C811" s="137"/>
      <c r="D811" s="138"/>
      <c r="E811" s="138"/>
      <c r="F811" s="138"/>
      <c r="G811" s="139"/>
      <c r="I811" s="140"/>
    </row>
    <row r="812" ht="15" customHeight="1" spans="1:9" x14ac:dyDescent="0.25">
      <c r="A812" s="135"/>
      <c r="B812" s="136"/>
      <c r="C812" s="137"/>
      <c r="D812" s="138"/>
      <c r="E812" s="138"/>
      <c r="F812" s="138"/>
      <c r="G812" s="139"/>
      <c r="I812" s="140"/>
    </row>
    <row r="813" ht="15" customHeight="1" spans="1:9" x14ac:dyDescent="0.25">
      <c r="A813" s="135"/>
      <c r="B813" s="136"/>
      <c r="C813" s="137"/>
      <c r="D813" s="138"/>
      <c r="E813" s="138"/>
      <c r="F813" s="138"/>
      <c r="G813" s="139"/>
      <c r="I813" s="140"/>
    </row>
    <row r="814" ht="15" customHeight="1" spans="1:9" x14ac:dyDescent="0.25">
      <c r="A814" s="135"/>
      <c r="B814" s="136"/>
      <c r="C814" s="137"/>
      <c r="D814" s="138"/>
      <c r="E814" s="138"/>
      <c r="F814" s="138"/>
      <c r="G814" s="139"/>
      <c r="I814" s="140"/>
    </row>
    <row r="815" ht="15" customHeight="1" spans="1:9" x14ac:dyDescent="0.25">
      <c r="A815" s="135"/>
      <c r="B815" s="136"/>
      <c r="C815" s="137"/>
      <c r="D815" s="138"/>
      <c r="E815" s="138"/>
      <c r="F815" s="138"/>
      <c r="G815" s="139"/>
      <c r="I815" s="140"/>
    </row>
    <row r="816" ht="15" customHeight="1" spans="1:9" x14ac:dyDescent="0.25">
      <c r="A816" s="135"/>
      <c r="B816" s="136"/>
      <c r="C816" s="137"/>
      <c r="D816" s="138"/>
      <c r="E816" s="138"/>
      <c r="F816" s="138"/>
      <c r="G816" s="139"/>
      <c r="I816" s="140"/>
    </row>
    <row r="817" ht="15" customHeight="1" spans="1:9" x14ac:dyDescent="0.25">
      <c r="A817" s="135"/>
      <c r="B817" s="136"/>
      <c r="C817" s="137"/>
      <c r="D817" s="138"/>
      <c r="E817" s="138"/>
      <c r="F817" s="138"/>
      <c r="G817" s="139"/>
      <c r="I817" s="140"/>
    </row>
    <row r="818" ht="15" customHeight="1" spans="1:9" x14ac:dyDescent="0.25">
      <c r="A818" s="135"/>
      <c r="B818" s="136"/>
      <c r="C818" s="137"/>
      <c r="D818" s="138"/>
      <c r="E818" s="138"/>
      <c r="F818" s="138"/>
      <c r="G818" s="139"/>
      <c r="I818" s="140"/>
    </row>
    <row r="819" ht="15" customHeight="1" spans="1:9" x14ac:dyDescent="0.25">
      <c r="A819" s="135"/>
      <c r="B819" s="136"/>
      <c r="C819" s="137"/>
      <c r="D819" s="138"/>
      <c r="E819" s="138"/>
      <c r="F819" s="138"/>
      <c r="G819" s="139"/>
      <c r="I819" s="140"/>
    </row>
    <row r="820" ht="15" customHeight="1" spans="1:9" x14ac:dyDescent="0.25">
      <c r="A820" s="135"/>
      <c r="B820" s="136"/>
      <c r="C820" s="137"/>
      <c r="D820" s="138"/>
      <c r="E820" s="138"/>
      <c r="F820" s="138"/>
      <c r="G820" s="139"/>
      <c r="I820" s="140"/>
    </row>
    <row r="821" ht="15" customHeight="1" spans="1:9" x14ac:dyDescent="0.25">
      <c r="A821" s="135"/>
      <c r="B821" s="136"/>
      <c r="C821" s="137"/>
      <c r="D821" s="138"/>
      <c r="E821" s="138"/>
      <c r="F821" s="138"/>
      <c r="G821" s="139"/>
      <c r="I821" s="140"/>
    </row>
    <row r="822" ht="15" customHeight="1" spans="1:9" x14ac:dyDescent="0.25">
      <c r="A822" s="135"/>
      <c r="B822" s="136"/>
      <c r="C822" s="137"/>
      <c r="D822" s="138"/>
      <c r="E822" s="138"/>
      <c r="F822" s="138"/>
      <c r="G822" s="139"/>
      <c r="I822" s="140"/>
    </row>
    <row r="823" ht="15" customHeight="1" spans="1:9" x14ac:dyDescent="0.25">
      <c r="A823" s="135"/>
      <c r="B823" s="136"/>
      <c r="C823" s="137"/>
      <c r="D823" s="138"/>
      <c r="E823" s="138"/>
      <c r="F823" s="138"/>
      <c r="G823" s="139"/>
      <c r="I823" s="140"/>
    </row>
    <row r="824" ht="15" customHeight="1" spans="1:9" x14ac:dyDescent="0.25">
      <c r="A824" s="135"/>
      <c r="B824" s="136"/>
      <c r="C824" s="137"/>
      <c r="D824" s="138"/>
      <c r="E824" s="138"/>
      <c r="F824" s="138"/>
      <c r="G824" s="139"/>
      <c r="I824" s="140"/>
    </row>
    <row r="825" ht="15" customHeight="1" spans="1:9" x14ac:dyDescent="0.25">
      <c r="A825" s="135"/>
      <c r="B825" s="136"/>
      <c r="C825" s="137"/>
      <c r="D825" s="138"/>
      <c r="E825" s="138"/>
      <c r="F825" s="138"/>
      <c r="G825" s="139"/>
      <c r="I825" s="140"/>
    </row>
    <row r="826" ht="15" customHeight="1" spans="1:9" x14ac:dyDescent="0.25">
      <c r="A826" s="135"/>
      <c r="B826" s="136"/>
      <c r="C826" s="137"/>
      <c r="D826" s="138"/>
      <c r="E826" s="138"/>
      <c r="F826" s="138"/>
      <c r="G826" s="139"/>
      <c r="I826" s="140"/>
    </row>
    <row r="827" ht="15" customHeight="1" spans="1:9" x14ac:dyDescent="0.25">
      <c r="A827" s="135"/>
      <c r="B827" s="136"/>
      <c r="C827" s="137"/>
      <c r="D827" s="138"/>
      <c r="E827" s="138"/>
      <c r="F827" s="138"/>
      <c r="G827" s="139"/>
      <c r="I827" s="140"/>
    </row>
    <row r="828" ht="15" customHeight="1" spans="1:9" x14ac:dyDescent="0.25">
      <c r="A828" s="135"/>
      <c r="B828" s="136"/>
      <c r="C828" s="137"/>
      <c r="D828" s="138"/>
      <c r="E828" s="138"/>
      <c r="F828" s="138"/>
      <c r="G828" s="139"/>
      <c r="I828" s="140"/>
    </row>
    <row r="829" ht="15" customHeight="1" spans="1:9" x14ac:dyDescent="0.25">
      <c r="A829" s="135"/>
      <c r="B829" s="136"/>
      <c r="C829" s="137"/>
      <c r="D829" s="138"/>
      <c r="E829" s="138"/>
      <c r="F829" s="138"/>
      <c r="G829" s="139"/>
      <c r="I829" s="140"/>
    </row>
    <row r="830" ht="15" customHeight="1" spans="1:9" x14ac:dyDescent="0.25">
      <c r="A830" s="135"/>
      <c r="B830" s="136"/>
      <c r="C830" s="137"/>
      <c r="D830" s="138"/>
      <c r="E830" s="138"/>
      <c r="F830" s="138"/>
      <c r="G830" s="139"/>
      <c r="I830" s="140"/>
    </row>
    <row r="831" ht="15" customHeight="1" spans="1:9" x14ac:dyDescent="0.25">
      <c r="A831" s="135"/>
      <c r="B831" s="136"/>
      <c r="C831" s="137"/>
      <c r="D831" s="138"/>
      <c r="E831" s="138"/>
      <c r="F831" s="138"/>
      <c r="G831" s="139"/>
      <c r="I831" s="140"/>
    </row>
    <row r="832" ht="15" customHeight="1" spans="1:9" x14ac:dyDescent="0.25">
      <c r="A832" s="135"/>
      <c r="B832" s="136"/>
      <c r="C832" s="137"/>
      <c r="D832" s="138"/>
      <c r="E832" s="138"/>
      <c r="F832" s="138"/>
      <c r="G832" s="139"/>
      <c r="I832" s="140"/>
    </row>
    <row r="833" ht="15" customHeight="1" spans="1:9" x14ac:dyDescent="0.25">
      <c r="A833" s="135"/>
      <c r="B833" s="136"/>
      <c r="C833" s="137"/>
      <c r="D833" s="138"/>
      <c r="E833" s="138"/>
      <c r="F833" s="138"/>
      <c r="G833" s="139"/>
      <c r="I833" s="140"/>
    </row>
    <row r="834" ht="15" customHeight="1" spans="1:9" x14ac:dyDescent="0.25">
      <c r="A834" s="135"/>
      <c r="B834" s="136"/>
      <c r="C834" s="137"/>
      <c r="D834" s="138"/>
      <c r="E834" s="138"/>
      <c r="F834" s="138"/>
      <c r="G834" s="139"/>
      <c r="I834" s="140"/>
    </row>
    <row r="835" ht="15" customHeight="1" spans="1:9" x14ac:dyDescent="0.25">
      <c r="A835" s="135"/>
      <c r="B835" s="136"/>
      <c r="C835" s="137"/>
      <c r="D835" s="138"/>
      <c r="E835" s="138"/>
      <c r="F835" s="138"/>
      <c r="G835" s="139"/>
      <c r="I835" s="140"/>
    </row>
    <row r="836" ht="15" customHeight="1" spans="1:9" x14ac:dyDescent="0.25">
      <c r="A836" s="135"/>
      <c r="B836" s="136"/>
      <c r="C836" s="137"/>
      <c r="D836" s="138"/>
      <c r="E836" s="138"/>
      <c r="F836" s="138"/>
      <c r="G836" s="139"/>
      <c r="I836" s="140"/>
    </row>
    <row r="837" ht="15" customHeight="1" spans="1:9" x14ac:dyDescent="0.25">
      <c r="A837" s="135"/>
      <c r="B837" s="136"/>
      <c r="C837" s="137"/>
      <c r="D837" s="138"/>
      <c r="E837" s="138"/>
      <c r="F837" s="138"/>
      <c r="G837" s="139"/>
      <c r="I837" s="140"/>
    </row>
    <row r="838" ht="15" customHeight="1" spans="1:9" x14ac:dyDescent="0.25">
      <c r="A838" s="135"/>
      <c r="B838" s="136"/>
      <c r="C838" s="137"/>
      <c r="D838" s="138"/>
      <c r="E838" s="138"/>
      <c r="F838" s="138"/>
      <c r="G838" s="139"/>
      <c r="I838" s="140"/>
    </row>
    <row r="839" ht="15" customHeight="1" spans="1:9" x14ac:dyDescent="0.25">
      <c r="A839" s="135"/>
      <c r="B839" s="136"/>
      <c r="C839" s="137"/>
      <c r="D839" s="138"/>
      <c r="E839" s="138"/>
      <c r="F839" s="138"/>
      <c r="G839" s="139"/>
      <c r="I839" s="140"/>
    </row>
    <row r="840" ht="15" customHeight="1" spans="1:9" x14ac:dyDescent="0.25">
      <c r="A840" s="135"/>
      <c r="B840" s="136"/>
      <c r="C840" s="137"/>
      <c r="D840" s="138"/>
      <c r="E840" s="138"/>
      <c r="F840" s="138"/>
      <c r="G840" s="139"/>
      <c r="I840" s="140"/>
    </row>
    <row r="841" ht="15" customHeight="1" spans="1:9" x14ac:dyDescent="0.25">
      <c r="A841" s="135"/>
      <c r="B841" s="136"/>
      <c r="C841" s="137"/>
      <c r="D841" s="138"/>
      <c r="E841" s="138"/>
      <c r="F841" s="138"/>
      <c r="G841" s="139"/>
      <c r="I841" s="140"/>
    </row>
    <row r="842" ht="15" customHeight="1" spans="1:9" x14ac:dyDescent="0.25">
      <c r="A842" s="135"/>
      <c r="B842" s="136"/>
      <c r="C842" s="137"/>
      <c r="D842" s="138"/>
      <c r="E842" s="138"/>
      <c r="F842" s="138"/>
      <c r="G842" s="139"/>
      <c r="I842" s="140"/>
    </row>
    <row r="843" ht="15" customHeight="1" spans="1:9" x14ac:dyDescent="0.25">
      <c r="A843" s="135"/>
      <c r="B843" s="136"/>
      <c r="C843" s="137"/>
      <c r="D843" s="138"/>
      <c r="E843" s="138"/>
      <c r="F843" s="138"/>
      <c r="G843" s="139"/>
      <c r="I843" s="140"/>
    </row>
    <row r="844" ht="15" customHeight="1" spans="1:9" x14ac:dyDescent="0.25">
      <c r="A844" s="135"/>
      <c r="B844" s="136"/>
      <c r="C844" s="137"/>
      <c r="D844" s="138"/>
      <c r="E844" s="138"/>
      <c r="F844" s="138"/>
      <c r="G844" s="139"/>
      <c r="I844" s="140"/>
    </row>
    <row r="845" ht="15" customHeight="1" spans="1:9" x14ac:dyDescent="0.25">
      <c r="A845" s="135"/>
      <c r="B845" s="136"/>
      <c r="C845" s="137"/>
      <c r="D845" s="138"/>
      <c r="E845" s="138"/>
      <c r="F845" s="138"/>
      <c r="G845" s="139"/>
      <c r="I845" s="140"/>
    </row>
    <row r="846" ht="15" customHeight="1" spans="1:9" x14ac:dyDescent="0.25">
      <c r="A846" s="135"/>
      <c r="B846" s="136"/>
      <c r="C846" s="137"/>
      <c r="D846" s="138"/>
      <c r="E846" s="138"/>
      <c r="F846" s="138"/>
      <c r="G846" s="139"/>
      <c r="I846" s="140"/>
    </row>
    <row r="847" ht="15" customHeight="1" spans="1:9" x14ac:dyDescent="0.25">
      <c r="A847" s="135"/>
      <c r="B847" s="136"/>
      <c r="C847" s="137"/>
      <c r="D847" s="138"/>
      <c r="E847" s="138"/>
      <c r="F847" s="138"/>
      <c r="G847" s="139"/>
      <c r="I847" s="140"/>
    </row>
    <row r="848" ht="15" customHeight="1" spans="1:9" x14ac:dyDescent="0.25">
      <c r="A848" s="135"/>
      <c r="B848" s="136"/>
      <c r="C848" s="137"/>
      <c r="D848" s="138"/>
      <c r="E848" s="138"/>
      <c r="F848" s="138"/>
      <c r="G848" s="139"/>
      <c r="I848" s="140"/>
    </row>
    <row r="849" ht="15" customHeight="1" spans="1:9" x14ac:dyDescent="0.25">
      <c r="A849" s="135"/>
      <c r="B849" s="136"/>
      <c r="C849" s="137"/>
      <c r="D849" s="138"/>
      <c r="E849" s="138"/>
      <c r="F849" s="138"/>
      <c r="G849" s="139"/>
      <c r="I849" s="140"/>
    </row>
    <row r="850" ht="15" customHeight="1" spans="1:9" x14ac:dyDescent="0.25">
      <c r="A850" s="135"/>
      <c r="B850" s="136"/>
      <c r="C850" s="137"/>
      <c r="D850" s="138"/>
      <c r="E850" s="138"/>
      <c r="F850" s="138"/>
      <c r="G850" s="139"/>
      <c r="I850" s="140"/>
    </row>
    <row r="851" ht="15" customHeight="1" spans="1:9" x14ac:dyDescent="0.25">
      <c r="A851" s="135"/>
      <c r="B851" s="136"/>
      <c r="C851" s="137"/>
      <c r="D851" s="138"/>
      <c r="E851" s="138"/>
      <c r="F851" s="138"/>
      <c r="G851" s="139"/>
      <c r="I851" s="140"/>
    </row>
    <row r="852" ht="15" customHeight="1" spans="1:9" x14ac:dyDescent="0.25">
      <c r="A852" s="135"/>
      <c r="B852" s="136"/>
      <c r="C852" s="137"/>
      <c r="D852" s="138"/>
      <c r="E852" s="138"/>
      <c r="F852" s="138"/>
      <c r="G852" s="139"/>
      <c r="I852" s="140"/>
    </row>
    <row r="853" ht="15" customHeight="1" spans="1:9" x14ac:dyDescent="0.25">
      <c r="A853" s="135"/>
      <c r="B853" s="136"/>
      <c r="C853" s="137"/>
      <c r="D853" s="138"/>
      <c r="E853" s="138"/>
      <c r="F853" s="138"/>
      <c r="G853" s="139"/>
      <c r="I853" s="140"/>
    </row>
    <row r="854" ht="15" customHeight="1" spans="1:9" x14ac:dyDescent="0.25">
      <c r="A854" s="135"/>
      <c r="B854" s="136"/>
      <c r="C854" s="137"/>
      <c r="D854" s="138"/>
      <c r="E854" s="138"/>
      <c r="F854" s="138"/>
      <c r="G854" s="139"/>
      <c r="I854" s="140"/>
    </row>
    <row r="855" ht="15" customHeight="1" spans="1:9" x14ac:dyDescent="0.25">
      <c r="A855" s="135"/>
      <c r="B855" s="136"/>
      <c r="C855" s="137"/>
      <c r="D855" s="138"/>
      <c r="E855" s="138"/>
      <c r="F855" s="138"/>
      <c r="G855" s="139"/>
      <c r="I855" s="140"/>
    </row>
    <row r="856" ht="15" customHeight="1" spans="1:9" x14ac:dyDescent="0.25">
      <c r="A856" s="135"/>
      <c r="B856" s="136"/>
      <c r="C856" s="137"/>
      <c r="D856" s="138"/>
      <c r="E856" s="138"/>
      <c r="F856" s="138"/>
      <c r="G856" s="139"/>
      <c r="I856" s="140"/>
    </row>
    <row r="857" ht="15" customHeight="1" spans="1:9" x14ac:dyDescent="0.25">
      <c r="A857" s="135"/>
      <c r="B857" s="136"/>
      <c r="C857" s="137"/>
      <c r="D857" s="138"/>
      <c r="E857" s="138"/>
      <c r="F857" s="138"/>
      <c r="G857" s="139"/>
      <c r="I857" s="140"/>
    </row>
    <row r="858" ht="15" customHeight="1" spans="1:9" x14ac:dyDescent="0.25">
      <c r="A858" s="135"/>
      <c r="B858" s="136"/>
      <c r="C858" s="137"/>
      <c r="D858" s="138"/>
      <c r="E858" s="138"/>
      <c r="F858" s="138"/>
      <c r="G858" s="139"/>
      <c r="I858" s="140"/>
    </row>
    <row r="859" ht="15" customHeight="1" spans="1:9" x14ac:dyDescent="0.25">
      <c r="A859" s="135"/>
      <c r="B859" s="136"/>
      <c r="C859" s="137"/>
      <c r="D859" s="138"/>
      <c r="E859" s="138"/>
      <c r="F859" s="138"/>
      <c r="G859" s="139"/>
      <c r="I859" s="140"/>
    </row>
    <row r="860" ht="15" customHeight="1" spans="1:9" x14ac:dyDescent="0.25">
      <c r="A860" s="135"/>
      <c r="B860" s="136"/>
      <c r="C860" s="137"/>
      <c r="D860" s="138"/>
      <c r="E860" s="138"/>
      <c r="F860" s="138"/>
      <c r="G860" s="139"/>
      <c r="I860" s="140"/>
    </row>
    <row r="861" ht="15" customHeight="1" spans="1:9" x14ac:dyDescent="0.25">
      <c r="A861" s="135"/>
      <c r="B861" s="136"/>
      <c r="C861" s="137"/>
      <c r="D861" s="138"/>
      <c r="E861" s="138"/>
      <c r="F861" s="138"/>
      <c r="G861" s="139"/>
      <c r="I861" s="140"/>
    </row>
    <row r="862" ht="15" customHeight="1" spans="1:9" x14ac:dyDescent="0.25">
      <c r="A862" s="135"/>
      <c r="B862" s="136"/>
      <c r="C862" s="137"/>
      <c r="D862" s="138"/>
      <c r="E862" s="138"/>
      <c r="F862" s="138"/>
      <c r="G862" s="139"/>
      <c r="I862" s="140"/>
    </row>
    <row r="863" ht="15" customHeight="1" spans="1:9" x14ac:dyDescent="0.25">
      <c r="A863" s="135"/>
      <c r="B863" s="136"/>
      <c r="C863" s="137"/>
      <c r="D863" s="138"/>
      <c r="E863" s="138"/>
      <c r="F863" s="138"/>
      <c r="G863" s="139"/>
      <c r="I863" s="140"/>
    </row>
    <row r="864" ht="15" customHeight="1" spans="1:9" x14ac:dyDescent="0.25">
      <c r="A864" s="135"/>
      <c r="B864" s="136"/>
      <c r="C864" s="137"/>
      <c r="D864" s="138"/>
      <c r="E864" s="138"/>
      <c r="F864" s="138"/>
      <c r="G864" s="139"/>
      <c r="I864" s="140"/>
    </row>
    <row r="865" ht="15" customHeight="1" spans="1:9" x14ac:dyDescent="0.25">
      <c r="A865" s="135"/>
      <c r="B865" s="136"/>
      <c r="C865" s="137"/>
      <c r="D865" s="138"/>
      <c r="E865" s="138"/>
      <c r="F865" s="138"/>
      <c r="G865" s="139"/>
      <c r="I865" s="140"/>
    </row>
    <row r="866" ht="15" customHeight="1" spans="1:9" x14ac:dyDescent="0.25">
      <c r="A866" s="135"/>
      <c r="B866" s="136"/>
      <c r="C866" s="137"/>
      <c r="D866" s="138"/>
      <c r="E866" s="138"/>
      <c r="F866" s="138"/>
      <c r="G866" s="139"/>
      <c r="I866" s="140"/>
    </row>
    <row r="867" ht="15" customHeight="1" spans="1:9" x14ac:dyDescent="0.25">
      <c r="A867" s="135"/>
      <c r="B867" s="136"/>
      <c r="C867" s="137"/>
      <c r="D867" s="138"/>
      <c r="E867" s="138"/>
      <c r="F867" s="138"/>
      <c r="G867" s="139"/>
      <c r="I867" s="140"/>
    </row>
    <row r="868" ht="15" customHeight="1" spans="1:9" x14ac:dyDescent="0.25">
      <c r="A868" s="135"/>
      <c r="B868" s="136"/>
      <c r="C868" s="137"/>
      <c r="D868" s="138"/>
      <c r="E868" s="138"/>
      <c r="F868" s="138"/>
      <c r="G868" s="139"/>
      <c r="I868" s="140"/>
    </row>
    <row r="869" ht="15" customHeight="1" spans="1:9" x14ac:dyDescent="0.25">
      <c r="A869" s="135"/>
      <c r="B869" s="136"/>
      <c r="C869" s="137"/>
      <c r="D869" s="138"/>
      <c r="E869" s="138"/>
      <c r="F869" s="138"/>
      <c r="G869" s="139"/>
      <c r="I869" s="140"/>
    </row>
    <row r="870" ht="15" customHeight="1" spans="1:9" x14ac:dyDescent="0.25">
      <c r="A870" s="135"/>
      <c r="B870" s="136"/>
      <c r="C870" s="137"/>
      <c r="D870" s="138"/>
      <c r="E870" s="138"/>
      <c r="F870" s="138"/>
      <c r="G870" s="139"/>
      <c r="I870" s="140"/>
    </row>
    <row r="871" ht="15" customHeight="1" spans="1:9" x14ac:dyDescent="0.25">
      <c r="A871" s="135"/>
      <c r="B871" s="136"/>
      <c r="C871" s="137"/>
      <c r="D871" s="138"/>
      <c r="E871" s="138"/>
      <c r="F871" s="138"/>
      <c r="G871" s="139"/>
      <c r="I871" s="140"/>
    </row>
    <row r="872" ht="15" customHeight="1" spans="1:9" x14ac:dyDescent="0.25">
      <c r="A872" s="135"/>
      <c r="B872" s="136"/>
      <c r="C872" s="137"/>
      <c r="D872" s="138"/>
      <c r="E872" s="138"/>
      <c r="F872" s="138"/>
      <c r="G872" s="139"/>
      <c r="I872" s="140"/>
    </row>
    <row r="873" ht="15" customHeight="1" spans="1:9" x14ac:dyDescent="0.25">
      <c r="A873" s="135"/>
      <c r="B873" s="136"/>
      <c r="C873" s="137"/>
      <c r="D873" s="138"/>
      <c r="E873" s="138"/>
      <c r="F873" s="138"/>
      <c r="G873" s="139"/>
      <c r="I873" s="140"/>
    </row>
    <row r="874" ht="15" customHeight="1" spans="1:9" x14ac:dyDescent="0.25">
      <c r="A874" s="135"/>
      <c r="B874" s="136"/>
      <c r="C874" s="137"/>
      <c r="D874" s="138"/>
      <c r="E874" s="138"/>
      <c r="F874" s="138"/>
      <c r="G874" s="139"/>
      <c r="I874" s="140"/>
    </row>
    <row r="875" ht="15" customHeight="1" spans="1:9" x14ac:dyDescent="0.25">
      <c r="A875" s="135"/>
      <c r="B875" s="136"/>
      <c r="C875" s="137"/>
      <c r="D875" s="138"/>
      <c r="E875" s="138"/>
      <c r="F875" s="138"/>
      <c r="G875" s="139"/>
      <c r="I875" s="140"/>
    </row>
    <row r="876" ht="15" customHeight="1" spans="1:9" x14ac:dyDescent="0.25">
      <c r="A876" s="135"/>
      <c r="B876" s="136"/>
      <c r="C876" s="137"/>
      <c r="D876" s="138"/>
      <c r="E876" s="138"/>
      <c r="F876" s="138"/>
      <c r="G876" s="139"/>
      <c r="I876" s="140"/>
    </row>
    <row r="877" ht="15" customHeight="1" spans="1:9" x14ac:dyDescent="0.25">
      <c r="A877" s="135"/>
      <c r="B877" s="136"/>
      <c r="C877" s="137"/>
      <c r="D877" s="138"/>
      <c r="E877" s="138"/>
      <c r="F877" s="138"/>
      <c r="G877" s="139"/>
      <c r="I877" s="140"/>
    </row>
    <row r="878" ht="15" customHeight="1" spans="1:9" x14ac:dyDescent="0.25">
      <c r="A878" s="135"/>
      <c r="B878" s="136"/>
      <c r="C878" s="137"/>
      <c r="D878" s="138"/>
      <c r="E878" s="138"/>
      <c r="F878" s="138"/>
      <c r="G878" s="139"/>
      <c r="I878" s="140"/>
    </row>
    <row r="879" ht="15" customHeight="1" spans="1:9" x14ac:dyDescent="0.25">
      <c r="A879" s="135"/>
      <c r="B879" s="136"/>
      <c r="C879" s="137"/>
      <c r="D879" s="138"/>
      <c r="E879" s="138"/>
      <c r="F879" s="138"/>
      <c r="G879" s="139"/>
      <c r="I879" s="140"/>
    </row>
    <row r="880" ht="15" customHeight="1" spans="1:9" x14ac:dyDescent="0.25">
      <c r="A880" s="135"/>
      <c r="B880" s="136"/>
      <c r="C880" s="137"/>
      <c r="D880" s="138"/>
      <c r="E880" s="138"/>
      <c r="F880" s="138"/>
      <c r="G880" s="139"/>
      <c r="I880" s="140"/>
    </row>
    <row r="881" ht="15" customHeight="1" spans="1:9" x14ac:dyDescent="0.25">
      <c r="A881" s="135"/>
      <c r="B881" s="136"/>
      <c r="C881" s="137"/>
      <c r="D881" s="138"/>
      <c r="E881" s="138"/>
      <c r="F881" s="138"/>
      <c r="G881" s="139"/>
      <c r="I881" s="140"/>
    </row>
    <row r="882" ht="15" customHeight="1" spans="1:9" x14ac:dyDescent="0.25">
      <c r="A882" s="135"/>
      <c r="B882" s="136"/>
      <c r="C882" s="137"/>
      <c r="D882" s="138"/>
      <c r="E882" s="138"/>
      <c r="F882" s="138"/>
      <c r="G882" s="139"/>
      <c r="I882" s="140"/>
    </row>
    <row r="883" ht="15" customHeight="1" spans="1:9" x14ac:dyDescent="0.25">
      <c r="A883" s="135"/>
      <c r="B883" s="136"/>
      <c r="C883" s="137"/>
      <c r="D883" s="138"/>
      <c r="E883" s="138"/>
      <c r="F883" s="138"/>
      <c r="G883" s="139"/>
      <c r="I883" s="140"/>
    </row>
    <row r="884" ht="15" customHeight="1" spans="1:9" x14ac:dyDescent="0.25">
      <c r="A884" s="135"/>
      <c r="B884" s="136"/>
      <c r="C884" s="137"/>
      <c r="D884" s="138"/>
      <c r="E884" s="138"/>
      <c r="F884" s="138"/>
      <c r="G884" s="139"/>
      <c r="I884" s="140"/>
    </row>
    <row r="885" ht="15" customHeight="1" spans="1:9" x14ac:dyDescent="0.25">
      <c r="A885" s="135"/>
      <c r="B885" s="136"/>
      <c r="C885" s="137"/>
      <c r="D885" s="138"/>
      <c r="E885" s="138"/>
      <c r="F885" s="138"/>
      <c r="G885" s="139"/>
      <c r="I885" s="140"/>
    </row>
    <row r="886" ht="15" customHeight="1" spans="1:9" x14ac:dyDescent="0.25">
      <c r="A886" s="135"/>
      <c r="B886" s="136"/>
      <c r="C886" s="137"/>
      <c r="D886" s="138"/>
      <c r="E886" s="138"/>
      <c r="F886" s="138"/>
      <c r="G886" s="139"/>
      <c r="I886" s="140"/>
    </row>
    <row r="887" ht="15" customHeight="1" spans="1:9" x14ac:dyDescent="0.25">
      <c r="A887" s="135"/>
      <c r="B887" s="136"/>
      <c r="C887" s="137"/>
      <c r="D887" s="138"/>
      <c r="E887" s="138"/>
      <c r="F887" s="138"/>
      <c r="G887" s="139"/>
      <c r="I887" s="140"/>
    </row>
    <row r="888" ht="15" customHeight="1" spans="1:9" x14ac:dyDescent="0.25">
      <c r="A888" s="135"/>
      <c r="B888" s="136"/>
      <c r="C888" s="137"/>
      <c r="D888" s="138"/>
      <c r="E888" s="138"/>
      <c r="F888" s="138"/>
      <c r="G888" s="139"/>
      <c r="I888" s="140"/>
    </row>
    <row r="889" ht="15" customHeight="1" spans="1:9" x14ac:dyDescent="0.25">
      <c r="A889" s="135"/>
      <c r="B889" s="136"/>
      <c r="C889" s="137"/>
      <c r="D889" s="138"/>
      <c r="E889" s="138"/>
      <c r="F889" s="138"/>
      <c r="G889" s="139"/>
      <c r="I889" s="140"/>
    </row>
    <row r="890" ht="15" customHeight="1" spans="1:9" x14ac:dyDescent="0.25">
      <c r="A890" s="135"/>
      <c r="B890" s="136"/>
      <c r="C890" s="137"/>
      <c r="D890" s="138"/>
      <c r="E890" s="138"/>
      <c r="F890" s="138"/>
      <c r="G890" s="139"/>
      <c r="I890" s="140"/>
    </row>
    <row r="891" ht="15" customHeight="1" spans="1:9" x14ac:dyDescent="0.25">
      <c r="A891" s="135"/>
      <c r="B891" s="136"/>
      <c r="C891" s="137"/>
      <c r="D891" s="138"/>
      <c r="E891" s="138"/>
      <c r="F891" s="138"/>
      <c r="G891" s="139"/>
      <c r="I891" s="140"/>
    </row>
    <row r="892" ht="15" customHeight="1" spans="1:9" x14ac:dyDescent="0.25">
      <c r="A892" s="135"/>
      <c r="B892" s="136"/>
      <c r="C892" s="137"/>
      <c r="D892" s="138"/>
      <c r="E892" s="138"/>
      <c r="F892" s="138"/>
      <c r="G892" s="139"/>
      <c r="I892" s="140"/>
    </row>
    <row r="893" ht="15" customHeight="1" spans="1:9" x14ac:dyDescent="0.25">
      <c r="A893" s="135"/>
      <c r="B893" s="136"/>
      <c r="C893" s="137"/>
      <c r="D893" s="138"/>
      <c r="E893" s="138"/>
      <c r="F893" s="138"/>
      <c r="G893" s="139"/>
      <c r="I893" s="140"/>
    </row>
    <row r="894" ht="15" customHeight="1" spans="1:9" x14ac:dyDescent="0.25">
      <c r="A894" s="135"/>
      <c r="B894" s="136"/>
      <c r="C894" s="137"/>
      <c r="D894" s="138"/>
      <c r="E894" s="138"/>
      <c r="F894" s="138"/>
      <c r="G894" s="139"/>
      <c r="I894" s="140"/>
    </row>
    <row r="895" ht="15" customHeight="1" spans="1:9" x14ac:dyDescent="0.25">
      <c r="A895" s="135"/>
      <c r="B895" s="136"/>
      <c r="C895" s="137"/>
      <c r="D895" s="138"/>
      <c r="E895" s="138"/>
      <c r="F895" s="138"/>
      <c r="G895" s="139"/>
      <c r="I895" s="140"/>
    </row>
    <row r="896" ht="15" customHeight="1" spans="1:9" x14ac:dyDescent="0.25">
      <c r="A896" s="135"/>
      <c r="B896" s="136"/>
      <c r="C896" s="137"/>
      <c r="D896" s="138"/>
      <c r="E896" s="138"/>
      <c r="F896" s="138"/>
      <c r="G896" s="139"/>
      <c r="I896" s="140"/>
    </row>
    <row r="897" ht="15" customHeight="1" spans="1:9" x14ac:dyDescent="0.25">
      <c r="A897" s="135"/>
      <c r="B897" s="136"/>
      <c r="C897" s="137"/>
      <c r="D897" s="138"/>
      <c r="E897" s="138"/>
      <c r="F897" s="138"/>
      <c r="G897" s="139"/>
      <c r="I897" s="140"/>
    </row>
    <row r="898" ht="15" customHeight="1" spans="1:9" x14ac:dyDescent="0.25">
      <c r="A898" s="135"/>
      <c r="B898" s="136"/>
      <c r="C898" s="137"/>
      <c r="D898" s="138"/>
      <c r="E898" s="138"/>
      <c r="F898" s="138"/>
      <c r="G898" s="139"/>
      <c r="I898" s="140"/>
    </row>
    <row r="899" ht="15" customHeight="1" spans="1:9" x14ac:dyDescent="0.25">
      <c r="A899" s="135"/>
      <c r="B899" s="136"/>
      <c r="C899" s="137"/>
      <c r="D899" s="138"/>
      <c r="E899" s="138"/>
      <c r="F899" s="138"/>
      <c r="G899" s="139"/>
      <c r="I899" s="140"/>
    </row>
    <row r="900" ht="15" customHeight="1" spans="1:9" x14ac:dyDescent="0.25">
      <c r="A900" s="135"/>
      <c r="B900" s="136"/>
      <c r="C900" s="137"/>
      <c r="D900" s="138"/>
      <c r="E900" s="138"/>
      <c r="F900" s="138"/>
      <c r="G900" s="139"/>
      <c r="I900" s="140"/>
    </row>
    <row r="901" ht="15" customHeight="1" spans="1:9" x14ac:dyDescent="0.25">
      <c r="A901" s="135"/>
      <c r="B901" s="136"/>
      <c r="C901" s="137"/>
      <c r="D901" s="138"/>
      <c r="E901" s="138"/>
      <c r="F901" s="138"/>
      <c r="G901" s="139"/>
      <c r="I901" s="140"/>
    </row>
    <row r="902" ht="15" customHeight="1" spans="1:9" x14ac:dyDescent="0.25">
      <c r="A902" s="135"/>
      <c r="B902" s="136"/>
      <c r="C902" s="137"/>
      <c r="D902" s="138"/>
      <c r="E902" s="138"/>
      <c r="F902" s="138"/>
      <c r="G902" s="139"/>
      <c r="I902" s="140"/>
    </row>
    <row r="903" ht="15" customHeight="1" spans="1:9" x14ac:dyDescent="0.25">
      <c r="A903" s="135"/>
      <c r="B903" s="136"/>
      <c r="C903" s="137"/>
      <c r="D903" s="138"/>
      <c r="E903" s="138"/>
      <c r="F903" s="138"/>
      <c r="G903" s="139"/>
      <c r="I903" s="140"/>
    </row>
    <row r="904" ht="15" customHeight="1" spans="1:9" x14ac:dyDescent="0.25">
      <c r="A904" s="135"/>
      <c r="B904" s="136"/>
      <c r="C904" s="137"/>
      <c r="D904" s="138"/>
      <c r="E904" s="138"/>
      <c r="F904" s="138"/>
      <c r="G904" s="139"/>
      <c r="I904" s="140"/>
    </row>
    <row r="905" ht="15" customHeight="1" spans="1:9" x14ac:dyDescent="0.25">
      <c r="A905" s="135"/>
      <c r="B905" s="136"/>
      <c r="C905" s="137"/>
      <c r="D905" s="138"/>
      <c r="E905" s="138"/>
      <c r="F905" s="138"/>
      <c r="G905" s="139"/>
      <c r="I905" s="140"/>
    </row>
    <row r="906" ht="15" customHeight="1" spans="1:9" x14ac:dyDescent="0.25">
      <c r="A906" s="135"/>
      <c r="B906" s="136"/>
      <c r="C906" s="137"/>
      <c r="D906" s="138"/>
      <c r="E906" s="138"/>
      <c r="F906" s="138"/>
      <c r="G906" s="139"/>
      <c r="I906" s="140"/>
    </row>
    <row r="907" ht="15" customHeight="1" spans="1:9" x14ac:dyDescent="0.25">
      <c r="A907" s="135"/>
      <c r="B907" s="136"/>
      <c r="C907" s="137"/>
      <c r="D907" s="138"/>
      <c r="E907" s="138"/>
      <c r="F907" s="138"/>
      <c r="G907" s="139"/>
      <c r="I907" s="140"/>
    </row>
    <row r="908" ht="15" customHeight="1" spans="1:9" x14ac:dyDescent="0.25">
      <c r="A908" s="135"/>
      <c r="B908" s="136"/>
      <c r="C908" s="137"/>
      <c r="D908" s="138"/>
      <c r="E908" s="138"/>
      <c r="F908" s="138"/>
      <c r="G908" s="139"/>
      <c r="I908" s="140"/>
    </row>
    <row r="909" ht="15" customHeight="1" spans="1:9" x14ac:dyDescent="0.25">
      <c r="A909" s="135"/>
      <c r="B909" s="136"/>
      <c r="C909" s="137"/>
      <c r="D909" s="138"/>
      <c r="E909" s="138"/>
      <c r="F909" s="138"/>
      <c r="G909" s="139"/>
      <c r="I909" s="140"/>
    </row>
    <row r="910" ht="15" customHeight="1" spans="1:9" x14ac:dyDescent="0.25">
      <c r="A910" s="135"/>
      <c r="B910" s="136"/>
      <c r="C910" s="137"/>
      <c r="D910" s="138"/>
      <c r="E910" s="138"/>
      <c r="F910" s="138"/>
      <c r="G910" s="139"/>
      <c r="I910" s="140"/>
    </row>
    <row r="911" ht="15" customHeight="1" spans="1:9" x14ac:dyDescent="0.25">
      <c r="A911" s="135"/>
      <c r="B911" s="136"/>
      <c r="C911" s="137"/>
      <c r="D911" s="138"/>
      <c r="E911" s="138"/>
      <c r="F911" s="138"/>
      <c r="G911" s="139"/>
      <c r="I911" s="140"/>
    </row>
    <row r="912" ht="15" customHeight="1" spans="1:9" x14ac:dyDescent="0.25">
      <c r="A912" s="135"/>
      <c r="B912" s="136"/>
      <c r="C912" s="137"/>
      <c r="D912" s="138"/>
      <c r="E912" s="138"/>
      <c r="F912" s="138"/>
      <c r="G912" s="139"/>
      <c r="I912" s="140"/>
    </row>
    <row r="913" ht="15" customHeight="1" spans="1:9" x14ac:dyDescent="0.25">
      <c r="A913" s="135"/>
      <c r="B913" s="136"/>
      <c r="C913" s="137"/>
      <c r="D913" s="138"/>
      <c r="E913" s="138"/>
      <c r="F913" s="138"/>
      <c r="G913" s="139"/>
      <c r="I913" s="140"/>
    </row>
    <row r="914" ht="15" customHeight="1" spans="1:9" x14ac:dyDescent="0.25">
      <c r="A914" s="135"/>
      <c r="B914" s="136"/>
      <c r="C914" s="137"/>
      <c r="D914" s="138"/>
      <c r="E914" s="138"/>
      <c r="F914" s="138"/>
      <c r="G914" s="139"/>
      <c r="I914" s="140"/>
    </row>
    <row r="915" ht="15" customHeight="1" spans="1:9" x14ac:dyDescent="0.25">
      <c r="A915" s="135"/>
      <c r="B915" s="136"/>
      <c r="C915" s="137"/>
      <c r="D915" s="138"/>
      <c r="E915" s="138"/>
      <c r="F915" s="138"/>
      <c r="G915" s="139"/>
      <c r="I915" s="140"/>
    </row>
    <row r="916" ht="15" customHeight="1" spans="1:9" x14ac:dyDescent="0.25">
      <c r="A916" s="135"/>
      <c r="B916" s="136"/>
      <c r="C916" s="137"/>
      <c r="D916" s="138"/>
      <c r="E916" s="138"/>
      <c r="F916" s="138"/>
      <c r="G916" s="139"/>
      <c r="I916" s="140"/>
    </row>
    <row r="917" ht="15" customHeight="1" spans="1:9" x14ac:dyDescent="0.25">
      <c r="A917" s="135"/>
      <c r="B917" s="136"/>
      <c r="C917" s="137"/>
      <c r="D917" s="138"/>
      <c r="E917" s="138"/>
      <c r="F917" s="138"/>
      <c r="G917" s="139"/>
      <c r="I917" s="140"/>
    </row>
    <row r="918" ht="15" customHeight="1" spans="1:9" x14ac:dyDescent="0.25">
      <c r="A918" s="135"/>
      <c r="B918" s="136"/>
      <c r="C918" s="137"/>
      <c r="D918" s="138"/>
      <c r="E918" s="138"/>
      <c r="F918" s="138"/>
      <c r="G918" s="139"/>
      <c r="I918" s="140"/>
    </row>
    <row r="919" ht="15" customHeight="1" spans="1:9" x14ac:dyDescent="0.25">
      <c r="A919" s="135"/>
      <c r="B919" s="136"/>
      <c r="C919" s="137"/>
      <c r="D919" s="138"/>
      <c r="E919" s="138"/>
      <c r="F919" s="138"/>
      <c r="G919" s="139"/>
      <c r="I919" s="140"/>
    </row>
    <row r="920" ht="15" customHeight="1" spans="1:9" x14ac:dyDescent="0.25">
      <c r="A920" s="135"/>
      <c r="B920" s="136"/>
      <c r="C920" s="137"/>
      <c r="D920" s="138"/>
      <c r="E920" s="138"/>
      <c r="F920" s="138"/>
      <c r="G920" s="139"/>
      <c r="I920" s="140"/>
    </row>
    <row r="921" ht="15" customHeight="1" spans="1:9" x14ac:dyDescent="0.25">
      <c r="A921" s="135"/>
      <c r="B921" s="136"/>
      <c r="C921" s="137"/>
      <c r="D921" s="138"/>
      <c r="E921" s="138"/>
      <c r="F921" s="138"/>
      <c r="G921" s="139"/>
      <c r="I921" s="140"/>
    </row>
    <row r="922" ht="15" customHeight="1" spans="1:9" x14ac:dyDescent="0.25">
      <c r="A922" s="135"/>
      <c r="B922" s="136"/>
      <c r="C922" s="137"/>
      <c r="D922" s="138"/>
      <c r="E922" s="138"/>
      <c r="F922" s="138"/>
      <c r="G922" s="139"/>
      <c r="I922" s="140"/>
    </row>
    <row r="923" ht="15" customHeight="1" spans="1:9" x14ac:dyDescent="0.25">
      <c r="A923" s="135"/>
      <c r="B923" s="136"/>
      <c r="C923" s="137"/>
      <c r="D923" s="138"/>
      <c r="E923" s="138"/>
      <c r="F923" s="138"/>
      <c r="G923" s="139"/>
      <c r="I923" s="140"/>
    </row>
    <row r="924" ht="15" customHeight="1" spans="1:9" x14ac:dyDescent="0.25">
      <c r="A924" s="135"/>
      <c r="B924" s="136"/>
      <c r="C924" s="137"/>
      <c r="D924" s="138"/>
      <c r="E924" s="138"/>
      <c r="F924" s="138"/>
      <c r="G924" s="139"/>
      <c r="I924" s="140"/>
    </row>
    <row r="925" ht="15" customHeight="1" spans="1:9" x14ac:dyDescent="0.25">
      <c r="A925" s="135"/>
      <c r="B925" s="136"/>
      <c r="C925" s="137"/>
      <c r="D925" s="138"/>
      <c r="E925" s="138"/>
      <c r="F925" s="138"/>
      <c r="G925" s="139"/>
      <c r="I925" s="140"/>
    </row>
    <row r="926" ht="15" customHeight="1" spans="1:9" x14ac:dyDescent="0.25">
      <c r="A926" s="135"/>
      <c r="B926" s="136"/>
      <c r="C926" s="137"/>
      <c r="D926" s="138"/>
      <c r="E926" s="138"/>
      <c r="F926" s="138"/>
      <c r="G926" s="139"/>
      <c r="I926" s="140"/>
    </row>
    <row r="927" ht="15" customHeight="1" spans="1:9" x14ac:dyDescent="0.25">
      <c r="A927" s="135"/>
      <c r="B927" s="136"/>
      <c r="C927" s="137"/>
      <c r="D927" s="138"/>
      <c r="E927" s="138"/>
      <c r="F927" s="138"/>
      <c r="G927" s="139"/>
      <c r="I927" s="140"/>
    </row>
    <row r="928" ht="15" customHeight="1" spans="1:9" x14ac:dyDescent="0.25">
      <c r="A928" s="135"/>
      <c r="B928" s="136"/>
      <c r="C928" s="137"/>
      <c r="D928" s="138"/>
      <c r="E928" s="138"/>
      <c r="F928" s="138"/>
      <c r="G928" s="139"/>
      <c r="I928" s="140"/>
    </row>
    <row r="929" ht="15" customHeight="1" spans="1:9" x14ac:dyDescent="0.25">
      <c r="A929" s="135"/>
      <c r="B929" s="136"/>
      <c r="C929" s="137"/>
      <c r="D929" s="138"/>
      <c r="E929" s="138"/>
      <c r="F929" s="138"/>
      <c r="G929" s="139"/>
      <c r="I929" s="140"/>
    </row>
    <row r="930" ht="15" customHeight="1" spans="1:9" x14ac:dyDescent="0.25">
      <c r="A930" s="135"/>
      <c r="B930" s="136"/>
      <c r="C930" s="137"/>
      <c r="D930" s="138"/>
      <c r="E930" s="138"/>
      <c r="F930" s="138"/>
      <c r="G930" s="139"/>
      <c r="I930" s="140"/>
    </row>
    <row r="931" ht="15" customHeight="1" spans="1:9" x14ac:dyDescent="0.25">
      <c r="A931" s="135"/>
      <c r="B931" s="136"/>
      <c r="C931" s="137"/>
      <c r="D931" s="138"/>
      <c r="E931" s="138"/>
      <c r="F931" s="138"/>
      <c r="G931" s="139"/>
      <c r="I931" s="140"/>
    </row>
    <row r="932" ht="15" customHeight="1" spans="1:9" x14ac:dyDescent="0.25">
      <c r="A932" s="135"/>
      <c r="B932" s="136"/>
      <c r="C932" s="137"/>
      <c r="D932" s="138"/>
      <c r="E932" s="138"/>
      <c r="F932" s="138"/>
      <c r="G932" s="139"/>
      <c r="I932" s="140"/>
    </row>
    <row r="933" ht="15" customHeight="1" spans="1:9" x14ac:dyDescent="0.25">
      <c r="A933" s="135"/>
      <c r="B933" s="136"/>
      <c r="C933" s="137"/>
      <c r="D933" s="138"/>
      <c r="E933" s="138"/>
      <c r="F933" s="138"/>
      <c r="G933" s="139"/>
      <c r="I933" s="140"/>
    </row>
    <row r="934" ht="15" customHeight="1" spans="1:9" x14ac:dyDescent="0.25">
      <c r="A934" s="135"/>
      <c r="B934" s="136"/>
      <c r="C934" s="137"/>
      <c r="D934" s="138"/>
      <c r="E934" s="138"/>
      <c r="F934" s="138"/>
      <c r="G934" s="139"/>
      <c r="I934" s="140"/>
    </row>
    <row r="935" ht="15" customHeight="1" spans="1:9" x14ac:dyDescent="0.25">
      <c r="A935" s="135"/>
      <c r="B935" s="136"/>
      <c r="C935" s="137"/>
      <c r="D935" s="138"/>
      <c r="E935" s="138"/>
      <c r="F935" s="138"/>
      <c r="G935" s="139"/>
      <c r="I935" s="140"/>
    </row>
    <row r="936" ht="15" customHeight="1" spans="1:9" x14ac:dyDescent="0.25">
      <c r="A936" s="135"/>
      <c r="B936" s="136"/>
      <c r="C936" s="137"/>
      <c r="D936" s="138"/>
      <c r="E936" s="138"/>
      <c r="F936" s="138"/>
      <c r="G936" s="139"/>
      <c r="I936" s="140"/>
    </row>
    <row r="937" ht="15" customHeight="1" spans="1:9" x14ac:dyDescent="0.25">
      <c r="A937" s="135"/>
      <c r="B937" s="136"/>
      <c r="C937" s="137"/>
      <c r="D937" s="138"/>
      <c r="E937" s="138"/>
      <c r="F937" s="138"/>
      <c r="G937" s="139"/>
      <c r="I937" s="140"/>
    </row>
    <row r="938" ht="15" customHeight="1" spans="1:9" x14ac:dyDescent="0.25">
      <c r="A938" s="135"/>
      <c r="B938" s="136"/>
      <c r="C938" s="137"/>
      <c r="D938" s="138"/>
      <c r="E938" s="138"/>
      <c r="F938" s="138"/>
      <c r="G938" s="139"/>
      <c r="I938" s="140"/>
    </row>
    <row r="939" ht="15" customHeight="1" spans="1:9" x14ac:dyDescent="0.25">
      <c r="A939" s="135"/>
      <c r="B939" s="136"/>
      <c r="C939" s="137"/>
      <c r="D939" s="138"/>
      <c r="E939" s="138"/>
      <c r="F939" s="138"/>
      <c r="G939" s="139"/>
      <c r="I939" s="140"/>
    </row>
    <row r="940" ht="15" customHeight="1" spans="1:9" x14ac:dyDescent="0.25">
      <c r="A940" s="135"/>
      <c r="B940" s="136"/>
      <c r="C940" s="137"/>
      <c r="D940" s="138"/>
      <c r="E940" s="138"/>
      <c r="F940" s="138"/>
      <c r="G940" s="139"/>
      <c r="I940" s="140"/>
    </row>
    <row r="941" ht="15" customHeight="1" spans="1:9" x14ac:dyDescent="0.25">
      <c r="A941" s="135"/>
      <c r="B941" s="136"/>
      <c r="C941" s="137"/>
      <c r="D941" s="138"/>
      <c r="E941" s="138"/>
      <c r="F941" s="138"/>
      <c r="G941" s="139"/>
      <c r="I941" s="140"/>
    </row>
    <row r="942" ht="15" customHeight="1" spans="1:9" x14ac:dyDescent="0.25">
      <c r="A942" s="135"/>
      <c r="B942" s="136"/>
      <c r="C942" s="137"/>
      <c r="D942" s="138"/>
      <c r="E942" s="138"/>
      <c r="F942" s="138"/>
      <c r="G942" s="139"/>
      <c r="I942" s="140"/>
    </row>
    <row r="943" ht="15" customHeight="1" spans="1:9" x14ac:dyDescent="0.25">
      <c r="A943" s="135"/>
      <c r="B943" s="136"/>
      <c r="C943" s="137"/>
      <c r="D943" s="138"/>
      <c r="E943" s="138"/>
      <c r="F943" s="138"/>
      <c r="G943" s="139"/>
      <c r="I943" s="140"/>
    </row>
    <row r="944" ht="15" customHeight="1" spans="1:9" x14ac:dyDescent="0.25">
      <c r="A944" s="135"/>
      <c r="B944" s="136"/>
      <c r="C944" s="137"/>
      <c r="D944" s="138"/>
      <c r="E944" s="138"/>
      <c r="F944" s="138"/>
      <c r="G944" s="139"/>
      <c r="I944" s="140"/>
    </row>
    <row r="945" ht="15" customHeight="1" spans="1:9" x14ac:dyDescent="0.25">
      <c r="A945" s="135"/>
      <c r="B945" s="136"/>
      <c r="C945" s="137"/>
      <c r="D945" s="138"/>
      <c r="E945" s="138"/>
      <c r="F945" s="138"/>
      <c r="G945" s="139"/>
      <c r="I945" s="140"/>
    </row>
    <row r="946" ht="15" customHeight="1" spans="1:9" x14ac:dyDescent="0.25">
      <c r="A946" s="135"/>
      <c r="B946" s="136"/>
      <c r="C946" s="137"/>
      <c r="D946" s="138"/>
      <c r="E946" s="138"/>
      <c r="F946" s="138"/>
      <c r="G946" s="139"/>
      <c r="I946" s="140"/>
    </row>
    <row r="947" ht="15" customHeight="1" spans="1:9" x14ac:dyDescent="0.25">
      <c r="A947" s="135"/>
      <c r="B947" s="136"/>
      <c r="C947" s="137"/>
      <c r="D947" s="138"/>
      <c r="E947" s="138"/>
      <c r="F947" s="138"/>
      <c r="G947" s="139"/>
      <c r="I947" s="140"/>
    </row>
    <row r="948" ht="15" customHeight="1" spans="1:9" x14ac:dyDescent="0.25">
      <c r="A948" s="135"/>
      <c r="B948" s="136"/>
      <c r="C948" s="137"/>
      <c r="D948" s="138"/>
      <c r="E948" s="138"/>
      <c r="F948" s="138"/>
      <c r="G948" s="139"/>
      <c r="I948" s="140"/>
    </row>
    <row r="949" ht="15" customHeight="1" spans="1:9" x14ac:dyDescent="0.25">
      <c r="A949" s="135"/>
      <c r="B949" s="136"/>
      <c r="C949" s="137"/>
      <c r="D949" s="138"/>
      <c r="E949" s="138"/>
      <c r="F949" s="138"/>
      <c r="G949" s="139"/>
      <c r="I949" s="140"/>
    </row>
    <row r="950" ht="15" customHeight="1" spans="1:9" x14ac:dyDescent="0.25">
      <c r="A950" s="135"/>
      <c r="B950" s="136"/>
      <c r="C950" s="137"/>
      <c r="D950" s="138"/>
      <c r="E950" s="138"/>
      <c r="F950" s="138"/>
      <c r="G950" s="139"/>
      <c r="I950" s="140"/>
    </row>
    <row r="951" ht="15" customHeight="1" spans="1:9" x14ac:dyDescent="0.25">
      <c r="A951" s="135"/>
      <c r="B951" s="136"/>
      <c r="C951" s="137"/>
      <c r="D951" s="138"/>
      <c r="E951" s="138"/>
      <c r="F951" s="138"/>
      <c r="G951" s="139"/>
      <c r="I951" s="140"/>
    </row>
    <row r="952" ht="15" customHeight="1" spans="1:9" x14ac:dyDescent="0.25">
      <c r="A952" s="135"/>
      <c r="B952" s="136"/>
      <c r="C952" s="137"/>
      <c r="D952" s="138"/>
      <c r="E952" s="138"/>
      <c r="F952" s="138"/>
      <c r="G952" s="139"/>
      <c r="I952" s="140"/>
    </row>
    <row r="953" ht="15" customHeight="1" spans="1:9" x14ac:dyDescent="0.25">
      <c r="A953" s="135"/>
      <c r="B953" s="136"/>
      <c r="C953" s="137"/>
      <c r="D953" s="138"/>
      <c r="E953" s="138"/>
      <c r="F953" s="138"/>
      <c r="G953" s="139"/>
      <c r="I953" s="140"/>
    </row>
    <row r="954" ht="15" customHeight="1" spans="1:9" x14ac:dyDescent="0.25">
      <c r="A954" s="135"/>
      <c r="B954" s="136"/>
      <c r="C954" s="137"/>
      <c r="D954" s="138"/>
      <c r="E954" s="138"/>
      <c r="F954" s="138"/>
      <c r="G954" s="139"/>
      <c r="I954" s="140"/>
    </row>
    <row r="955" ht="15" customHeight="1" spans="1:9" x14ac:dyDescent="0.25">
      <c r="A955" s="135"/>
      <c r="B955" s="136"/>
      <c r="C955" s="137"/>
      <c r="D955" s="138"/>
      <c r="E955" s="138"/>
      <c r="F955" s="138"/>
      <c r="G955" s="139"/>
      <c r="I955" s="140"/>
    </row>
    <row r="956" ht="15" customHeight="1" spans="1:9" x14ac:dyDescent="0.25">
      <c r="A956" s="135"/>
      <c r="B956" s="136"/>
      <c r="C956" s="137"/>
      <c r="D956" s="138"/>
      <c r="E956" s="138"/>
      <c r="F956" s="138"/>
      <c r="G956" s="139"/>
      <c r="I956" s="140"/>
    </row>
    <row r="957" ht="15" customHeight="1" spans="1:9" x14ac:dyDescent="0.25">
      <c r="A957" s="135"/>
      <c r="B957" s="136"/>
      <c r="C957" s="137"/>
      <c r="D957" s="138"/>
      <c r="E957" s="138"/>
      <c r="F957" s="138"/>
      <c r="G957" s="139"/>
      <c r="I957" s="140"/>
    </row>
    <row r="958" ht="15" customHeight="1" spans="1:9" x14ac:dyDescent="0.25">
      <c r="A958" s="135"/>
      <c r="B958" s="136"/>
      <c r="C958" s="137"/>
      <c r="D958" s="138"/>
      <c r="E958" s="138"/>
      <c r="F958" s="138"/>
      <c r="G958" s="139"/>
      <c r="I958" s="140"/>
    </row>
    <row r="959" ht="15" customHeight="1" spans="1:9" x14ac:dyDescent="0.25">
      <c r="A959" s="135"/>
      <c r="B959" s="136"/>
      <c r="C959" s="137"/>
      <c r="D959" s="138"/>
      <c r="E959" s="138"/>
      <c r="F959" s="138"/>
      <c r="G959" s="139"/>
      <c r="I959" s="140"/>
    </row>
    <row r="960" ht="15" customHeight="1" spans="1:9" x14ac:dyDescent="0.25">
      <c r="A960" s="135"/>
      <c r="B960" s="136"/>
      <c r="C960" s="137"/>
      <c r="D960" s="138"/>
      <c r="E960" s="138"/>
      <c r="F960" s="138"/>
      <c r="G960" s="139"/>
      <c r="I960" s="140"/>
    </row>
    <row r="961" ht="15" customHeight="1" spans="1:9" x14ac:dyDescent="0.25">
      <c r="A961" s="135"/>
      <c r="B961" s="136"/>
      <c r="C961" s="137"/>
      <c r="D961" s="138"/>
      <c r="E961" s="138"/>
      <c r="F961" s="138"/>
      <c r="G961" s="139"/>
      <c r="I961" s="140"/>
    </row>
    <row r="962" ht="15" customHeight="1" spans="1:9" x14ac:dyDescent="0.25">
      <c r="A962" s="135"/>
      <c r="B962" s="136"/>
      <c r="C962" s="137"/>
      <c r="D962" s="138"/>
      <c r="E962" s="138"/>
      <c r="F962" s="138"/>
      <c r="G962" s="139"/>
      <c r="I962" s="140"/>
    </row>
    <row r="963" ht="15" customHeight="1" spans="1:9" x14ac:dyDescent="0.25">
      <c r="A963" s="135"/>
      <c r="B963" s="136"/>
      <c r="C963" s="137"/>
      <c r="D963" s="138"/>
      <c r="E963" s="138"/>
      <c r="F963" s="138"/>
      <c r="G963" s="139"/>
      <c r="I963" s="140"/>
    </row>
    <row r="964" ht="15" customHeight="1" spans="1:9" x14ac:dyDescent="0.25">
      <c r="A964" s="135"/>
      <c r="B964" s="136"/>
      <c r="C964" s="137"/>
      <c r="D964" s="138"/>
      <c r="E964" s="138"/>
      <c r="F964" s="138"/>
      <c r="G964" s="139"/>
      <c r="I964" s="140"/>
    </row>
    <row r="965" ht="15" customHeight="1" spans="1:9" x14ac:dyDescent="0.25">
      <c r="A965" s="135"/>
      <c r="B965" s="136"/>
      <c r="C965" s="137"/>
      <c r="D965" s="138"/>
      <c r="E965" s="138"/>
      <c r="F965" s="138"/>
      <c r="G965" s="139"/>
      <c r="I965" s="140"/>
    </row>
    <row r="966" ht="15" customHeight="1" spans="1:9" x14ac:dyDescent="0.25">
      <c r="A966" s="135"/>
      <c r="B966" s="136"/>
      <c r="C966" s="137"/>
      <c r="D966" s="138"/>
      <c r="E966" s="138"/>
      <c r="F966" s="138"/>
      <c r="G966" s="139"/>
      <c r="I966" s="140"/>
    </row>
    <row r="967" ht="15" customHeight="1" spans="1:9" x14ac:dyDescent="0.25">
      <c r="A967" s="135"/>
      <c r="B967" s="136"/>
      <c r="C967" s="137"/>
      <c r="D967" s="138"/>
      <c r="E967" s="138"/>
      <c r="F967" s="138"/>
      <c r="G967" s="139"/>
      <c r="I967" s="140"/>
    </row>
    <row r="968" ht="15" customHeight="1" spans="1:9" x14ac:dyDescent="0.25">
      <c r="A968" s="135"/>
      <c r="B968" s="136"/>
      <c r="C968" s="137"/>
      <c r="D968" s="138"/>
      <c r="E968" s="138"/>
      <c r="F968" s="138"/>
      <c r="G968" s="139"/>
      <c r="I968" s="140"/>
    </row>
    <row r="969" ht="15" customHeight="1" spans="1:9" x14ac:dyDescent="0.25">
      <c r="A969" s="135"/>
      <c r="B969" s="136"/>
      <c r="C969" s="137"/>
      <c r="D969" s="138"/>
      <c r="E969" s="138"/>
      <c r="F969" s="138"/>
      <c r="G969" s="139"/>
      <c r="I969" s="140"/>
    </row>
    <row r="970" ht="15" customHeight="1" spans="1:9" x14ac:dyDescent="0.25">
      <c r="A970" s="135"/>
      <c r="B970" s="136"/>
      <c r="C970" s="137"/>
      <c r="D970" s="138"/>
      <c r="E970" s="138"/>
      <c r="F970" s="138"/>
      <c r="G970" s="139"/>
      <c r="I970" s="140"/>
    </row>
    <row r="971" ht="15" customHeight="1" spans="1:9" x14ac:dyDescent="0.25">
      <c r="A971" s="135"/>
      <c r="B971" s="136"/>
      <c r="C971" s="137"/>
      <c r="D971" s="138"/>
      <c r="E971" s="138"/>
      <c r="F971" s="138"/>
      <c r="G971" s="139"/>
      <c r="I971" s="140"/>
    </row>
    <row r="972" ht="15" customHeight="1" spans="1:9" x14ac:dyDescent="0.25">
      <c r="A972" s="135"/>
      <c r="B972" s="136"/>
      <c r="C972" s="137"/>
      <c r="D972" s="138"/>
      <c r="E972" s="138"/>
      <c r="F972" s="138"/>
      <c r="G972" s="139"/>
      <c r="I972" s="140"/>
    </row>
    <row r="973" ht="15" customHeight="1" spans="1:9" x14ac:dyDescent="0.25">
      <c r="A973" s="135"/>
      <c r="B973" s="136"/>
      <c r="C973" s="137"/>
      <c r="D973" s="138"/>
      <c r="E973" s="138"/>
      <c r="F973" s="138"/>
      <c r="G973" s="139"/>
      <c r="I973" s="140"/>
    </row>
    <row r="974" ht="15" customHeight="1" spans="1:9" x14ac:dyDescent="0.25">
      <c r="A974" s="135"/>
      <c r="B974" s="136"/>
      <c r="C974" s="137"/>
      <c r="D974" s="138"/>
      <c r="E974" s="138"/>
      <c r="F974" s="138"/>
      <c r="G974" s="139"/>
      <c r="I974" s="140"/>
    </row>
    <row r="975" ht="15" customHeight="1" spans="1:9" x14ac:dyDescent="0.25">
      <c r="A975" s="135"/>
      <c r="B975" s="136"/>
      <c r="C975" s="137"/>
      <c r="D975" s="138"/>
      <c r="E975" s="138"/>
      <c r="F975" s="138"/>
      <c r="G975" s="139"/>
      <c r="I975" s="140"/>
    </row>
    <row r="976" ht="15" customHeight="1" spans="1:9" x14ac:dyDescent="0.25">
      <c r="A976" s="135"/>
      <c r="B976" s="136"/>
      <c r="C976" s="137"/>
      <c r="D976" s="138"/>
      <c r="E976" s="138"/>
      <c r="F976" s="138"/>
      <c r="G976" s="139"/>
      <c r="I976" s="140"/>
    </row>
    <row r="977" ht="15" customHeight="1" spans="1:9" x14ac:dyDescent="0.25">
      <c r="A977" s="135"/>
      <c r="B977" s="136"/>
      <c r="C977" s="137"/>
      <c r="D977" s="138"/>
      <c r="E977" s="138"/>
      <c r="F977" s="138"/>
      <c r="G977" s="139"/>
      <c r="I977" s="140"/>
    </row>
    <row r="978" ht="15" customHeight="1" spans="1:9" x14ac:dyDescent="0.25">
      <c r="A978" s="135"/>
      <c r="B978" s="136"/>
      <c r="C978" s="137"/>
      <c r="D978" s="138"/>
      <c r="E978" s="138"/>
      <c r="F978" s="138"/>
      <c r="G978" s="139"/>
      <c r="I978" s="140"/>
    </row>
    <row r="979" ht="15" customHeight="1" spans="1:9" x14ac:dyDescent="0.25">
      <c r="A979" s="135"/>
      <c r="B979" s="136"/>
      <c r="C979" s="137"/>
      <c r="D979" s="138"/>
      <c r="E979" s="138"/>
      <c r="F979" s="138"/>
      <c r="G979" s="139"/>
      <c r="I979" s="140"/>
    </row>
    <row r="980" ht="15" customHeight="1" spans="1:9" x14ac:dyDescent="0.25">
      <c r="A980" s="135"/>
      <c r="B980" s="136"/>
      <c r="C980" s="137"/>
      <c r="D980" s="138"/>
      <c r="E980" s="138"/>
      <c r="F980" s="138"/>
      <c r="G980" s="139"/>
      <c r="I980" s="140"/>
    </row>
    <row r="981" ht="15" customHeight="1" spans="1:9" x14ac:dyDescent="0.25">
      <c r="A981" s="135"/>
      <c r="B981" s="136"/>
      <c r="C981" s="137"/>
      <c r="D981" s="138"/>
      <c r="E981" s="138"/>
      <c r="F981" s="138"/>
      <c r="G981" s="139"/>
      <c r="I981" s="140"/>
    </row>
    <row r="982" ht="15" customHeight="1" spans="1:9" x14ac:dyDescent="0.25">
      <c r="A982" s="135"/>
      <c r="B982" s="136"/>
      <c r="C982" s="137"/>
      <c r="D982" s="138"/>
      <c r="E982" s="138"/>
      <c r="F982" s="138"/>
      <c r="G982" s="139"/>
      <c r="I982" s="140"/>
    </row>
    <row r="983" ht="15" customHeight="1" spans="1:9" x14ac:dyDescent="0.25">
      <c r="A983" s="135"/>
      <c r="B983" s="136"/>
      <c r="C983" s="137"/>
      <c r="D983" s="138"/>
      <c r="E983" s="138"/>
      <c r="F983" s="138"/>
      <c r="G983" s="139"/>
      <c r="I983" s="140"/>
    </row>
    <row r="984" ht="15" customHeight="1" spans="1:9" x14ac:dyDescent="0.25">
      <c r="A984" s="135"/>
      <c r="B984" s="136"/>
      <c r="C984" s="137"/>
      <c r="D984" s="138"/>
      <c r="E984" s="138"/>
      <c r="F984" s="138"/>
      <c r="G984" s="139"/>
      <c r="I984" s="140"/>
    </row>
    <row r="985" ht="15" customHeight="1" spans="1:9" x14ac:dyDescent="0.25">
      <c r="A985" s="135"/>
      <c r="B985" s="136"/>
      <c r="C985" s="137"/>
      <c r="D985" s="138"/>
      <c r="E985" s="138"/>
      <c r="F985" s="138"/>
      <c r="G985" s="139"/>
      <c r="I985" s="140"/>
    </row>
    <row r="986" ht="15" customHeight="1" spans="1:9" x14ac:dyDescent="0.25">
      <c r="A986" s="135"/>
      <c r="B986" s="136"/>
      <c r="C986" s="137"/>
      <c r="D986" s="138"/>
      <c r="E986" s="138"/>
      <c r="F986" s="138"/>
      <c r="G986" s="139"/>
      <c r="I986" s="140"/>
    </row>
    <row r="987" ht="15" customHeight="1" spans="1:9" x14ac:dyDescent="0.25">
      <c r="A987" s="135"/>
      <c r="B987" s="136"/>
      <c r="C987" s="137"/>
      <c r="D987" s="138"/>
      <c r="E987" s="138"/>
      <c r="F987" s="138"/>
      <c r="G987" s="139"/>
      <c r="I987" s="140"/>
    </row>
    <row r="988" ht="15" customHeight="1" spans="1:9" x14ac:dyDescent="0.25">
      <c r="A988" s="135"/>
      <c r="B988" s="136"/>
      <c r="C988" s="137"/>
      <c r="D988" s="138"/>
      <c r="E988" s="138"/>
      <c r="F988" s="138"/>
      <c r="G988" s="139"/>
      <c r="I988" s="140"/>
    </row>
    <row r="989" ht="15" customHeight="1" spans="1:9" x14ac:dyDescent="0.25">
      <c r="A989" s="135"/>
      <c r="B989" s="136"/>
      <c r="C989" s="137"/>
      <c r="D989" s="138"/>
      <c r="E989" s="138"/>
      <c r="F989" s="138"/>
      <c r="G989" s="139"/>
      <c r="I989" s="140"/>
    </row>
    <row r="990" ht="15" customHeight="1" spans="1:9" x14ac:dyDescent="0.25">
      <c r="A990" s="135"/>
      <c r="B990" s="136"/>
      <c r="C990" s="137"/>
      <c r="D990" s="138"/>
      <c r="E990" s="138"/>
      <c r="F990" s="138"/>
      <c r="G990" s="139"/>
      <c r="I990" s="140"/>
    </row>
    <row r="991" ht="15" customHeight="1" spans="1:9" x14ac:dyDescent="0.25">
      <c r="A991" s="135"/>
      <c r="B991" s="136"/>
      <c r="C991" s="137"/>
      <c r="D991" s="138"/>
      <c r="E991" s="138"/>
      <c r="F991" s="138"/>
      <c r="G991" s="139"/>
      <c r="I991" s="140"/>
    </row>
    <row r="992" ht="15" customHeight="1" spans="1:9" x14ac:dyDescent="0.25">
      <c r="A992" s="135"/>
      <c r="B992" s="136"/>
      <c r="C992" s="137"/>
      <c r="D992" s="138"/>
      <c r="E992" s="138"/>
      <c r="F992" s="138"/>
      <c r="G992" s="139"/>
      <c r="I992" s="140"/>
    </row>
    <row r="993" ht="15" customHeight="1" spans="1:9" x14ac:dyDescent="0.25">
      <c r="A993" s="135"/>
      <c r="B993" s="136"/>
      <c r="C993" s="137"/>
      <c r="D993" s="138"/>
      <c r="E993" s="138"/>
      <c r="F993" s="138"/>
      <c r="G993" s="139"/>
      <c r="I993" s="140"/>
    </row>
    <row r="994" ht="15" customHeight="1" spans="1:9" x14ac:dyDescent="0.25">
      <c r="A994" s="135"/>
      <c r="B994" s="136"/>
      <c r="C994" s="137"/>
      <c r="D994" s="138"/>
      <c r="E994" s="138"/>
      <c r="F994" s="138"/>
      <c r="G994" s="139"/>
      <c r="I994" s="140"/>
    </row>
    <row r="995" ht="15" customHeight="1" spans="1:9" x14ac:dyDescent="0.25">
      <c r="A995" s="135"/>
      <c r="B995" s="136"/>
      <c r="C995" s="137"/>
      <c r="D995" s="138"/>
      <c r="E995" s="138"/>
      <c r="F995" s="138"/>
      <c r="G995" s="139"/>
      <c r="I995" s="140"/>
    </row>
    <row r="996" ht="15" customHeight="1" spans="1:9" x14ac:dyDescent="0.25">
      <c r="A996" s="135"/>
      <c r="B996" s="136"/>
      <c r="C996" s="137"/>
      <c r="D996" s="138"/>
      <c r="E996" s="138"/>
      <c r="F996" s="138"/>
      <c r="G996" s="139"/>
      <c r="I996" s="140"/>
    </row>
    <row r="997" ht="15" customHeight="1" spans="1:9" x14ac:dyDescent="0.25">
      <c r="A997" s="135"/>
      <c r="B997" s="136"/>
      <c r="C997" s="137"/>
      <c r="D997" s="138"/>
      <c r="E997" s="138"/>
      <c r="F997" s="138"/>
      <c r="G997" s="139"/>
      <c r="I997" s="140"/>
    </row>
    <row r="998" ht="15" customHeight="1" spans="1:9" x14ac:dyDescent="0.25">
      <c r="A998" s="135"/>
      <c r="B998" s="136"/>
      <c r="C998" s="137"/>
      <c r="D998" s="138"/>
      <c r="E998" s="138"/>
      <c r="F998" s="138"/>
      <c r="G998" s="139"/>
      <c r="I998" s="140"/>
    </row>
    <row r="999" ht="15" customHeight="1" spans="1:9" x14ac:dyDescent="0.25">
      <c r="A999" s="135"/>
      <c r="B999" s="136"/>
      <c r="C999" s="137"/>
      <c r="D999" s="138"/>
      <c r="E999" s="138"/>
      <c r="F999" s="138"/>
      <c r="G999" s="139"/>
      <c r="I999" s="140"/>
    </row>
    <row r="1000" ht="15" customHeight="1" spans="1:9" x14ac:dyDescent="0.25">
      <c r="A1000" s="135"/>
      <c r="B1000" s="136"/>
      <c r="C1000" s="137"/>
      <c r="D1000" s="138"/>
      <c r="E1000" s="138"/>
      <c r="F1000" s="138"/>
      <c r="G1000" s="139"/>
      <c r="I1000" s="140"/>
    </row>
    <row r="1001" ht="15" customHeight="1" spans="1:9" x14ac:dyDescent="0.25">
      <c r="A1001" s="135"/>
      <c r="B1001" s="136"/>
      <c r="C1001" s="137"/>
      <c r="D1001" s="138"/>
      <c r="E1001" s="138"/>
      <c r="F1001" s="138"/>
      <c r="G1001" s="139"/>
      <c r="I1001" s="140"/>
    </row>
    <row r="1002" ht="15" customHeight="1" spans="1:9" x14ac:dyDescent="0.25">
      <c r="A1002" s="135"/>
      <c r="B1002" s="136"/>
      <c r="C1002" s="137"/>
      <c r="D1002" s="138"/>
      <c r="E1002" s="138"/>
      <c r="F1002" s="138"/>
      <c r="G1002" s="139"/>
      <c r="I1002" s="140"/>
    </row>
    <row r="1003" ht="15" customHeight="1" spans="1:9" x14ac:dyDescent="0.25">
      <c r="A1003" s="135"/>
      <c r="B1003" s="136"/>
      <c r="C1003" s="137"/>
      <c r="D1003" s="138"/>
      <c r="E1003" s="138"/>
      <c r="F1003" s="138"/>
      <c r="G1003" s="139"/>
      <c r="I1003" s="140"/>
    </row>
    <row r="1004" ht="15" customHeight="1" spans="1:9" x14ac:dyDescent="0.25">
      <c r="A1004" s="135"/>
      <c r="B1004" s="136"/>
      <c r="C1004" s="137"/>
      <c r="D1004" s="138"/>
      <c r="E1004" s="138"/>
      <c r="F1004" s="138"/>
      <c r="G1004" s="139"/>
      <c r="I1004" s="140"/>
    </row>
    <row r="1005" ht="15" customHeight="1" spans="1:9" x14ac:dyDescent="0.25">
      <c r="A1005" s="135"/>
      <c r="B1005" s="136"/>
      <c r="C1005" s="137"/>
      <c r="D1005" s="138"/>
      <c r="E1005" s="138"/>
      <c r="F1005" s="138"/>
      <c r="G1005" s="139"/>
      <c r="I1005" s="140"/>
    </row>
    <row r="1006" ht="15" customHeight="1" spans="1:9" x14ac:dyDescent="0.25">
      <c r="A1006" s="135"/>
      <c r="B1006" s="136"/>
      <c r="C1006" s="137"/>
      <c r="D1006" s="138"/>
      <c r="E1006" s="138"/>
      <c r="F1006" s="138"/>
      <c r="G1006" s="139"/>
      <c r="I1006" s="140"/>
    </row>
    <row r="1007" ht="15" customHeight="1" spans="1:9" x14ac:dyDescent="0.25">
      <c r="A1007" s="135"/>
      <c r="B1007" s="136"/>
      <c r="C1007" s="137"/>
      <c r="D1007" s="138"/>
      <c r="E1007" s="138"/>
      <c r="F1007" s="138"/>
      <c r="G1007" s="139"/>
      <c r="I1007" s="140"/>
    </row>
    <row r="1008" ht="15" customHeight="1" spans="1:9" x14ac:dyDescent="0.25">
      <c r="A1008" s="135"/>
      <c r="B1008" s="136"/>
      <c r="C1008" s="137"/>
      <c r="D1008" s="138"/>
      <c r="E1008" s="138"/>
      <c r="F1008" s="138"/>
      <c r="G1008" s="139"/>
      <c r="I1008" s="140"/>
    </row>
    <row r="1009" ht="15" customHeight="1" spans="1:9" x14ac:dyDescent="0.25">
      <c r="A1009" s="135"/>
      <c r="B1009" s="136"/>
      <c r="C1009" s="137"/>
      <c r="D1009" s="138"/>
      <c r="E1009" s="138"/>
      <c r="F1009" s="138"/>
      <c r="G1009" s="139"/>
      <c r="I1009" s="140"/>
    </row>
    <row r="1010" ht="15" customHeight="1" spans="1:9" x14ac:dyDescent="0.25">
      <c r="A1010" s="135"/>
      <c r="B1010" s="136"/>
      <c r="C1010" s="137"/>
      <c r="D1010" s="138"/>
      <c r="E1010" s="138"/>
      <c r="F1010" s="138"/>
      <c r="G1010" s="139"/>
      <c r="I1010" s="140"/>
    </row>
    <row r="1011" ht="15" customHeight="1" spans="1:9" x14ac:dyDescent="0.25">
      <c r="A1011" s="135"/>
      <c r="B1011" s="136"/>
      <c r="C1011" s="137"/>
      <c r="D1011" s="138"/>
      <c r="E1011" s="138"/>
      <c r="F1011" s="138"/>
      <c r="G1011" s="139"/>
      <c r="I1011" s="140"/>
    </row>
    <row r="1012" ht="15" customHeight="1" spans="1:9" x14ac:dyDescent="0.25">
      <c r="A1012" s="135"/>
      <c r="B1012" s="136"/>
      <c r="C1012" s="137"/>
      <c r="D1012" s="138"/>
      <c r="E1012" s="138"/>
      <c r="F1012" s="138"/>
      <c r="G1012" s="139"/>
      <c r="I1012" s="140"/>
    </row>
    <row r="1013" ht="15" customHeight="1" spans="1:9" x14ac:dyDescent="0.25">
      <c r="A1013" s="135"/>
      <c r="B1013" s="136"/>
      <c r="C1013" s="137"/>
      <c r="D1013" s="138"/>
      <c r="E1013" s="138"/>
      <c r="F1013" s="138"/>
      <c r="G1013" s="139"/>
      <c r="I1013" s="140"/>
    </row>
    <row r="1014" ht="15" customHeight="1" spans="1:9" x14ac:dyDescent="0.25">
      <c r="A1014" s="135"/>
      <c r="B1014" s="136"/>
      <c r="C1014" s="137"/>
      <c r="D1014" s="138"/>
      <c r="E1014" s="138"/>
      <c r="F1014" s="138"/>
      <c r="G1014" s="139"/>
      <c r="I1014" s="140"/>
    </row>
    <row r="1015" ht="15" customHeight="1" spans="1:9" x14ac:dyDescent="0.25">
      <c r="A1015" s="135"/>
      <c r="B1015" s="136"/>
      <c r="C1015" s="137"/>
      <c r="D1015" s="138"/>
      <c r="E1015" s="138"/>
      <c r="F1015" s="138"/>
      <c r="G1015" s="139"/>
      <c r="I1015" s="140"/>
    </row>
    <row r="1016" ht="15" customHeight="1" spans="1:9" x14ac:dyDescent="0.25">
      <c r="A1016" s="135"/>
      <c r="B1016" s="136"/>
      <c r="C1016" s="137"/>
      <c r="D1016" s="138"/>
      <c r="E1016" s="138"/>
      <c r="F1016" s="138"/>
      <c r="G1016" s="139"/>
      <c r="I1016" s="140"/>
    </row>
    <row r="1017" ht="15" customHeight="1" spans="1:9" x14ac:dyDescent="0.25">
      <c r="A1017" s="135"/>
      <c r="B1017" s="136"/>
      <c r="C1017" s="137"/>
      <c r="D1017" s="138"/>
      <c r="E1017" s="138"/>
      <c r="F1017" s="138"/>
      <c r="G1017" s="139"/>
      <c r="I1017" s="140"/>
    </row>
    <row r="1018" ht="15" customHeight="1" spans="1:9" x14ac:dyDescent="0.25">
      <c r="A1018" s="135"/>
      <c r="B1018" s="136"/>
      <c r="C1018" s="137"/>
      <c r="D1018" s="138"/>
      <c r="E1018" s="138"/>
      <c r="F1018" s="138"/>
      <c r="G1018" s="139"/>
      <c r="I1018" s="140"/>
    </row>
    <row r="1019" ht="15" customHeight="1" spans="1:9" x14ac:dyDescent="0.25">
      <c r="A1019" s="135"/>
      <c r="B1019" s="136"/>
      <c r="C1019" s="137"/>
      <c r="D1019" s="138"/>
      <c r="E1019" s="138"/>
      <c r="F1019" s="138"/>
      <c r="G1019" s="139"/>
      <c r="I1019" s="140"/>
    </row>
    <row r="1020" ht="15" customHeight="1" spans="1:9" x14ac:dyDescent="0.25">
      <c r="A1020" s="135"/>
      <c r="B1020" s="136"/>
      <c r="C1020" s="137"/>
      <c r="D1020" s="138"/>
      <c r="E1020" s="138"/>
      <c r="F1020" s="138"/>
      <c r="G1020" s="139"/>
      <c r="I1020" s="140"/>
    </row>
    <row r="1021" ht="15" customHeight="1" spans="1:9" x14ac:dyDescent="0.25">
      <c r="A1021" s="135"/>
      <c r="B1021" s="136"/>
      <c r="C1021" s="137"/>
      <c r="D1021" s="138"/>
      <c r="E1021" s="138"/>
      <c r="F1021" s="138"/>
      <c r="G1021" s="139"/>
      <c r="I1021" s="140"/>
    </row>
    <row r="1022" ht="15" customHeight="1" spans="1:9" x14ac:dyDescent="0.25">
      <c r="A1022" s="135"/>
      <c r="B1022" s="136"/>
      <c r="C1022" s="137"/>
      <c r="D1022" s="138"/>
      <c r="E1022" s="138"/>
      <c r="F1022" s="138"/>
      <c r="G1022" s="139"/>
      <c r="I1022" s="140"/>
    </row>
    <row r="1023" ht="15" customHeight="1" spans="1:9" x14ac:dyDescent="0.25">
      <c r="A1023" s="135"/>
      <c r="B1023" s="136"/>
      <c r="C1023" s="137"/>
      <c r="D1023" s="138"/>
      <c r="E1023" s="138"/>
      <c r="F1023" s="138"/>
      <c r="G1023" s="139"/>
      <c r="I1023" s="140"/>
    </row>
    <row r="1024" ht="15" customHeight="1" spans="1:9" x14ac:dyDescent="0.25">
      <c r="A1024" s="135"/>
      <c r="B1024" s="136"/>
      <c r="C1024" s="137"/>
      <c r="D1024" s="138"/>
      <c r="E1024" s="138"/>
      <c r="F1024" s="138"/>
      <c r="G1024" s="139"/>
      <c r="I1024" s="140"/>
    </row>
    <row r="1025" ht="15" customHeight="1" spans="1:9" x14ac:dyDescent="0.25">
      <c r="A1025" s="135"/>
      <c r="B1025" s="136"/>
      <c r="C1025" s="137"/>
      <c r="D1025" s="138"/>
      <c r="E1025" s="138"/>
      <c r="F1025" s="138"/>
      <c r="G1025" s="139"/>
      <c r="I1025" s="140"/>
    </row>
    <row r="1026" ht="15" customHeight="1" spans="1:9" x14ac:dyDescent="0.25">
      <c r="A1026" s="135"/>
      <c r="B1026" s="136"/>
      <c r="C1026" s="137"/>
      <c r="D1026" s="138"/>
      <c r="E1026" s="138"/>
      <c r="F1026" s="138"/>
      <c r="G1026" s="139"/>
      <c r="I1026" s="140"/>
    </row>
    <row r="1027" ht="15" customHeight="1" spans="1:9" x14ac:dyDescent="0.25">
      <c r="A1027" s="135"/>
      <c r="B1027" s="136"/>
      <c r="C1027" s="137"/>
      <c r="D1027" s="138"/>
      <c r="E1027" s="138"/>
      <c r="F1027" s="138"/>
      <c r="G1027" s="139"/>
      <c r="I1027" s="140"/>
    </row>
    <row r="1028" ht="15" customHeight="1" spans="1:9" x14ac:dyDescent="0.25">
      <c r="A1028" s="135"/>
      <c r="B1028" s="136"/>
      <c r="C1028" s="137"/>
      <c r="D1028" s="138"/>
      <c r="E1028" s="138"/>
      <c r="F1028" s="138"/>
      <c r="G1028" s="139"/>
      <c r="I1028" s="140"/>
    </row>
    <row r="1029" ht="15" customHeight="1" spans="1:9" x14ac:dyDescent="0.25">
      <c r="A1029" s="135"/>
      <c r="B1029" s="136"/>
      <c r="C1029" s="137"/>
      <c r="D1029" s="138"/>
      <c r="E1029" s="138"/>
      <c r="F1029" s="138"/>
      <c r="G1029" s="139"/>
      <c r="I1029" s="140"/>
    </row>
    <row r="1030" ht="15" customHeight="1" spans="1:9" x14ac:dyDescent="0.25">
      <c r="A1030" s="135"/>
      <c r="B1030" s="136"/>
      <c r="C1030" s="137"/>
      <c r="D1030" s="138"/>
      <c r="E1030" s="138"/>
      <c r="F1030" s="138"/>
      <c r="G1030" s="139"/>
      <c r="I1030" s="140"/>
    </row>
    <row r="1031" ht="15" customHeight="1" spans="1:9" x14ac:dyDescent="0.25">
      <c r="A1031" s="135"/>
      <c r="B1031" s="136"/>
      <c r="C1031" s="137"/>
      <c r="D1031" s="138"/>
      <c r="E1031" s="138"/>
      <c r="F1031" s="138"/>
      <c r="G1031" s="139"/>
      <c r="I1031" s="140"/>
    </row>
    <row r="1032" ht="15" customHeight="1" spans="1:9" x14ac:dyDescent="0.25">
      <c r="A1032" s="135"/>
      <c r="B1032" s="136"/>
      <c r="C1032" s="137"/>
      <c r="D1032" s="138"/>
      <c r="E1032" s="138"/>
      <c r="F1032" s="138"/>
      <c r="G1032" s="139"/>
      <c r="I1032" s="140"/>
    </row>
    <row r="1033" ht="15" customHeight="1" spans="1:9" x14ac:dyDescent="0.25">
      <c r="A1033" s="135"/>
      <c r="B1033" s="136"/>
      <c r="C1033" s="137"/>
      <c r="D1033" s="138"/>
      <c r="E1033" s="138"/>
      <c r="F1033" s="138"/>
      <c r="G1033" s="139"/>
      <c r="I1033" s="140"/>
    </row>
    <row r="1034" ht="15" customHeight="1" spans="1:9" x14ac:dyDescent="0.25">
      <c r="A1034" s="135"/>
      <c r="B1034" s="136"/>
      <c r="C1034" s="137"/>
      <c r="D1034" s="138"/>
      <c r="E1034" s="138"/>
      <c r="F1034" s="138"/>
      <c r="G1034" s="139"/>
      <c r="I1034" s="140"/>
    </row>
    <row r="1035" ht="15" customHeight="1" spans="1:9" x14ac:dyDescent="0.25">
      <c r="A1035" s="135"/>
      <c r="B1035" s="136"/>
      <c r="C1035" s="137"/>
      <c r="D1035" s="138"/>
      <c r="E1035" s="138"/>
      <c r="F1035" s="138"/>
      <c r="G1035" s="139"/>
      <c r="I1035" s="140"/>
    </row>
    <row r="1036" ht="15" customHeight="1" spans="1:9" x14ac:dyDescent="0.25">
      <c r="A1036" s="135"/>
      <c r="B1036" s="136"/>
      <c r="C1036" s="137"/>
      <c r="D1036" s="138"/>
      <c r="E1036" s="138"/>
      <c r="F1036" s="138"/>
      <c r="G1036" s="139"/>
      <c r="I1036" s="140"/>
    </row>
    <row r="1037" ht="15" customHeight="1" spans="1:9" x14ac:dyDescent="0.25">
      <c r="A1037" s="135"/>
      <c r="B1037" s="136"/>
      <c r="C1037" s="137"/>
      <c r="D1037" s="138"/>
      <c r="E1037" s="138"/>
      <c r="F1037" s="138"/>
      <c r="G1037" s="139"/>
      <c r="I1037" s="140"/>
    </row>
    <row r="1038" ht="15" customHeight="1" spans="1:9" x14ac:dyDescent="0.25">
      <c r="A1038" s="135"/>
      <c r="B1038" s="136"/>
      <c r="C1038" s="137"/>
      <c r="D1038" s="138"/>
      <c r="E1038" s="138"/>
      <c r="F1038" s="138"/>
      <c r="G1038" s="139"/>
      <c r="I1038" s="140"/>
    </row>
    <row r="1039" ht="15" customHeight="1" spans="1:9" x14ac:dyDescent="0.25">
      <c r="A1039" s="135"/>
      <c r="B1039" s="136"/>
      <c r="C1039" s="137"/>
      <c r="D1039" s="138"/>
      <c r="E1039" s="138"/>
      <c r="F1039" s="138"/>
      <c r="G1039" s="139"/>
      <c r="I1039" s="140"/>
    </row>
    <row r="1040" ht="15" customHeight="1" spans="1:9" x14ac:dyDescent="0.25">
      <c r="A1040" s="135"/>
      <c r="B1040" s="136"/>
      <c r="C1040" s="137"/>
      <c r="D1040" s="138"/>
      <c r="E1040" s="138"/>
      <c r="F1040" s="138"/>
      <c r="G1040" s="139"/>
      <c r="I1040" s="140"/>
    </row>
    <row r="1041" ht="15" customHeight="1" spans="1:9" x14ac:dyDescent="0.25">
      <c r="A1041" s="135"/>
      <c r="B1041" s="136"/>
      <c r="C1041" s="137"/>
      <c r="D1041" s="138"/>
      <c r="E1041" s="138"/>
      <c r="F1041" s="138"/>
      <c r="G1041" s="139"/>
      <c r="I1041" s="140"/>
    </row>
    <row r="1042" ht="15" customHeight="1" spans="1:9" x14ac:dyDescent="0.25">
      <c r="A1042" s="135"/>
      <c r="B1042" s="136"/>
      <c r="C1042" s="137"/>
      <c r="D1042" s="138"/>
      <c r="E1042" s="138"/>
      <c r="F1042" s="138"/>
      <c r="G1042" s="139"/>
      <c r="I1042" s="140"/>
    </row>
    <row r="1043" ht="15" customHeight="1" spans="1:9" x14ac:dyDescent="0.25">
      <c r="A1043" s="135"/>
      <c r="B1043" s="136"/>
      <c r="C1043" s="137"/>
      <c r="D1043" s="138"/>
      <c r="E1043" s="138"/>
      <c r="F1043" s="138"/>
      <c r="G1043" s="139"/>
      <c r="I1043" s="140"/>
    </row>
    <row r="1044" ht="15" customHeight="1" spans="1:9" x14ac:dyDescent="0.25">
      <c r="A1044" s="135"/>
      <c r="B1044" s="136"/>
      <c r="C1044" s="137"/>
      <c r="D1044" s="138"/>
      <c r="E1044" s="138"/>
      <c r="F1044" s="138"/>
      <c r="G1044" s="139"/>
      <c r="I1044" s="140"/>
    </row>
    <row r="1045" ht="15" customHeight="1" spans="1:9" x14ac:dyDescent="0.25">
      <c r="A1045" s="135"/>
      <c r="B1045" s="136"/>
      <c r="C1045" s="137"/>
      <c r="D1045" s="138"/>
      <c r="E1045" s="138"/>
      <c r="F1045" s="138"/>
      <c r="G1045" s="139"/>
      <c r="I1045" s="140"/>
    </row>
    <row r="1046" ht="15" customHeight="1" spans="1:9" x14ac:dyDescent="0.25">
      <c r="A1046" s="135"/>
      <c r="B1046" s="136"/>
      <c r="C1046" s="137"/>
      <c r="D1046" s="138"/>
      <c r="E1046" s="138"/>
      <c r="F1046" s="138"/>
      <c r="G1046" s="139"/>
      <c r="I1046" s="140"/>
    </row>
    <row r="1047" ht="15" customHeight="1" spans="1:9" x14ac:dyDescent="0.25">
      <c r="A1047" s="135"/>
      <c r="B1047" s="136"/>
      <c r="C1047" s="137"/>
      <c r="D1047" s="138"/>
      <c r="E1047" s="138"/>
      <c r="F1047" s="138"/>
      <c r="G1047" s="139"/>
      <c r="I1047" s="140"/>
    </row>
    <row r="1048" ht="15" customHeight="1" spans="1:9" x14ac:dyDescent="0.25">
      <c r="A1048" s="135"/>
      <c r="B1048" s="136"/>
      <c r="C1048" s="137"/>
      <c r="D1048" s="138"/>
      <c r="E1048" s="138"/>
      <c r="F1048" s="138"/>
      <c r="G1048" s="139"/>
      <c r="I1048" s="140"/>
    </row>
    <row r="1049" ht="15" customHeight="1" spans="1:9" x14ac:dyDescent="0.25">
      <c r="A1049" s="135"/>
      <c r="B1049" s="136"/>
      <c r="C1049" s="137"/>
      <c r="D1049" s="138"/>
      <c r="E1049" s="138"/>
      <c r="F1049" s="138"/>
      <c r="G1049" s="139"/>
      <c r="I1049" s="140"/>
    </row>
    <row r="1050" ht="15" customHeight="1" spans="1:9" x14ac:dyDescent="0.25">
      <c r="A1050" s="135"/>
      <c r="B1050" s="136"/>
      <c r="C1050" s="137"/>
      <c r="D1050" s="138"/>
      <c r="E1050" s="138"/>
      <c r="F1050" s="138"/>
      <c r="G1050" s="139"/>
      <c r="I1050" s="140"/>
    </row>
    <row r="1051" ht="15" customHeight="1" spans="1:9" x14ac:dyDescent="0.25">
      <c r="A1051" s="135"/>
      <c r="B1051" s="136"/>
      <c r="C1051" s="137"/>
      <c r="D1051" s="138"/>
      <c r="E1051" s="138"/>
      <c r="F1051" s="138"/>
      <c r="G1051" s="139"/>
      <c r="I1051" s="140"/>
    </row>
    <row r="1052" ht="15" customHeight="1" spans="1:9" x14ac:dyDescent="0.25">
      <c r="A1052" s="135"/>
      <c r="B1052" s="136"/>
      <c r="C1052" s="137"/>
      <c r="D1052" s="138"/>
      <c r="E1052" s="138"/>
      <c r="F1052" s="138"/>
      <c r="G1052" s="139"/>
      <c r="I1052" s="140"/>
    </row>
    <row r="1053" ht="15" customHeight="1" spans="1:9" x14ac:dyDescent="0.25">
      <c r="A1053" s="135"/>
      <c r="B1053" s="136"/>
      <c r="C1053" s="137"/>
      <c r="D1053" s="138"/>
      <c r="E1053" s="138"/>
      <c r="F1053" s="138"/>
      <c r="G1053" s="139"/>
      <c r="I1053" s="140"/>
    </row>
    <row r="1054" ht="15" customHeight="1" spans="1:9" x14ac:dyDescent="0.25">
      <c r="A1054" s="135"/>
      <c r="B1054" s="136"/>
      <c r="C1054" s="137"/>
      <c r="D1054" s="138"/>
      <c r="E1054" s="138"/>
      <c r="F1054" s="138"/>
      <c r="G1054" s="139"/>
      <c r="I1054" s="140"/>
    </row>
    <row r="1055" ht="15" customHeight="1" spans="1:9" x14ac:dyDescent="0.25">
      <c r="A1055" s="135"/>
      <c r="B1055" s="136"/>
      <c r="C1055" s="137"/>
      <c r="D1055" s="138"/>
      <c r="E1055" s="138"/>
      <c r="F1055" s="138"/>
      <c r="G1055" s="139"/>
      <c r="I1055" s="140"/>
    </row>
    <row r="1056" ht="15" customHeight="1" spans="1:9" x14ac:dyDescent="0.25">
      <c r="A1056" s="135"/>
      <c r="B1056" s="136"/>
      <c r="C1056" s="137"/>
      <c r="D1056" s="138"/>
      <c r="E1056" s="138"/>
      <c r="F1056" s="138"/>
      <c r="G1056" s="139"/>
      <c r="I1056" s="140"/>
    </row>
    <row r="1057" ht="15" customHeight="1" spans="1:9" x14ac:dyDescent="0.25">
      <c r="A1057" s="135"/>
      <c r="B1057" s="136"/>
      <c r="C1057" s="137"/>
      <c r="D1057" s="138"/>
      <c r="E1057" s="138"/>
      <c r="F1057" s="138"/>
      <c r="G1057" s="139"/>
      <c r="I1057" s="140"/>
    </row>
    <row r="1058" ht="15" customHeight="1" spans="1:9" x14ac:dyDescent="0.25">
      <c r="A1058" s="135"/>
      <c r="B1058" s="136"/>
      <c r="C1058" s="137"/>
      <c r="D1058" s="138"/>
      <c r="E1058" s="138"/>
      <c r="F1058" s="138"/>
      <c r="G1058" s="139"/>
      <c r="I1058" s="140"/>
    </row>
    <row r="1059" ht="15" customHeight="1" spans="1:9" x14ac:dyDescent="0.25">
      <c r="A1059" s="135"/>
      <c r="B1059" s="136"/>
      <c r="C1059" s="137"/>
      <c r="D1059" s="138"/>
      <c r="E1059" s="138"/>
      <c r="F1059" s="138"/>
      <c r="G1059" s="139"/>
      <c r="I1059" s="140"/>
    </row>
    <row r="1060" ht="15" customHeight="1" spans="1:9" x14ac:dyDescent="0.25">
      <c r="A1060" s="135"/>
      <c r="B1060" s="136"/>
      <c r="C1060" s="137"/>
      <c r="D1060" s="138"/>
      <c r="E1060" s="138"/>
      <c r="F1060" s="138"/>
      <c r="G1060" s="139"/>
      <c r="I1060" s="140"/>
    </row>
    <row r="1061" ht="15" customHeight="1" spans="1:9" x14ac:dyDescent="0.25">
      <c r="A1061" s="135"/>
      <c r="B1061" s="136"/>
      <c r="C1061" s="137"/>
      <c r="D1061" s="138"/>
      <c r="E1061" s="138"/>
      <c r="F1061" s="138"/>
      <c r="G1061" s="139"/>
      <c r="I1061" s="140"/>
    </row>
    <row r="1062" ht="15" customHeight="1" spans="1:9" x14ac:dyDescent="0.25">
      <c r="A1062" s="135"/>
      <c r="B1062" s="136"/>
      <c r="C1062" s="137"/>
      <c r="D1062" s="138"/>
      <c r="E1062" s="138"/>
      <c r="F1062" s="138"/>
      <c r="G1062" s="139"/>
      <c r="I1062" s="140"/>
    </row>
    <row r="1063" ht="15" customHeight="1" spans="1:9" x14ac:dyDescent="0.25">
      <c r="A1063" s="135"/>
      <c r="B1063" s="136"/>
      <c r="C1063" s="137"/>
      <c r="D1063" s="138"/>
      <c r="E1063" s="138"/>
      <c r="F1063" s="138"/>
      <c r="G1063" s="139"/>
      <c r="I1063" s="140"/>
    </row>
    <row r="1064" ht="15" customHeight="1" spans="1:9" x14ac:dyDescent="0.25">
      <c r="A1064" s="135"/>
      <c r="B1064" s="136"/>
      <c r="C1064" s="137"/>
      <c r="D1064" s="138"/>
      <c r="E1064" s="138"/>
      <c r="F1064" s="138"/>
      <c r="G1064" s="139"/>
      <c r="I1064" s="140"/>
    </row>
    <row r="1065" ht="15" customHeight="1" spans="1:9" x14ac:dyDescent="0.25">
      <c r="A1065" s="135"/>
      <c r="B1065" s="136"/>
      <c r="C1065" s="137"/>
      <c r="D1065" s="138"/>
      <c r="E1065" s="138"/>
      <c r="F1065" s="138"/>
      <c r="G1065" s="139"/>
      <c r="I1065" s="140"/>
    </row>
    <row r="1066" ht="15" customHeight="1" spans="1:9" x14ac:dyDescent="0.25">
      <c r="A1066" s="135"/>
      <c r="B1066" s="136"/>
      <c r="C1066" s="137"/>
      <c r="D1066" s="138"/>
      <c r="E1066" s="138"/>
      <c r="F1066" s="138"/>
      <c r="G1066" s="139"/>
      <c r="I1066" s="140"/>
    </row>
    <row r="1067" ht="15" customHeight="1" spans="1:9" x14ac:dyDescent="0.25">
      <c r="A1067" s="135"/>
      <c r="B1067" s="136"/>
      <c r="C1067" s="137"/>
      <c r="D1067" s="138"/>
      <c r="E1067" s="138"/>
      <c r="F1067" s="138"/>
      <c r="G1067" s="139"/>
      <c r="I1067" s="140"/>
    </row>
    <row r="1068" ht="15" customHeight="1" spans="1:9" x14ac:dyDescent="0.25">
      <c r="A1068" s="135"/>
      <c r="B1068" s="136"/>
      <c r="C1068" s="137"/>
      <c r="D1068" s="138"/>
      <c r="E1068" s="138"/>
      <c r="F1068" s="138"/>
      <c r="G1068" s="139"/>
      <c r="I1068" s="140"/>
    </row>
    <row r="1069" ht="15" customHeight="1" spans="1:9" x14ac:dyDescent="0.25">
      <c r="A1069" s="135"/>
      <c r="B1069" s="136"/>
      <c r="C1069" s="137"/>
      <c r="D1069" s="138"/>
      <c r="E1069" s="138"/>
      <c r="F1069" s="138"/>
      <c r="G1069" s="139"/>
      <c r="I1069" s="140"/>
    </row>
    <row r="1070" ht="15" customHeight="1" spans="1:9" x14ac:dyDescent="0.25">
      <c r="A1070" s="135"/>
      <c r="B1070" s="136"/>
      <c r="C1070" s="137"/>
      <c r="D1070" s="138"/>
      <c r="E1070" s="138"/>
      <c r="F1070" s="138"/>
      <c r="G1070" s="139"/>
      <c r="I1070" s="140"/>
    </row>
    <row r="1071" ht="15" customHeight="1" spans="1:9" x14ac:dyDescent="0.25">
      <c r="A1071" s="135"/>
      <c r="B1071" s="136"/>
      <c r="C1071" s="137"/>
      <c r="D1071" s="138"/>
      <c r="E1071" s="138"/>
      <c r="F1071" s="138"/>
      <c r="G1071" s="139"/>
      <c r="I1071" s="140"/>
    </row>
    <row r="1072" ht="15" customHeight="1" spans="1:9" x14ac:dyDescent="0.25">
      <c r="A1072" s="135"/>
      <c r="B1072" s="136"/>
      <c r="C1072" s="137"/>
      <c r="D1072" s="138"/>
      <c r="E1072" s="138"/>
      <c r="F1072" s="138"/>
      <c r="G1072" s="139"/>
      <c r="I1072" s="140"/>
    </row>
    <row r="1073" ht="15" customHeight="1" spans="1:9" x14ac:dyDescent="0.25">
      <c r="A1073" s="135"/>
      <c r="B1073" s="136"/>
      <c r="C1073" s="137"/>
      <c r="D1073" s="138"/>
      <c r="E1073" s="138"/>
      <c r="F1073" s="138"/>
      <c r="G1073" s="139"/>
      <c r="I1073" s="140"/>
    </row>
    <row r="1074" ht="15" customHeight="1" spans="1:9" x14ac:dyDescent="0.25">
      <c r="A1074" s="135"/>
      <c r="B1074" s="136"/>
      <c r="C1074" s="137"/>
      <c r="D1074" s="138"/>
      <c r="E1074" s="138"/>
      <c r="F1074" s="138"/>
      <c r="G1074" s="139"/>
      <c r="I1074" s="140"/>
    </row>
    <row r="1075" ht="15" customHeight="1" spans="1:9" x14ac:dyDescent="0.25">
      <c r="A1075" s="135"/>
      <c r="B1075" s="136"/>
      <c r="C1075" s="137"/>
      <c r="D1075" s="138"/>
      <c r="E1075" s="138"/>
      <c r="F1075" s="138"/>
      <c r="G1075" s="139"/>
      <c r="I1075" s="140"/>
    </row>
    <row r="1076" ht="15" customHeight="1" spans="1:9" x14ac:dyDescent="0.25">
      <c r="A1076" s="135"/>
      <c r="B1076" s="136"/>
      <c r="C1076" s="137"/>
      <c r="D1076" s="138"/>
      <c r="E1076" s="138"/>
      <c r="F1076" s="138"/>
      <c r="G1076" s="139"/>
      <c r="I1076" s="140"/>
    </row>
    <row r="1077" ht="15" customHeight="1" spans="1:9" x14ac:dyDescent="0.25">
      <c r="A1077" s="135"/>
      <c r="B1077" s="136"/>
      <c r="C1077" s="137"/>
      <c r="D1077" s="138"/>
      <c r="E1077" s="138"/>
      <c r="F1077" s="138"/>
      <c r="G1077" s="139"/>
      <c r="I1077" s="140"/>
    </row>
    <row r="1078" ht="15" customHeight="1" spans="1:9" x14ac:dyDescent="0.25">
      <c r="A1078" s="135"/>
      <c r="B1078" s="136"/>
      <c r="C1078" s="137"/>
      <c r="D1078" s="138"/>
      <c r="E1078" s="138"/>
      <c r="F1078" s="138"/>
      <c r="G1078" s="139"/>
      <c r="I1078" s="140"/>
    </row>
    <row r="1079" ht="15" customHeight="1" spans="1:9" x14ac:dyDescent="0.25">
      <c r="A1079" s="135"/>
      <c r="B1079" s="136"/>
      <c r="C1079" s="137"/>
      <c r="D1079" s="138"/>
      <c r="E1079" s="138"/>
      <c r="F1079" s="138"/>
      <c r="G1079" s="139"/>
      <c r="I1079" s="140"/>
    </row>
    <row r="1080" ht="15" customHeight="1" spans="1:9" x14ac:dyDescent="0.25">
      <c r="A1080" s="135"/>
      <c r="B1080" s="136"/>
      <c r="C1080" s="137"/>
      <c r="D1080" s="138"/>
      <c r="E1080" s="138"/>
      <c r="F1080" s="138"/>
      <c r="G1080" s="139"/>
      <c r="I1080" s="140"/>
    </row>
    <row r="1081" ht="15" customHeight="1" spans="1:9" x14ac:dyDescent="0.25">
      <c r="A1081" s="135"/>
      <c r="B1081" s="136"/>
      <c r="C1081" s="137"/>
      <c r="D1081" s="138"/>
      <c r="E1081" s="138"/>
      <c r="F1081" s="138"/>
      <c r="G1081" s="139"/>
      <c r="I1081" s="140"/>
    </row>
    <row r="1082" ht="15" customHeight="1" spans="1:9" x14ac:dyDescent="0.25">
      <c r="A1082" s="135"/>
      <c r="B1082" s="136"/>
      <c r="C1082" s="137"/>
      <c r="D1082" s="138"/>
      <c r="E1082" s="138"/>
      <c r="F1082" s="138"/>
      <c r="G1082" s="139"/>
      <c r="I1082" s="140"/>
    </row>
    <row r="1083" ht="15" customHeight="1" spans="1:9" x14ac:dyDescent="0.25">
      <c r="A1083" s="135"/>
      <c r="B1083" s="136"/>
      <c r="C1083" s="137"/>
      <c r="D1083" s="138"/>
      <c r="E1083" s="138"/>
      <c r="F1083" s="138"/>
      <c r="G1083" s="139"/>
      <c r="I1083" s="140"/>
    </row>
    <row r="1084" ht="15" customHeight="1" spans="1:9" x14ac:dyDescent="0.25">
      <c r="A1084" s="135"/>
      <c r="B1084" s="136"/>
      <c r="C1084" s="137"/>
      <c r="D1084" s="138"/>
      <c r="E1084" s="138"/>
      <c r="F1084" s="138"/>
      <c r="G1084" s="139"/>
      <c r="I1084" s="140"/>
    </row>
    <row r="1085" ht="15" customHeight="1" spans="1:9" x14ac:dyDescent="0.25">
      <c r="A1085" s="135"/>
      <c r="B1085" s="136"/>
      <c r="C1085" s="137"/>
      <c r="D1085" s="138"/>
      <c r="E1085" s="138"/>
      <c r="F1085" s="138"/>
      <c r="G1085" s="139"/>
      <c r="I1085" s="140"/>
    </row>
    <row r="1086" ht="15" customHeight="1" spans="1:9" x14ac:dyDescent="0.25">
      <c r="A1086" s="135"/>
      <c r="B1086" s="136"/>
      <c r="C1086" s="137"/>
      <c r="D1086" s="138"/>
      <c r="E1086" s="138"/>
      <c r="F1086" s="138"/>
      <c r="G1086" s="139"/>
      <c r="I1086" s="140"/>
    </row>
    <row r="1087" ht="15" customHeight="1" spans="1:9" x14ac:dyDescent="0.25">
      <c r="A1087" s="135"/>
      <c r="B1087" s="136"/>
      <c r="C1087" s="137"/>
      <c r="D1087" s="138"/>
      <c r="E1087" s="138"/>
      <c r="F1087" s="138"/>
      <c r="G1087" s="139"/>
      <c r="I1087" s="140"/>
    </row>
    <row r="1088" ht="15" customHeight="1" spans="1:9" x14ac:dyDescent="0.25">
      <c r="A1088" s="135"/>
      <c r="B1088" s="136"/>
      <c r="C1088" s="137"/>
      <c r="D1088" s="138"/>
      <c r="E1088" s="138"/>
      <c r="F1088" s="138"/>
      <c r="G1088" s="139"/>
      <c r="I1088" s="140"/>
    </row>
    <row r="1089" ht="15" customHeight="1" spans="1:9" x14ac:dyDescent="0.25">
      <c r="A1089" s="135"/>
      <c r="B1089" s="136"/>
      <c r="C1089" s="137"/>
      <c r="D1089" s="138"/>
      <c r="E1089" s="138"/>
      <c r="F1089" s="138"/>
      <c r="G1089" s="139"/>
      <c r="I1089" s="140"/>
    </row>
    <row r="1090" ht="15" customHeight="1" spans="1:9" x14ac:dyDescent="0.25">
      <c r="A1090" s="135"/>
      <c r="B1090" s="136"/>
      <c r="C1090" s="137"/>
      <c r="D1090" s="138"/>
      <c r="E1090" s="138"/>
      <c r="F1090" s="138"/>
      <c r="G1090" s="139"/>
      <c r="I1090" s="140"/>
    </row>
    <row r="1091" ht="15" customHeight="1" spans="1:9" x14ac:dyDescent="0.25">
      <c r="A1091" s="135"/>
      <c r="B1091" s="136"/>
      <c r="C1091" s="137"/>
      <c r="D1091" s="138"/>
      <c r="E1091" s="138"/>
      <c r="F1091" s="138"/>
      <c r="G1091" s="139"/>
      <c r="I1091" s="140"/>
    </row>
    <row r="1092" ht="15" customHeight="1" spans="1:9" x14ac:dyDescent="0.25">
      <c r="A1092" s="135"/>
      <c r="B1092" s="136"/>
      <c r="C1092" s="137"/>
      <c r="D1092" s="138"/>
      <c r="E1092" s="138"/>
      <c r="F1092" s="138"/>
      <c r="G1092" s="139"/>
      <c r="I1092" s="140"/>
    </row>
    <row r="1093" ht="15" customHeight="1" spans="1:9" x14ac:dyDescent="0.25">
      <c r="A1093" s="135"/>
      <c r="B1093" s="136"/>
      <c r="C1093" s="137"/>
      <c r="D1093" s="138"/>
      <c r="E1093" s="138"/>
      <c r="F1093" s="138"/>
      <c r="G1093" s="139"/>
      <c r="I1093" s="140"/>
    </row>
    <row r="1094" ht="15" customHeight="1" spans="1:9" x14ac:dyDescent="0.25">
      <c r="A1094" s="135"/>
      <c r="B1094" s="136"/>
      <c r="C1094" s="137"/>
      <c r="D1094" s="138"/>
      <c r="E1094" s="138"/>
      <c r="F1094" s="138"/>
      <c r="G1094" s="139"/>
      <c r="I1094" s="140"/>
    </row>
    <row r="1095" ht="15" customHeight="1" spans="1:9" x14ac:dyDescent="0.25">
      <c r="A1095" s="135"/>
      <c r="B1095" s="136"/>
      <c r="C1095" s="137"/>
      <c r="D1095" s="138"/>
      <c r="E1095" s="138"/>
      <c r="F1095" s="138"/>
      <c r="G1095" s="139"/>
      <c r="I1095" s="140"/>
    </row>
    <row r="1096" ht="15" customHeight="1" spans="1:9" x14ac:dyDescent="0.25">
      <c r="A1096" s="135"/>
      <c r="B1096" s="136"/>
      <c r="C1096" s="137"/>
      <c r="D1096" s="138"/>
      <c r="E1096" s="138"/>
      <c r="F1096" s="138"/>
      <c r="G1096" s="139"/>
      <c r="I1096" s="140"/>
    </row>
    <row r="1097" ht="15" customHeight="1" spans="1:9" x14ac:dyDescent="0.25">
      <c r="A1097" s="135"/>
      <c r="B1097" s="136"/>
      <c r="C1097" s="137"/>
      <c r="D1097" s="138"/>
      <c r="E1097" s="138"/>
      <c r="F1097" s="138"/>
      <c r="G1097" s="139"/>
      <c r="I1097" s="140"/>
    </row>
    <row r="1098" ht="15" customHeight="1" spans="1:9" x14ac:dyDescent="0.25">
      <c r="A1098" s="135"/>
      <c r="B1098" s="136"/>
      <c r="C1098" s="137"/>
      <c r="D1098" s="138"/>
      <c r="E1098" s="138"/>
      <c r="F1098" s="138"/>
      <c r="G1098" s="139"/>
      <c r="I1098" s="140"/>
    </row>
    <row r="1099" ht="15" customHeight="1" spans="1:9" x14ac:dyDescent="0.25">
      <c r="A1099" s="135"/>
      <c r="B1099" s="136"/>
      <c r="C1099" s="137"/>
      <c r="D1099" s="138"/>
      <c r="E1099" s="138"/>
      <c r="F1099" s="138"/>
      <c r="G1099" s="139"/>
      <c r="I1099" s="140"/>
    </row>
    <row r="1100" ht="15" customHeight="1" spans="1:9" x14ac:dyDescent="0.25">
      <c r="A1100" s="135"/>
      <c r="B1100" s="136"/>
      <c r="C1100" s="137"/>
      <c r="D1100" s="138"/>
      <c r="E1100" s="138"/>
      <c r="F1100" s="138"/>
      <c r="G1100" s="139"/>
      <c r="I1100" s="140"/>
    </row>
    <row r="1101" ht="15" customHeight="1" spans="1:9" x14ac:dyDescent="0.25">
      <c r="A1101" s="135"/>
      <c r="B1101" s="136"/>
      <c r="C1101" s="137"/>
      <c r="D1101" s="138"/>
      <c r="E1101" s="138"/>
      <c r="F1101" s="138"/>
      <c r="G1101" s="139"/>
      <c r="I1101" s="140"/>
    </row>
    <row r="1102" ht="15" customHeight="1" spans="1:9" x14ac:dyDescent="0.25">
      <c r="A1102" s="135"/>
      <c r="B1102" s="136"/>
      <c r="C1102" s="137"/>
      <c r="D1102" s="138"/>
      <c r="E1102" s="138"/>
      <c r="F1102" s="138"/>
      <c r="G1102" s="139"/>
      <c r="I1102" s="140"/>
    </row>
    <row r="1103" ht="15" customHeight="1" spans="1:9" x14ac:dyDescent="0.25">
      <c r="A1103" s="135"/>
      <c r="B1103" s="136"/>
      <c r="C1103" s="137"/>
      <c r="D1103" s="138"/>
      <c r="E1103" s="138"/>
      <c r="F1103" s="138"/>
      <c r="G1103" s="139"/>
      <c r="I1103" s="140"/>
    </row>
    <row r="1104" ht="15" customHeight="1" spans="1:9" x14ac:dyDescent="0.25">
      <c r="A1104" s="135"/>
      <c r="B1104" s="136"/>
      <c r="C1104" s="137"/>
      <c r="D1104" s="138"/>
      <c r="E1104" s="138"/>
      <c r="F1104" s="138"/>
      <c r="G1104" s="139"/>
      <c r="I1104" s="140"/>
    </row>
    <row r="1105" ht="15" customHeight="1" spans="1:9" x14ac:dyDescent="0.25">
      <c r="A1105" s="135"/>
      <c r="B1105" s="136"/>
      <c r="C1105" s="137"/>
      <c r="D1105" s="138"/>
      <c r="E1105" s="138"/>
      <c r="F1105" s="138"/>
      <c r="G1105" s="139"/>
      <c r="I1105" s="140"/>
    </row>
    <row r="1106" ht="15" customHeight="1" spans="1:9" x14ac:dyDescent="0.25">
      <c r="A1106" s="135"/>
      <c r="B1106" s="136"/>
      <c r="C1106" s="137"/>
      <c r="D1106" s="138"/>
      <c r="E1106" s="138"/>
      <c r="F1106" s="138"/>
      <c r="G1106" s="139"/>
      <c r="I1106" s="140"/>
    </row>
    <row r="1107" ht="15" customHeight="1" spans="1:9" x14ac:dyDescent="0.25">
      <c r="A1107" s="135"/>
      <c r="B1107" s="136"/>
      <c r="C1107" s="137"/>
      <c r="D1107" s="138"/>
      <c r="E1107" s="138"/>
      <c r="F1107" s="138"/>
      <c r="G1107" s="139"/>
      <c r="I1107" s="140"/>
    </row>
    <row r="1108" ht="15" customHeight="1" spans="1:9" x14ac:dyDescent="0.25">
      <c r="A1108" s="135"/>
      <c r="B1108" s="136"/>
      <c r="C1108" s="137"/>
      <c r="D1108" s="138"/>
      <c r="E1108" s="138"/>
      <c r="F1108" s="138"/>
      <c r="G1108" s="139"/>
      <c r="I1108" s="140"/>
    </row>
    <row r="1109" ht="15" customHeight="1" spans="1:9" x14ac:dyDescent="0.25">
      <c r="A1109" s="135"/>
      <c r="B1109" s="136"/>
      <c r="C1109" s="137"/>
      <c r="D1109" s="138"/>
      <c r="E1109" s="138"/>
      <c r="F1109" s="138"/>
      <c r="G1109" s="139"/>
      <c r="I1109" s="140"/>
    </row>
    <row r="1110" ht="15" customHeight="1" spans="1:9" x14ac:dyDescent="0.25">
      <c r="A1110" s="135"/>
      <c r="B1110" s="136"/>
      <c r="C1110" s="137"/>
      <c r="D1110" s="138"/>
      <c r="E1110" s="138"/>
      <c r="F1110" s="138"/>
      <c r="G1110" s="139"/>
      <c r="I1110" s="140"/>
    </row>
    <row r="1111" ht="15" customHeight="1" spans="1:9" x14ac:dyDescent="0.25">
      <c r="A1111" s="135"/>
      <c r="B1111" s="136"/>
      <c r="C1111" s="137"/>
      <c r="D1111" s="138"/>
      <c r="E1111" s="138"/>
      <c r="F1111" s="138"/>
      <c r="G1111" s="139"/>
      <c r="I1111" s="140"/>
    </row>
    <row r="1112" ht="15" customHeight="1" spans="1:9" x14ac:dyDescent="0.25">
      <c r="A1112" s="135"/>
      <c r="B1112" s="136"/>
      <c r="C1112" s="137"/>
      <c r="D1112" s="138"/>
      <c r="E1112" s="138"/>
      <c r="F1112" s="138"/>
      <c r="G1112" s="139"/>
      <c r="I1112" s="140"/>
    </row>
    <row r="1113" ht="15" customHeight="1" spans="1:9" x14ac:dyDescent="0.25">
      <c r="A1113" s="135"/>
      <c r="B1113" s="136"/>
      <c r="C1113" s="137"/>
      <c r="D1113" s="138"/>
      <c r="E1113" s="138"/>
      <c r="F1113" s="138"/>
      <c r="G1113" s="139"/>
      <c r="I1113" s="140"/>
    </row>
    <row r="1114" ht="15" customHeight="1" spans="1:9" x14ac:dyDescent="0.25">
      <c r="A1114" s="135"/>
      <c r="B1114" s="136"/>
      <c r="C1114" s="137"/>
      <c r="D1114" s="138"/>
      <c r="E1114" s="138"/>
      <c r="F1114" s="138"/>
      <c r="G1114" s="139"/>
      <c r="I1114" s="140"/>
    </row>
    <row r="1115" ht="15" customHeight="1" spans="1:9" x14ac:dyDescent="0.25">
      <c r="A1115" s="135"/>
      <c r="B1115" s="136"/>
      <c r="C1115" s="137"/>
      <c r="D1115" s="138"/>
      <c r="E1115" s="138"/>
      <c r="F1115" s="138"/>
      <c r="G1115" s="139"/>
      <c r="I1115" s="140"/>
    </row>
    <row r="1116" ht="15" customHeight="1" spans="1:9" x14ac:dyDescent="0.25">
      <c r="A1116" s="135"/>
      <c r="B1116" s="136"/>
      <c r="C1116" s="137"/>
      <c r="D1116" s="138"/>
      <c r="E1116" s="138"/>
      <c r="F1116" s="138"/>
      <c r="G1116" s="139"/>
      <c r="I1116" s="140"/>
    </row>
    <row r="1117" ht="15" customHeight="1" spans="1:9" x14ac:dyDescent="0.25">
      <c r="A1117" s="135"/>
      <c r="B1117" s="136"/>
      <c r="C1117" s="137"/>
      <c r="D1117" s="138"/>
      <c r="E1117" s="138"/>
      <c r="F1117" s="138"/>
      <c r="G1117" s="139"/>
      <c r="I1117" s="140"/>
    </row>
    <row r="1118" ht="15" customHeight="1" spans="1:9" x14ac:dyDescent="0.25">
      <c r="A1118" s="135"/>
      <c r="B1118" s="136"/>
      <c r="C1118" s="137"/>
      <c r="D1118" s="138"/>
      <c r="E1118" s="138"/>
      <c r="F1118" s="138"/>
      <c r="G1118" s="139"/>
      <c r="I1118" s="140"/>
    </row>
    <row r="1119" ht="15" customHeight="1" spans="1:9" x14ac:dyDescent="0.25">
      <c r="A1119" s="135"/>
      <c r="B1119" s="136"/>
      <c r="C1119" s="137"/>
      <c r="D1119" s="138"/>
      <c r="E1119" s="138"/>
      <c r="F1119" s="138"/>
      <c r="G1119" s="139"/>
      <c r="I1119" s="140"/>
    </row>
    <row r="1120" ht="15" customHeight="1" spans="1:9" x14ac:dyDescent="0.25">
      <c r="A1120" s="135"/>
      <c r="B1120" s="136"/>
      <c r="C1120" s="137"/>
      <c r="D1120" s="138"/>
      <c r="E1120" s="138"/>
      <c r="F1120" s="138"/>
      <c r="G1120" s="139"/>
      <c r="I1120" s="140"/>
    </row>
    <row r="1121" ht="15" customHeight="1" spans="1:9" x14ac:dyDescent="0.25">
      <c r="A1121" s="135"/>
      <c r="B1121" s="136"/>
      <c r="C1121" s="137"/>
      <c r="D1121" s="138"/>
      <c r="E1121" s="138"/>
      <c r="F1121" s="138"/>
      <c r="G1121" s="139"/>
      <c r="I1121" s="140"/>
    </row>
    <row r="1122" ht="15" customHeight="1" spans="1:9" x14ac:dyDescent="0.25">
      <c r="A1122" s="135"/>
      <c r="B1122" s="136"/>
      <c r="C1122" s="137"/>
      <c r="D1122" s="138"/>
      <c r="E1122" s="138"/>
      <c r="F1122" s="138"/>
      <c r="G1122" s="139"/>
      <c r="I1122" s="140"/>
    </row>
    <row r="1123" ht="15" customHeight="1" spans="1:9" x14ac:dyDescent="0.25">
      <c r="A1123" s="135"/>
      <c r="B1123" s="136"/>
      <c r="C1123" s="137"/>
      <c r="D1123" s="138"/>
      <c r="E1123" s="138"/>
      <c r="F1123" s="138"/>
      <c r="G1123" s="139"/>
      <c r="I1123" s="140"/>
    </row>
    <row r="1124" ht="15" customHeight="1" spans="1:9" x14ac:dyDescent="0.25">
      <c r="A1124" s="135"/>
      <c r="B1124" s="136"/>
      <c r="C1124" s="137"/>
      <c r="D1124" s="138"/>
      <c r="E1124" s="138"/>
      <c r="F1124" s="138"/>
      <c r="G1124" s="139"/>
      <c r="I1124" s="140"/>
    </row>
    <row r="1125" ht="15" customHeight="1" spans="1:9" x14ac:dyDescent="0.25">
      <c r="A1125" s="135"/>
      <c r="B1125" s="136"/>
      <c r="C1125" s="137"/>
      <c r="D1125" s="138"/>
      <c r="E1125" s="138"/>
      <c r="F1125" s="138"/>
      <c r="G1125" s="139"/>
      <c r="I1125" s="140"/>
    </row>
    <row r="1126" ht="15" customHeight="1" spans="1:9" x14ac:dyDescent="0.25">
      <c r="A1126" s="135"/>
      <c r="B1126" s="136"/>
      <c r="C1126" s="137"/>
      <c r="D1126" s="138"/>
      <c r="E1126" s="138"/>
      <c r="F1126" s="138"/>
      <c r="G1126" s="139"/>
      <c r="I1126" s="140"/>
    </row>
    <row r="1127" ht="15" customHeight="1" spans="1:9" x14ac:dyDescent="0.25">
      <c r="A1127" s="135"/>
      <c r="B1127" s="136"/>
      <c r="C1127" s="137"/>
      <c r="D1127" s="138"/>
      <c r="E1127" s="138"/>
      <c r="F1127" s="138"/>
      <c r="G1127" s="139"/>
      <c r="I1127" s="140"/>
    </row>
    <row r="1128" ht="15" customHeight="1" spans="1:9" x14ac:dyDescent="0.25">
      <c r="A1128" s="135"/>
      <c r="B1128" s="136"/>
      <c r="C1128" s="137"/>
      <c r="D1128" s="138"/>
      <c r="E1128" s="138"/>
      <c r="F1128" s="138"/>
      <c r="G1128" s="139"/>
      <c r="I1128" s="140"/>
    </row>
    <row r="1129" ht="15" customHeight="1" spans="1:9" x14ac:dyDescent="0.25">
      <c r="A1129" s="135"/>
      <c r="B1129" s="136"/>
      <c r="C1129" s="137"/>
      <c r="D1129" s="138"/>
      <c r="E1129" s="138"/>
      <c r="F1129" s="138"/>
      <c r="G1129" s="139"/>
      <c r="I1129" s="140"/>
    </row>
    <row r="1130" ht="15" customHeight="1" spans="1:9" x14ac:dyDescent="0.25">
      <c r="A1130" s="135"/>
      <c r="B1130" s="136"/>
      <c r="C1130" s="137"/>
      <c r="D1130" s="138"/>
      <c r="E1130" s="138"/>
      <c r="F1130" s="138"/>
      <c r="G1130" s="139"/>
      <c r="I1130" s="140"/>
    </row>
    <row r="1131" ht="15" customHeight="1" spans="1:9" x14ac:dyDescent="0.25">
      <c r="A1131" s="135"/>
      <c r="B1131" s="136"/>
      <c r="C1131" s="137"/>
      <c r="D1131" s="138"/>
      <c r="E1131" s="138"/>
      <c r="F1131" s="138"/>
      <c r="G1131" s="139"/>
      <c r="I1131" s="140"/>
    </row>
    <row r="1132" ht="15" customHeight="1" spans="1:9" x14ac:dyDescent="0.25">
      <c r="A1132" s="135"/>
      <c r="B1132" s="136"/>
      <c r="C1132" s="137"/>
      <c r="D1132" s="138"/>
      <c r="E1132" s="138"/>
      <c r="F1132" s="138"/>
      <c r="G1132" s="139"/>
      <c r="I1132" s="140"/>
    </row>
    <row r="1133" ht="15" customHeight="1" spans="1:9" x14ac:dyDescent="0.25">
      <c r="A1133" s="135"/>
      <c r="B1133" s="136"/>
      <c r="C1133" s="137"/>
      <c r="D1133" s="138"/>
      <c r="E1133" s="138"/>
      <c r="F1133" s="138"/>
      <c r="G1133" s="139"/>
      <c r="I1133" s="140"/>
    </row>
    <row r="1134" ht="15" customHeight="1" spans="1:9" x14ac:dyDescent="0.25">
      <c r="A1134" s="135"/>
      <c r="B1134" s="136"/>
      <c r="C1134" s="137"/>
      <c r="D1134" s="138"/>
      <c r="E1134" s="138"/>
      <c r="F1134" s="138"/>
      <c r="G1134" s="139"/>
      <c r="I1134" s="140"/>
    </row>
    <row r="1135" ht="15" customHeight="1" spans="1:9" x14ac:dyDescent="0.25">
      <c r="A1135" s="135"/>
      <c r="B1135" s="136"/>
      <c r="C1135" s="137"/>
      <c r="D1135" s="138"/>
      <c r="E1135" s="138"/>
      <c r="F1135" s="138"/>
      <c r="G1135" s="139"/>
      <c r="I1135" s="140"/>
    </row>
    <row r="1136" ht="15" customHeight="1" spans="1:9" x14ac:dyDescent="0.25">
      <c r="A1136" s="135"/>
      <c r="B1136" s="136"/>
      <c r="C1136" s="137"/>
      <c r="D1136" s="138"/>
      <c r="E1136" s="138"/>
      <c r="F1136" s="138"/>
      <c r="G1136" s="139"/>
      <c r="I1136" s="140"/>
    </row>
    <row r="1137" ht="15" customHeight="1" spans="1:9" x14ac:dyDescent="0.25">
      <c r="A1137" s="135"/>
      <c r="B1137" s="136"/>
      <c r="C1137" s="137"/>
      <c r="D1137" s="138"/>
      <c r="E1137" s="138"/>
      <c r="F1137" s="138"/>
      <c r="G1137" s="139"/>
      <c r="I1137" s="140"/>
    </row>
    <row r="1138" ht="15" customHeight="1" spans="1:9" x14ac:dyDescent="0.25">
      <c r="A1138" s="135"/>
      <c r="B1138" s="136"/>
      <c r="C1138" s="137"/>
      <c r="D1138" s="138"/>
      <c r="E1138" s="138"/>
      <c r="F1138" s="138"/>
      <c r="G1138" s="139"/>
      <c r="I1138" s="140"/>
    </row>
    <row r="1139" ht="15" customHeight="1" spans="1:9" x14ac:dyDescent="0.25">
      <c r="A1139" s="135"/>
      <c r="B1139" s="136"/>
      <c r="C1139" s="137"/>
      <c r="D1139" s="138"/>
      <c r="E1139" s="138"/>
      <c r="F1139" s="138"/>
      <c r="G1139" s="139"/>
      <c r="I1139" s="140"/>
    </row>
    <row r="1140" ht="15" customHeight="1" spans="1:9" x14ac:dyDescent="0.25">
      <c r="A1140" s="135"/>
      <c r="B1140" s="136"/>
      <c r="C1140" s="137"/>
      <c r="D1140" s="138"/>
      <c r="E1140" s="138"/>
      <c r="F1140" s="138"/>
      <c r="G1140" s="139"/>
      <c r="I1140" s="140"/>
    </row>
    <row r="1141" ht="15" customHeight="1" spans="1:9" x14ac:dyDescent="0.25">
      <c r="A1141" s="135"/>
      <c r="B1141" s="136"/>
      <c r="C1141" s="137"/>
      <c r="D1141" s="138"/>
      <c r="E1141" s="138"/>
      <c r="F1141" s="138"/>
      <c r="G1141" s="139"/>
      <c r="I1141" s="140"/>
    </row>
    <row r="1142" ht="15" customHeight="1" spans="1:9" x14ac:dyDescent="0.25">
      <c r="A1142" s="135"/>
      <c r="B1142" s="136"/>
      <c r="C1142" s="137"/>
      <c r="D1142" s="138"/>
      <c r="E1142" s="138"/>
      <c r="F1142" s="138"/>
      <c r="G1142" s="139"/>
      <c r="I1142" s="140"/>
    </row>
    <row r="1143" ht="15" customHeight="1" spans="1:9" x14ac:dyDescent="0.25">
      <c r="A1143" s="135"/>
      <c r="B1143" s="136"/>
      <c r="C1143" s="137"/>
      <c r="D1143" s="138"/>
      <c r="E1143" s="138"/>
      <c r="F1143" s="138"/>
      <c r="G1143" s="139"/>
      <c r="I1143" s="140"/>
    </row>
    <row r="1144" ht="15" customHeight="1" spans="1:9" x14ac:dyDescent="0.25">
      <c r="A1144" s="135"/>
      <c r="B1144" s="136"/>
      <c r="C1144" s="137"/>
      <c r="D1144" s="138"/>
      <c r="E1144" s="138"/>
      <c r="F1144" s="138"/>
      <c r="G1144" s="139"/>
      <c r="I1144" s="140"/>
    </row>
    <row r="1145" ht="15" customHeight="1" spans="1:9" x14ac:dyDescent="0.25">
      <c r="A1145" s="135"/>
      <c r="B1145" s="136"/>
      <c r="C1145" s="137"/>
      <c r="D1145" s="138"/>
      <c r="E1145" s="138"/>
      <c r="F1145" s="138"/>
      <c r="G1145" s="139"/>
      <c r="I1145" s="140"/>
    </row>
    <row r="1146" ht="15" customHeight="1" spans="1:9" x14ac:dyDescent="0.25">
      <c r="A1146" s="135"/>
      <c r="B1146" s="136"/>
      <c r="C1146" s="137"/>
      <c r="D1146" s="138"/>
      <c r="E1146" s="138"/>
      <c r="F1146" s="138"/>
      <c r="G1146" s="139"/>
      <c r="I1146" s="140"/>
    </row>
    <row r="1147" ht="15" customHeight="1" spans="1:9" x14ac:dyDescent="0.25">
      <c r="A1147" s="135"/>
      <c r="B1147" s="136"/>
      <c r="C1147" s="137"/>
      <c r="D1147" s="138"/>
      <c r="E1147" s="138"/>
      <c r="F1147" s="138"/>
      <c r="G1147" s="139"/>
      <c r="I1147" s="140"/>
    </row>
    <row r="1148" ht="15" customHeight="1" spans="1:9" x14ac:dyDescent="0.25">
      <c r="A1148" s="135"/>
      <c r="B1148" s="136"/>
      <c r="C1148" s="137"/>
      <c r="D1148" s="138"/>
      <c r="E1148" s="138"/>
      <c r="F1148" s="138"/>
      <c r="G1148" s="139"/>
      <c r="I1148" s="140"/>
    </row>
    <row r="1149" ht="15" customHeight="1" spans="1:9" x14ac:dyDescent="0.25">
      <c r="A1149" s="135"/>
      <c r="B1149" s="136"/>
      <c r="C1149" s="137"/>
      <c r="D1149" s="138"/>
      <c r="E1149" s="138"/>
      <c r="F1149" s="138"/>
      <c r="G1149" s="139"/>
      <c r="I1149" s="140"/>
    </row>
    <row r="1150" ht="15" customHeight="1" spans="1:9" x14ac:dyDescent="0.25">
      <c r="A1150" s="135"/>
      <c r="B1150" s="136"/>
      <c r="C1150" s="137"/>
      <c r="D1150" s="138"/>
      <c r="E1150" s="138"/>
      <c r="F1150" s="138"/>
      <c r="G1150" s="139"/>
      <c r="I1150" s="140"/>
    </row>
    <row r="1151" ht="15" customHeight="1" spans="1:9" x14ac:dyDescent="0.25">
      <c r="A1151" s="135"/>
      <c r="B1151" s="136"/>
      <c r="C1151" s="137"/>
      <c r="D1151" s="138"/>
      <c r="E1151" s="138"/>
      <c r="F1151" s="138"/>
      <c r="G1151" s="139"/>
      <c r="I1151" s="140"/>
    </row>
    <row r="1152" ht="15" customHeight="1" spans="1:9" x14ac:dyDescent="0.25">
      <c r="A1152" s="135"/>
      <c r="B1152" s="136"/>
      <c r="C1152" s="137"/>
      <c r="D1152" s="138"/>
      <c r="E1152" s="138"/>
      <c r="F1152" s="138"/>
      <c r="G1152" s="139"/>
      <c r="I1152" s="140"/>
    </row>
    <row r="1153" ht="15" customHeight="1" spans="1:9" x14ac:dyDescent="0.25">
      <c r="A1153" s="135"/>
      <c r="B1153" s="136"/>
      <c r="C1153" s="137"/>
      <c r="D1153" s="138"/>
      <c r="E1153" s="138"/>
      <c r="F1153" s="138"/>
      <c r="G1153" s="139"/>
      <c r="I1153" s="140"/>
    </row>
    <row r="1154" ht="15" customHeight="1" spans="1:9" x14ac:dyDescent="0.25">
      <c r="A1154" s="135"/>
      <c r="B1154" s="136"/>
      <c r="C1154" s="137"/>
      <c r="D1154" s="138"/>
      <c r="E1154" s="138"/>
      <c r="F1154" s="138"/>
      <c r="G1154" s="139"/>
      <c r="I1154" s="140"/>
    </row>
    <row r="1155" ht="15" customHeight="1" spans="1:9" x14ac:dyDescent="0.25">
      <c r="A1155" s="135"/>
      <c r="B1155" s="136"/>
      <c r="C1155" s="137"/>
      <c r="D1155" s="138"/>
      <c r="E1155" s="138"/>
      <c r="F1155" s="138"/>
      <c r="G1155" s="139"/>
      <c r="I1155" s="140"/>
    </row>
    <row r="1156" ht="15" customHeight="1" spans="1:9" x14ac:dyDescent="0.25">
      <c r="A1156" s="135"/>
      <c r="B1156" s="136"/>
      <c r="C1156" s="137"/>
      <c r="D1156" s="138"/>
      <c r="E1156" s="138"/>
      <c r="F1156" s="138"/>
      <c r="G1156" s="139"/>
      <c r="I1156" s="140"/>
    </row>
    <row r="1157" ht="15" customHeight="1" spans="1:9" x14ac:dyDescent="0.25">
      <c r="A1157" s="135"/>
      <c r="B1157" s="136"/>
      <c r="C1157" s="137"/>
      <c r="D1157" s="138"/>
      <c r="E1157" s="138"/>
      <c r="F1157" s="138"/>
      <c r="G1157" s="139"/>
      <c r="I1157" s="140"/>
    </row>
    <row r="1158" ht="15" customHeight="1" spans="1:9" x14ac:dyDescent="0.25">
      <c r="A1158" s="135"/>
      <c r="B1158" s="136"/>
      <c r="C1158" s="137"/>
      <c r="D1158" s="138"/>
      <c r="E1158" s="138"/>
      <c r="F1158" s="138"/>
      <c r="G1158" s="139"/>
      <c r="I1158" s="140"/>
    </row>
    <row r="1159" ht="15" customHeight="1" spans="1:9" x14ac:dyDescent="0.25">
      <c r="A1159" s="135"/>
      <c r="B1159" s="136"/>
      <c r="C1159" s="137"/>
      <c r="D1159" s="138"/>
      <c r="E1159" s="138"/>
      <c r="F1159" s="138"/>
      <c r="G1159" s="139"/>
      <c r="I1159" s="140"/>
    </row>
    <row r="1160" ht="15" customHeight="1" spans="1:9" x14ac:dyDescent="0.25">
      <c r="A1160" s="135"/>
      <c r="B1160" s="136"/>
      <c r="C1160" s="137"/>
      <c r="D1160" s="138"/>
      <c r="E1160" s="138"/>
      <c r="F1160" s="138"/>
      <c r="G1160" s="139"/>
      <c r="I1160" s="140"/>
    </row>
    <row r="1161" ht="15" customHeight="1" spans="1:9" x14ac:dyDescent="0.25">
      <c r="A1161" s="135"/>
      <c r="B1161" s="136"/>
      <c r="C1161" s="137"/>
      <c r="D1161" s="138"/>
      <c r="E1161" s="138"/>
      <c r="F1161" s="138"/>
      <c r="G1161" s="139"/>
      <c r="I1161" s="140"/>
    </row>
    <row r="1162" ht="15" customHeight="1" spans="1:9" x14ac:dyDescent="0.25">
      <c r="A1162" s="135"/>
      <c r="B1162" s="136"/>
      <c r="C1162" s="137"/>
      <c r="D1162" s="138"/>
      <c r="E1162" s="138"/>
      <c r="F1162" s="138"/>
      <c r="G1162" s="139"/>
      <c r="I1162" s="140"/>
    </row>
    <row r="1163" ht="15" customHeight="1" spans="1:9" x14ac:dyDescent="0.25">
      <c r="A1163" s="135"/>
      <c r="B1163" s="136"/>
      <c r="C1163" s="137"/>
      <c r="D1163" s="138"/>
      <c r="E1163" s="138"/>
      <c r="F1163" s="138"/>
      <c r="G1163" s="139"/>
      <c r="I1163" s="140"/>
    </row>
    <row r="1164" ht="15" customHeight="1" spans="1:9" x14ac:dyDescent="0.25">
      <c r="A1164" s="135"/>
      <c r="B1164" s="136"/>
      <c r="C1164" s="137"/>
      <c r="D1164" s="138"/>
      <c r="E1164" s="138"/>
      <c r="F1164" s="138"/>
      <c r="G1164" s="139"/>
      <c r="I1164" s="140"/>
    </row>
    <row r="1165" ht="15" customHeight="1" spans="1:9" x14ac:dyDescent="0.25">
      <c r="A1165" s="135"/>
      <c r="B1165" s="136"/>
      <c r="C1165" s="137"/>
      <c r="D1165" s="138"/>
      <c r="E1165" s="138"/>
      <c r="F1165" s="138"/>
      <c r="G1165" s="139"/>
      <c r="I1165" s="140"/>
    </row>
    <row r="1166" ht="15" customHeight="1" spans="1:9" x14ac:dyDescent="0.25">
      <c r="A1166" s="135"/>
      <c r="B1166" s="136"/>
      <c r="C1166" s="137"/>
      <c r="D1166" s="138"/>
      <c r="E1166" s="138"/>
      <c r="F1166" s="138"/>
      <c r="G1166" s="139"/>
      <c r="I1166" s="140"/>
    </row>
    <row r="1167" ht="15" customHeight="1" spans="1:9" x14ac:dyDescent="0.25">
      <c r="A1167" s="135"/>
      <c r="B1167" s="136"/>
      <c r="C1167" s="137"/>
      <c r="D1167" s="138"/>
      <c r="E1167" s="138"/>
      <c r="F1167" s="138"/>
      <c r="G1167" s="139"/>
      <c r="I1167" s="140"/>
    </row>
    <row r="1168" ht="15" customHeight="1" spans="1:9" x14ac:dyDescent="0.25">
      <c r="A1168" s="135"/>
      <c r="B1168" s="136"/>
      <c r="C1168" s="137"/>
      <c r="D1168" s="138"/>
      <c r="E1168" s="138"/>
      <c r="F1168" s="138"/>
      <c r="G1168" s="139"/>
      <c r="I1168" s="140"/>
    </row>
    <row r="1169" ht="15" customHeight="1" spans="1:9" x14ac:dyDescent="0.25">
      <c r="A1169" s="135"/>
      <c r="B1169" s="136"/>
      <c r="C1169" s="137"/>
      <c r="D1169" s="138"/>
      <c r="E1169" s="138"/>
      <c r="F1169" s="138"/>
      <c r="G1169" s="139"/>
      <c r="I1169" s="140"/>
    </row>
    <row r="1170" ht="15" customHeight="1" spans="1:9" x14ac:dyDescent="0.25">
      <c r="A1170" s="135"/>
      <c r="B1170" s="136"/>
      <c r="C1170" s="137"/>
      <c r="D1170" s="138"/>
      <c r="E1170" s="138"/>
      <c r="F1170" s="138"/>
      <c r="G1170" s="139"/>
      <c r="I1170" s="140"/>
    </row>
    <row r="1171" ht="15" customHeight="1" spans="1:9" x14ac:dyDescent="0.25">
      <c r="A1171" s="135"/>
      <c r="B1171" s="136"/>
      <c r="C1171" s="137"/>
      <c r="D1171" s="138"/>
      <c r="E1171" s="138"/>
      <c r="F1171" s="138"/>
      <c r="G1171" s="139"/>
      <c r="I1171" s="140"/>
    </row>
    <row r="1172" ht="15" customHeight="1" spans="1:9" x14ac:dyDescent="0.25">
      <c r="A1172" s="135"/>
      <c r="B1172" s="136"/>
      <c r="C1172" s="137"/>
      <c r="D1172" s="138"/>
      <c r="E1172" s="138"/>
      <c r="F1172" s="138"/>
      <c r="G1172" s="139"/>
      <c r="I1172" s="140"/>
    </row>
    <row r="1173" ht="15" customHeight="1" spans="1:9" x14ac:dyDescent="0.25">
      <c r="A1173" s="135"/>
      <c r="B1173" s="136"/>
      <c r="C1173" s="137"/>
      <c r="D1173" s="138"/>
      <c r="E1173" s="138"/>
      <c r="F1173" s="138"/>
      <c r="G1173" s="139"/>
      <c r="I1173" s="140"/>
    </row>
    <row r="1174" ht="15" customHeight="1" spans="1:9" x14ac:dyDescent="0.25">
      <c r="A1174" s="135"/>
      <c r="B1174" s="136"/>
      <c r="C1174" s="137"/>
      <c r="D1174" s="138"/>
      <c r="E1174" s="138"/>
      <c r="F1174" s="138"/>
      <c r="G1174" s="139"/>
      <c r="I1174" s="140"/>
    </row>
    <row r="1175" ht="15" customHeight="1" spans="1:9" x14ac:dyDescent="0.25">
      <c r="A1175" s="135"/>
      <c r="B1175" s="136"/>
      <c r="C1175" s="137"/>
      <c r="D1175" s="138"/>
      <c r="E1175" s="138"/>
      <c r="F1175" s="138"/>
      <c r="G1175" s="139"/>
      <c r="I1175" s="140"/>
    </row>
    <row r="1176" ht="15" customHeight="1" spans="1:9" x14ac:dyDescent="0.25">
      <c r="A1176" s="135"/>
      <c r="B1176" s="136"/>
      <c r="C1176" s="137"/>
      <c r="D1176" s="138"/>
      <c r="E1176" s="138"/>
      <c r="F1176" s="138"/>
      <c r="G1176" s="139"/>
      <c r="I1176" s="140"/>
    </row>
    <row r="1177" ht="15" customHeight="1" spans="1:9" x14ac:dyDescent="0.25">
      <c r="A1177" s="135"/>
      <c r="B1177" s="136"/>
      <c r="C1177" s="137"/>
      <c r="D1177" s="138"/>
      <c r="E1177" s="138"/>
      <c r="F1177" s="138"/>
      <c r="G1177" s="139"/>
      <c r="I1177" s="140"/>
    </row>
    <row r="1178" ht="15" customHeight="1" spans="1:9" x14ac:dyDescent="0.25">
      <c r="A1178" s="135"/>
      <c r="B1178" s="136"/>
      <c r="C1178" s="137"/>
      <c r="D1178" s="138"/>
      <c r="E1178" s="138"/>
      <c r="F1178" s="138"/>
      <c r="G1178" s="139"/>
      <c r="I1178" s="140"/>
    </row>
    <row r="1179" ht="15" customHeight="1" spans="1:9" x14ac:dyDescent="0.25">
      <c r="A1179" s="135"/>
      <c r="B1179" s="136"/>
      <c r="C1179" s="137"/>
      <c r="D1179" s="138"/>
      <c r="E1179" s="138"/>
      <c r="F1179" s="138"/>
      <c r="G1179" s="139"/>
      <c r="I1179" s="140"/>
    </row>
    <row r="1180" ht="15" customHeight="1" spans="1:9" x14ac:dyDescent="0.25">
      <c r="A1180" s="135"/>
      <c r="B1180" s="136"/>
      <c r="C1180" s="137"/>
      <c r="D1180" s="138"/>
      <c r="E1180" s="138"/>
      <c r="F1180" s="138"/>
      <c r="G1180" s="139"/>
      <c r="I1180" s="140"/>
    </row>
    <row r="1181" ht="15" customHeight="1" spans="1:9" x14ac:dyDescent="0.25">
      <c r="A1181" s="135"/>
      <c r="B1181" s="136"/>
      <c r="C1181" s="137"/>
      <c r="D1181" s="138"/>
      <c r="E1181" s="138"/>
      <c r="F1181" s="138"/>
      <c r="G1181" s="139"/>
      <c r="I1181" s="140"/>
    </row>
    <row r="1182" ht="15" customHeight="1" spans="1:9" x14ac:dyDescent="0.25">
      <c r="A1182" s="135"/>
      <c r="B1182" s="136"/>
      <c r="C1182" s="137"/>
      <c r="D1182" s="138"/>
      <c r="E1182" s="138"/>
      <c r="F1182" s="138"/>
      <c r="G1182" s="139"/>
      <c r="I1182" s="140"/>
    </row>
    <row r="1183" ht="15" customHeight="1" spans="1:9" x14ac:dyDescent="0.25">
      <c r="A1183" s="135"/>
      <c r="B1183" s="136"/>
      <c r="C1183" s="137"/>
      <c r="D1183" s="138"/>
      <c r="E1183" s="138"/>
      <c r="F1183" s="138"/>
      <c r="G1183" s="139"/>
      <c r="I1183" s="140"/>
    </row>
    <row r="1184" ht="15" customHeight="1" spans="1:9" x14ac:dyDescent="0.25">
      <c r="A1184" s="135"/>
      <c r="B1184" s="136"/>
      <c r="C1184" s="137"/>
      <c r="D1184" s="138"/>
      <c r="E1184" s="138"/>
      <c r="F1184" s="138"/>
      <c r="G1184" s="139"/>
      <c r="I1184" s="140"/>
    </row>
    <row r="1185" ht="15" customHeight="1" spans="1:9" x14ac:dyDescent="0.25">
      <c r="A1185" s="135"/>
      <c r="B1185" s="136"/>
      <c r="C1185" s="137"/>
      <c r="D1185" s="138"/>
      <c r="E1185" s="138"/>
      <c r="F1185" s="138"/>
      <c r="G1185" s="139"/>
      <c r="I1185" s="140"/>
    </row>
    <row r="1186" ht="15" customHeight="1" spans="1:9" x14ac:dyDescent="0.25">
      <c r="A1186" s="135"/>
      <c r="B1186" s="136"/>
      <c r="C1186" s="137"/>
      <c r="D1186" s="138"/>
      <c r="E1186" s="138"/>
      <c r="F1186" s="138"/>
      <c r="G1186" s="139"/>
      <c r="I1186" s="140"/>
    </row>
    <row r="1187" ht="15" customHeight="1" spans="1:9" x14ac:dyDescent="0.25">
      <c r="A1187" s="135"/>
      <c r="B1187" s="136"/>
      <c r="C1187" s="137"/>
      <c r="D1187" s="138"/>
      <c r="E1187" s="138"/>
      <c r="F1187" s="138"/>
      <c r="G1187" s="139"/>
      <c r="I1187" s="140"/>
    </row>
    <row r="1188" ht="15" customHeight="1" spans="1:9" x14ac:dyDescent="0.25">
      <c r="A1188" s="135"/>
      <c r="B1188" s="136"/>
      <c r="C1188" s="137"/>
      <c r="D1188" s="138"/>
      <c r="E1188" s="138"/>
      <c r="F1188" s="138"/>
      <c r="G1188" s="139"/>
      <c r="I1188" s="140"/>
    </row>
    <row r="1189" ht="15" customHeight="1" spans="1:9" x14ac:dyDescent="0.25">
      <c r="A1189" s="135"/>
      <c r="B1189" s="136"/>
      <c r="C1189" s="137"/>
      <c r="D1189" s="138"/>
      <c r="E1189" s="138"/>
      <c r="F1189" s="138"/>
      <c r="G1189" s="139"/>
      <c r="I1189" s="140"/>
    </row>
    <row r="1190" ht="15" customHeight="1" spans="1:9" x14ac:dyDescent="0.25">
      <c r="A1190" s="135"/>
      <c r="B1190" s="136"/>
      <c r="C1190" s="137"/>
      <c r="D1190" s="138"/>
      <c r="E1190" s="138"/>
      <c r="F1190" s="138"/>
      <c r="G1190" s="139"/>
      <c r="I1190" s="140"/>
    </row>
    <row r="1191" ht="15" customHeight="1" spans="1:9" x14ac:dyDescent="0.25">
      <c r="A1191" s="135"/>
      <c r="B1191" s="136"/>
      <c r="C1191" s="137"/>
      <c r="D1191" s="138"/>
      <c r="E1191" s="138"/>
      <c r="F1191" s="138"/>
      <c r="G1191" s="139"/>
      <c r="I1191" s="140"/>
    </row>
    <row r="1192" ht="15" customHeight="1" spans="1:9" x14ac:dyDescent="0.25">
      <c r="A1192" s="135"/>
      <c r="B1192" s="136"/>
      <c r="C1192" s="137"/>
      <c r="D1192" s="138"/>
      <c r="E1192" s="138"/>
      <c r="F1192" s="138"/>
      <c r="G1192" s="139"/>
      <c r="I1192" s="140"/>
    </row>
    <row r="1193" ht="15" customHeight="1" spans="1:9" x14ac:dyDescent="0.25">
      <c r="A1193" s="135"/>
      <c r="B1193" s="136"/>
      <c r="C1193" s="137"/>
      <c r="D1193" s="138"/>
      <c r="E1193" s="138"/>
      <c r="F1193" s="138"/>
      <c r="G1193" s="139"/>
      <c r="I1193" s="140"/>
    </row>
    <row r="1194" ht="15" customHeight="1" spans="1:9" x14ac:dyDescent="0.25">
      <c r="A1194" s="135"/>
      <c r="B1194" s="136"/>
      <c r="C1194" s="137"/>
      <c r="D1194" s="138"/>
      <c r="E1194" s="138"/>
      <c r="F1194" s="138"/>
      <c r="G1194" s="139"/>
      <c r="I1194" s="140"/>
    </row>
    <row r="1195" ht="15" customHeight="1" spans="1:9" x14ac:dyDescent="0.25">
      <c r="A1195" s="135"/>
      <c r="B1195" s="136"/>
      <c r="C1195" s="137"/>
      <c r="D1195" s="138"/>
      <c r="E1195" s="138"/>
      <c r="F1195" s="138"/>
      <c r="G1195" s="139"/>
      <c r="I1195" s="140"/>
    </row>
    <row r="1196" ht="15" customHeight="1" spans="1:9" x14ac:dyDescent="0.25">
      <c r="A1196" s="135"/>
      <c r="B1196" s="136"/>
      <c r="C1196" s="137"/>
      <c r="D1196" s="138"/>
      <c r="E1196" s="138"/>
      <c r="F1196" s="138"/>
      <c r="G1196" s="139"/>
      <c r="I1196" s="140"/>
    </row>
    <row r="1197" ht="15" customHeight="1" spans="1:9" x14ac:dyDescent="0.25">
      <c r="A1197" s="135"/>
      <c r="B1197" s="136"/>
      <c r="C1197" s="137"/>
      <c r="D1197" s="138"/>
      <c r="E1197" s="138"/>
      <c r="F1197" s="138"/>
      <c r="G1197" s="139"/>
      <c r="I1197" s="140"/>
    </row>
    <row r="1198" ht="15" customHeight="1" spans="1:9" x14ac:dyDescent="0.25">
      <c r="A1198" s="135"/>
      <c r="B1198" s="136"/>
      <c r="C1198" s="137"/>
      <c r="D1198" s="138"/>
      <c r="E1198" s="138"/>
      <c r="F1198" s="138"/>
      <c r="G1198" s="139"/>
      <c r="I1198" s="140"/>
    </row>
    <row r="1199" ht="15" customHeight="1" spans="1:9" x14ac:dyDescent="0.25">
      <c r="A1199" s="135"/>
      <c r="B1199" s="136"/>
      <c r="C1199" s="137"/>
      <c r="D1199" s="138"/>
      <c r="E1199" s="138"/>
      <c r="F1199" s="138"/>
      <c r="G1199" s="139"/>
      <c r="I1199" s="140"/>
    </row>
    <row r="1200" ht="15" customHeight="1" spans="1:9" x14ac:dyDescent="0.25">
      <c r="A1200" s="135"/>
      <c r="B1200" s="136"/>
      <c r="C1200" s="137"/>
      <c r="D1200" s="138"/>
      <c r="E1200" s="138"/>
      <c r="F1200" s="138"/>
      <c r="G1200" s="139"/>
      <c r="I1200" s="140"/>
    </row>
    <row r="1201" ht="15" customHeight="1" spans="1:9" x14ac:dyDescent="0.25">
      <c r="A1201" s="135"/>
      <c r="B1201" s="136"/>
      <c r="C1201" s="137"/>
      <c r="D1201" s="138"/>
      <c r="E1201" s="138"/>
      <c r="F1201" s="138"/>
      <c r="G1201" s="139"/>
      <c r="I1201" s="140"/>
    </row>
    <row r="1202" ht="15" customHeight="1" spans="1:9" x14ac:dyDescent="0.25">
      <c r="A1202" s="135"/>
      <c r="B1202" s="136"/>
      <c r="C1202" s="137"/>
      <c r="D1202" s="138"/>
      <c r="E1202" s="138"/>
      <c r="F1202" s="138"/>
      <c r="G1202" s="139"/>
      <c r="I1202" s="140"/>
    </row>
    <row r="1203" ht="15" customHeight="1" spans="1:9" x14ac:dyDescent="0.25">
      <c r="A1203" s="135"/>
      <c r="B1203" s="136"/>
      <c r="C1203" s="137"/>
      <c r="D1203" s="138"/>
      <c r="E1203" s="138"/>
      <c r="F1203" s="138"/>
      <c r="G1203" s="139"/>
      <c r="I1203" s="140"/>
    </row>
    <row r="1204" ht="15" customHeight="1" spans="1:9" x14ac:dyDescent="0.25">
      <c r="A1204" s="135"/>
      <c r="B1204" s="136"/>
      <c r="C1204" s="137"/>
      <c r="D1204" s="138"/>
      <c r="E1204" s="138"/>
      <c r="F1204" s="138"/>
      <c r="G1204" s="139"/>
      <c r="I1204" s="140"/>
    </row>
    <row r="1205" ht="15" customHeight="1" spans="1:9" x14ac:dyDescent="0.25">
      <c r="A1205" s="135"/>
      <c r="B1205" s="136"/>
      <c r="C1205" s="137"/>
      <c r="D1205" s="138"/>
      <c r="E1205" s="138"/>
      <c r="F1205" s="138"/>
      <c r="G1205" s="139"/>
      <c r="I1205" s="140"/>
    </row>
    <row r="1206" ht="15" customHeight="1" spans="1:9" x14ac:dyDescent="0.25">
      <c r="A1206" s="135"/>
      <c r="B1206" s="136"/>
      <c r="C1206" s="137"/>
      <c r="D1206" s="138"/>
      <c r="E1206" s="138"/>
      <c r="F1206" s="138"/>
      <c r="G1206" s="139"/>
      <c r="I1206" s="140"/>
    </row>
    <row r="1207" ht="15" customHeight="1" spans="1:9" x14ac:dyDescent="0.25">
      <c r="A1207" s="135"/>
      <c r="B1207" s="136"/>
      <c r="C1207" s="137"/>
      <c r="D1207" s="138"/>
      <c r="E1207" s="138"/>
      <c r="F1207" s="138"/>
      <c r="G1207" s="139"/>
      <c r="I1207" s="140"/>
    </row>
    <row r="1208" ht="15" customHeight="1" spans="1:9" x14ac:dyDescent="0.25">
      <c r="A1208" s="135"/>
      <c r="B1208" s="136"/>
      <c r="C1208" s="137"/>
      <c r="D1208" s="138"/>
      <c r="E1208" s="138"/>
      <c r="F1208" s="138"/>
      <c r="G1208" s="139"/>
      <c r="I1208" s="140"/>
    </row>
    <row r="1209" ht="15" customHeight="1" spans="1:9" x14ac:dyDescent="0.25">
      <c r="A1209" s="135"/>
      <c r="B1209" s="136"/>
      <c r="C1209" s="137"/>
      <c r="D1209" s="138"/>
      <c r="E1209" s="138"/>
      <c r="F1209" s="138"/>
      <c r="G1209" s="139"/>
      <c r="I1209" s="140"/>
    </row>
  </sheetData>
  <autoFilter ref="A3:I716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65"/>
  <sheetViews>
    <sheetView workbookViewId="0" zoomScale="100" zoomScaleNormal="100">
      <selection activeCell="M155" sqref="M155"/>
    </sheetView>
  </sheetViews>
  <sheetFormatPr defaultRowHeight="16.5" outlineLevelRow="0" outlineLevelCol="0" x14ac:dyDescent="0" customHeight="1"/>
  <cols>
    <col min="1" max="1" width="11.5" customWidth="1"/>
    <col min="2" max="2" width="19.5" customWidth="1"/>
    <col min="4" max="4" width="11" customWidth="1"/>
    <col min="6" max="6" width="11.25" customWidth="1"/>
    <col min="7" max="7" width="14.625" customWidth="1"/>
    <col min="9" max="9" width="11.875" customWidth="1"/>
    <col min="10" max="10" width="19.5" customWidth="1"/>
    <col min="12" max="12" width="11" customWidth="1"/>
    <col min="14" max="14" width="10.875" customWidth="1"/>
    <col min="15" max="15" width="14.625" customWidth="1"/>
    <col min="16" max="16" width="13.5" style="89" customWidth="1"/>
    <col min="17" max="17" width="10" customWidth="1"/>
    <col min="18" max="18" width="14.625" customWidth="1"/>
    <col min="27" max="27" width="8.125" customWidth="1"/>
  </cols>
  <sheetData>
    <row r="1" ht="20.25" customHeight="1" spans="2:15" x14ac:dyDescent="0.25">
      <c r="B1" s="90" t="s">
        <v>41</v>
      </c>
      <c r="G1" t="s">
        <v>42</v>
      </c>
      <c r="J1" s="90" t="s">
        <v>43</v>
      </c>
      <c r="O1" t="s">
        <v>42</v>
      </c>
    </row>
    <row r="2" spans="6:15" x14ac:dyDescent="0.25">
      <c r="F2" s="89"/>
      <c r="G2" s="91">
        <f>G24+G33+G54+G67+G73+G86+G93++G105+G117+G134+G143+G149+G156</f>
        <v>20826000</v>
      </c>
      <c r="O2" s="91">
        <f>O24+O33+O54+O67+O73+O86+O93+O105+O117+O134+O143+O149+O156</f>
        <v>120238500</v>
      </c>
    </row>
    <row r="3" spans="6:15" x14ac:dyDescent="0.25">
      <c r="F3" s="89"/>
      <c r="G3" s="92">
        <f>G2/1.1</f>
        <v>18932727.27272727</v>
      </c>
      <c r="O3" s="92">
        <f>O2/1.1</f>
        <v>109307727.27272727</v>
      </c>
    </row>
    <row r="5" spans="2:10" x14ac:dyDescent="0.25">
      <c r="B5" s="93" t="s">
        <v>44</v>
      </c>
      <c r="J5" s="93" t="s">
        <v>44</v>
      </c>
    </row>
    <row r="6" spans="2:15" x14ac:dyDescent="0.25">
      <c r="B6" s="94" t="s">
        <v>45</v>
      </c>
      <c r="C6" s="94" t="s">
        <v>46</v>
      </c>
      <c r="D6" s="94" t="s">
        <v>47</v>
      </c>
      <c r="E6" s="94" t="s">
        <v>48</v>
      </c>
      <c r="F6" s="94" t="s">
        <v>49</v>
      </c>
      <c r="G6" s="94" t="s">
        <v>50</v>
      </c>
      <c r="J6" s="94" t="s">
        <v>45</v>
      </c>
      <c r="K6" s="94" t="s">
        <v>46</v>
      </c>
      <c r="L6" s="94" t="s">
        <v>47</v>
      </c>
      <c r="M6" s="94" t="s">
        <v>48</v>
      </c>
      <c r="N6" s="94" t="s">
        <v>49</v>
      </c>
      <c r="O6" s="94" t="s">
        <v>50</v>
      </c>
    </row>
    <row r="7" spans="2:15" x14ac:dyDescent="0.25">
      <c r="B7" s="94" t="s">
        <v>51</v>
      </c>
      <c r="C7" s="95">
        <v>6</v>
      </c>
      <c r="D7" s="95">
        <v>30</v>
      </c>
      <c r="E7" s="95">
        <f>C7*D7</f>
        <v>180</v>
      </c>
      <c r="F7" s="95">
        <v>2600</v>
      </c>
      <c r="G7" s="95">
        <f>E7*F7</f>
        <v>468000</v>
      </c>
      <c r="J7" s="94" t="s">
        <v>51</v>
      </c>
      <c r="K7" s="95">
        <v>5</v>
      </c>
      <c r="L7" s="95">
        <v>30</v>
      </c>
      <c r="M7" s="95">
        <f>K7*L7</f>
        <v>150</v>
      </c>
      <c r="N7" s="95">
        <v>2600</v>
      </c>
      <c r="O7" s="95">
        <f t="shared" ref="O7:O12" si="0">M7*N7</f>
        <v>390000</v>
      </c>
    </row>
    <row r="8" spans="2:15" x14ac:dyDescent="0.25">
      <c r="B8" s="94" t="s">
        <v>52</v>
      </c>
      <c r="C8" s="95"/>
      <c r="D8" s="95">
        <v>30</v>
      </c>
      <c r="E8" s="95">
        <f t="shared" ref="E8:E23" si="1">C8*D8</f>
        <v>0</v>
      </c>
      <c r="F8" s="95">
        <v>2700</v>
      </c>
      <c r="G8" s="95">
        <f t="shared" ref="G8:G18" si="2">E8*F8</f>
        <v>0</v>
      </c>
      <c r="J8" s="94" t="s">
        <v>52</v>
      </c>
      <c r="K8" s="95">
        <v>4</v>
      </c>
      <c r="L8" s="95">
        <v>30</v>
      </c>
      <c r="M8" s="95">
        <f t="shared" ref="M8:M18" si="3">K8*L8</f>
        <v>120</v>
      </c>
      <c r="N8" s="95">
        <v>2700</v>
      </c>
      <c r="O8" s="95">
        <f t="shared" si="0"/>
        <v>324000</v>
      </c>
    </row>
    <row r="9" spans="2:15" x14ac:dyDescent="0.25">
      <c r="B9" s="94" t="s">
        <v>53</v>
      </c>
      <c r="C9" s="95">
        <v>1</v>
      </c>
      <c r="D9" s="95">
        <v>30</v>
      </c>
      <c r="E9" s="95">
        <f t="shared" si="1"/>
        <v>30</v>
      </c>
      <c r="F9" s="95">
        <v>3100</v>
      </c>
      <c r="G9" s="95">
        <f t="shared" si="2"/>
        <v>93000</v>
      </c>
      <c r="J9" s="94" t="s">
        <v>53</v>
      </c>
      <c r="K9" s="95"/>
      <c r="L9" s="95">
        <v>30</v>
      </c>
      <c r="M9" s="95">
        <f t="shared" si="3"/>
        <v>0</v>
      </c>
      <c r="N9" s="95">
        <v>3100</v>
      </c>
      <c r="O9" s="95">
        <f t="shared" si="0"/>
        <v>0</v>
      </c>
    </row>
    <row r="10" spans="2:15" x14ac:dyDescent="0.25">
      <c r="B10" s="94" t="s">
        <v>54</v>
      </c>
      <c r="C10" s="95"/>
      <c r="D10" s="95">
        <v>30</v>
      </c>
      <c r="E10" s="95">
        <f t="shared" si="1"/>
        <v>0</v>
      </c>
      <c r="F10" s="95">
        <v>3100</v>
      </c>
      <c r="G10" s="95">
        <f t="shared" si="2"/>
        <v>0</v>
      </c>
      <c r="J10" s="94" t="s">
        <v>54</v>
      </c>
      <c r="K10" s="95">
        <v>3</v>
      </c>
      <c r="L10" s="95">
        <v>30</v>
      </c>
      <c r="M10" s="95">
        <f t="shared" si="3"/>
        <v>90</v>
      </c>
      <c r="N10" s="95">
        <v>3100</v>
      </c>
      <c r="O10" s="95">
        <f t="shared" si="0"/>
        <v>279000</v>
      </c>
    </row>
    <row r="11" spans="2:16" x14ac:dyDescent="0.25">
      <c r="B11" s="94" t="s">
        <v>55</v>
      </c>
      <c r="C11" s="95"/>
      <c r="D11" s="95">
        <v>30</v>
      </c>
      <c r="E11" s="95">
        <f t="shared" si="1"/>
        <v>0</v>
      </c>
      <c r="F11" s="95">
        <v>3200</v>
      </c>
      <c r="G11" s="95">
        <f t="shared" si="2"/>
        <v>0</v>
      </c>
      <c r="H11" t="s">
        <v>56</v>
      </c>
      <c r="J11" s="94" t="s">
        <v>55</v>
      </c>
      <c r="K11" s="95"/>
      <c r="L11" s="95">
        <v>30</v>
      </c>
      <c r="M11" s="95">
        <f t="shared" si="3"/>
        <v>0</v>
      </c>
      <c r="N11" s="95">
        <v>3300</v>
      </c>
      <c r="O11" s="95">
        <f t="shared" si="0"/>
        <v>0</v>
      </c>
      <c r="P11" s="89" t="s">
        <v>56</v>
      </c>
    </row>
    <row r="12" spans="2:16" x14ac:dyDescent="0.25">
      <c r="B12" s="94" t="s">
        <v>57</v>
      </c>
      <c r="C12" s="95">
        <v>8</v>
      </c>
      <c r="D12" s="95">
        <v>30</v>
      </c>
      <c r="E12" s="95">
        <f t="shared" si="1"/>
        <v>240</v>
      </c>
      <c r="F12" s="95">
        <v>3300</v>
      </c>
      <c r="G12" s="95">
        <f>E12*F12</f>
        <v>792000</v>
      </c>
      <c r="H12" t="s">
        <v>58</v>
      </c>
      <c r="J12" s="94" t="s">
        <v>57</v>
      </c>
      <c r="K12" s="95">
        <v>20</v>
      </c>
      <c r="L12" s="95">
        <v>30</v>
      </c>
      <c r="M12" s="95">
        <f t="shared" si="3"/>
        <v>600</v>
      </c>
      <c r="N12" s="95">
        <v>3300</v>
      </c>
      <c r="O12" s="95">
        <f t="shared" si="0"/>
        <v>1980000</v>
      </c>
      <c r="P12" s="89" t="s">
        <v>58</v>
      </c>
    </row>
    <row r="13" spans="2:15" x14ac:dyDescent="0.25">
      <c r="B13" s="94" t="s">
        <v>59</v>
      </c>
      <c r="C13" s="95"/>
      <c r="D13" s="95">
        <v>30</v>
      </c>
      <c r="E13" s="95">
        <f t="shared" si="1"/>
        <v>0</v>
      </c>
      <c r="F13" s="95">
        <v>3300</v>
      </c>
      <c r="G13" s="95">
        <f t="shared" si="2"/>
        <v>0</v>
      </c>
      <c r="J13" s="94" t="s">
        <v>59</v>
      </c>
      <c r="K13" s="95"/>
      <c r="L13" s="95">
        <v>30</v>
      </c>
      <c r="M13" s="95">
        <f t="shared" si="3"/>
        <v>0</v>
      </c>
      <c r="N13" s="95">
        <v>3300</v>
      </c>
      <c r="O13" s="95">
        <f t="shared" ref="O13:O20" si="4">M13*N13</f>
        <v>0</v>
      </c>
    </row>
    <row r="14" spans="2:15" x14ac:dyDescent="0.25">
      <c r="B14" s="94" t="s">
        <v>60</v>
      </c>
      <c r="C14" s="95">
        <v>1</v>
      </c>
      <c r="D14" s="95">
        <v>30</v>
      </c>
      <c r="E14" s="95">
        <f t="shared" si="1"/>
        <v>30</v>
      </c>
      <c r="F14" s="95">
        <v>3300</v>
      </c>
      <c r="G14" s="95">
        <f t="shared" si="2"/>
        <v>99000</v>
      </c>
      <c r="J14" s="94" t="s">
        <v>60</v>
      </c>
      <c r="K14" s="95">
        <v>8</v>
      </c>
      <c r="L14" s="95">
        <v>30</v>
      </c>
      <c r="M14" s="95">
        <f t="shared" si="3"/>
        <v>240</v>
      </c>
      <c r="N14" s="95">
        <v>3300</v>
      </c>
      <c r="O14" s="95">
        <f t="shared" si="4"/>
        <v>792000</v>
      </c>
    </row>
    <row r="15" spans="2:15" x14ac:dyDescent="0.25">
      <c r="B15" s="94" t="s">
        <v>61</v>
      </c>
      <c r="C15" s="95"/>
      <c r="D15" s="95">
        <v>30</v>
      </c>
      <c r="E15" s="95">
        <f t="shared" si="1"/>
        <v>0</v>
      </c>
      <c r="F15" s="95">
        <v>3300</v>
      </c>
      <c r="G15" s="95">
        <f t="shared" si="2"/>
        <v>0</v>
      </c>
      <c r="J15" s="94" t="s">
        <v>61</v>
      </c>
      <c r="K15" s="95">
        <v>1</v>
      </c>
      <c r="L15" s="95">
        <v>30</v>
      </c>
      <c r="M15" s="95">
        <f t="shared" si="3"/>
        <v>30</v>
      </c>
      <c r="N15" s="95">
        <v>3300</v>
      </c>
      <c r="O15" s="95">
        <f t="shared" si="4"/>
        <v>99000</v>
      </c>
    </row>
    <row r="16" spans="2:15" x14ac:dyDescent="0.25">
      <c r="B16" s="94" t="s">
        <v>62</v>
      </c>
      <c r="C16" s="95">
        <v>10</v>
      </c>
      <c r="D16" s="95">
        <v>30</v>
      </c>
      <c r="E16" s="95">
        <f t="shared" si="1"/>
        <v>300</v>
      </c>
      <c r="F16" s="95">
        <v>3300</v>
      </c>
      <c r="G16" s="95">
        <f t="shared" si="2"/>
        <v>990000</v>
      </c>
      <c r="J16" s="94" t="s">
        <v>62</v>
      </c>
      <c r="K16" s="95">
        <v>16</v>
      </c>
      <c r="L16" s="95">
        <v>30</v>
      </c>
      <c r="M16" s="95">
        <f t="shared" si="3"/>
        <v>480</v>
      </c>
      <c r="N16" s="95">
        <v>3300</v>
      </c>
      <c r="O16" s="95">
        <f t="shared" si="4"/>
        <v>1584000</v>
      </c>
    </row>
    <row r="17" spans="2:15" x14ac:dyDescent="0.25">
      <c r="B17" s="94" t="s">
        <v>63</v>
      </c>
      <c r="C17" s="95"/>
      <c r="D17" s="95">
        <v>30</v>
      </c>
      <c r="E17" s="95">
        <f t="shared" si="1"/>
        <v>0</v>
      </c>
      <c r="F17" s="95">
        <v>3300</v>
      </c>
      <c r="G17" s="95">
        <f t="shared" si="2"/>
        <v>0</v>
      </c>
      <c r="J17" s="94" t="s">
        <v>63</v>
      </c>
      <c r="K17" s="95"/>
      <c r="L17" s="95">
        <v>30</v>
      </c>
      <c r="M17" s="95">
        <f t="shared" si="3"/>
        <v>0</v>
      </c>
      <c r="N17" s="95">
        <v>3300</v>
      </c>
      <c r="O17" s="95">
        <f t="shared" si="4"/>
        <v>0</v>
      </c>
    </row>
    <row r="18" spans="2:15" x14ac:dyDescent="0.25">
      <c r="B18" s="94" t="s">
        <v>64</v>
      </c>
      <c r="C18" s="95"/>
      <c r="D18" s="95">
        <v>30</v>
      </c>
      <c r="E18" s="95">
        <f t="shared" si="1"/>
        <v>0</v>
      </c>
      <c r="F18" s="95">
        <v>3200</v>
      </c>
      <c r="G18" s="95">
        <f t="shared" si="2"/>
        <v>0</v>
      </c>
      <c r="J18" s="94" t="s">
        <v>64</v>
      </c>
      <c r="K18" s="95"/>
      <c r="L18" s="95">
        <v>30</v>
      </c>
      <c r="M18" s="95">
        <f t="shared" si="3"/>
        <v>0</v>
      </c>
      <c r="N18" s="95">
        <v>3200</v>
      </c>
      <c r="O18" s="95">
        <f t="shared" si="4"/>
        <v>0</v>
      </c>
    </row>
    <row r="19" spans="2:15" x14ac:dyDescent="0.25">
      <c r="B19" s="94" t="s">
        <v>65</v>
      </c>
      <c r="C19" s="95"/>
      <c r="D19" s="95"/>
      <c r="E19" s="95"/>
      <c r="F19" s="95"/>
      <c r="G19" s="95"/>
      <c r="J19" s="94" t="s">
        <v>65</v>
      </c>
      <c r="K19" s="95"/>
      <c r="L19" s="95"/>
      <c r="M19" s="95"/>
      <c r="N19" s="95"/>
      <c r="O19" s="95"/>
    </row>
    <row r="20" spans="2:15" x14ac:dyDescent="0.25">
      <c r="B20" s="94" t="s">
        <v>66</v>
      </c>
      <c r="C20" s="95"/>
      <c r="D20" s="95">
        <v>30</v>
      </c>
      <c r="E20" s="95">
        <f>C20*D20</f>
        <v>0</v>
      </c>
      <c r="F20" s="95">
        <v>3200</v>
      </c>
      <c r="G20" s="95">
        <f>E20*F20</f>
        <v>0</v>
      </c>
      <c r="H20" s="89">
        <f>SUM(E7:E23)</f>
        <v>870</v>
      </c>
      <c r="I20" s="96">
        <f>SUM(M7:M23)</f>
        <v>1770</v>
      </c>
      <c r="J20" s="94" t="s">
        <v>66</v>
      </c>
      <c r="K20" s="95"/>
      <c r="L20" s="95">
        <v>30</v>
      </c>
      <c r="M20" s="95">
        <f>K20*L20</f>
        <v>0</v>
      </c>
      <c r="N20" s="95">
        <v>3300</v>
      </c>
      <c r="O20" s="95">
        <f t="shared" si="4"/>
        <v>0</v>
      </c>
    </row>
    <row r="21" spans="2:15" x14ac:dyDescent="0.25">
      <c r="B21" s="94" t="s">
        <v>67</v>
      </c>
      <c r="C21" s="95"/>
      <c r="D21" s="95">
        <v>30</v>
      </c>
      <c r="E21" s="95">
        <f t="shared" si="1"/>
        <v>0</v>
      </c>
      <c r="F21" s="95">
        <v>2250</v>
      </c>
      <c r="G21" s="95">
        <f>E21*F21</f>
        <v>0</v>
      </c>
      <c r="H21" s="97">
        <v>20670</v>
      </c>
      <c r="I21" s="96">
        <v>21750</v>
      </c>
      <c r="J21" s="94" t="s">
        <v>67</v>
      </c>
      <c r="K21" s="95"/>
      <c r="L21" s="95">
        <v>30</v>
      </c>
      <c r="M21" s="95">
        <f>K21*L21</f>
        <v>0</v>
      </c>
      <c r="N21" s="95">
        <v>2250</v>
      </c>
      <c r="O21" s="95">
        <f>M21*N21</f>
        <v>0</v>
      </c>
    </row>
    <row r="22" spans="2:15" x14ac:dyDescent="0.25">
      <c r="B22" s="94" t="s">
        <v>68</v>
      </c>
      <c r="C22" s="95">
        <v>3</v>
      </c>
      <c r="D22" s="95">
        <v>30</v>
      </c>
      <c r="E22" s="95">
        <f t="shared" si="1"/>
        <v>90</v>
      </c>
      <c r="F22" s="95">
        <v>3200</v>
      </c>
      <c r="G22" s="95">
        <f>E22*F22</f>
        <v>288000</v>
      </c>
      <c r="H22" s="89">
        <f>SUM(H20:H21)</f>
        <v>21540</v>
      </c>
      <c r="I22" s="89">
        <f>SUM(I20:I21)</f>
        <v>23520</v>
      </c>
      <c r="J22" s="94" t="s">
        <v>68</v>
      </c>
      <c r="K22" s="95"/>
      <c r="L22" s="95">
        <v>30</v>
      </c>
      <c r="M22" s="95">
        <f>K22*L22</f>
        <v>0</v>
      </c>
      <c r="N22" s="95">
        <v>3200</v>
      </c>
      <c r="O22" s="95">
        <f>M22*N22</f>
        <v>0</v>
      </c>
    </row>
    <row r="23" spans="2:15" x14ac:dyDescent="0.25">
      <c r="B23" s="94" t="s">
        <v>69</v>
      </c>
      <c r="C23" s="95"/>
      <c r="D23" s="95">
        <v>30</v>
      </c>
      <c r="E23" s="95">
        <f t="shared" si="1"/>
        <v>0</v>
      </c>
      <c r="F23" s="95">
        <v>3300</v>
      </c>
      <c r="G23" s="95">
        <f>E23*F23</f>
        <v>0</v>
      </c>
      <c r="J23" s="94" t="s">
        <v>69</v>
      </c>
      <c r="K23" s="95">
        <v>2</v>
      </c>
      <c r="L23" s="95">
        <v>30</v>
      </c>
      <c r="M23" s="95">
        <f>K23*L23</f>
        <v>60</v>
      </c>
      <c r="N23" s="95">
        <v>3300</v>
      </c>
      <c r="O23" s="95">
        <f>M23*N23</f>
        <v>198000</v>
      </c>
    </row>
    <row r="24" spans="2:15" x14ac:dyDescent="0.25">
      <c r="B24" s="94" t="s">
        <v>50</v>
      </c>
      <c r="C24" s="95">
        <f>SUM(C7:C23)</f>
        <v>29</v>
      </c>
      <c r="D24" s="94"/>
      <c r="E24" s="94"/>
      <c r="F24" s="94"/>
      <c r="G24" s="98">
        <f>SUM(G7:G23)</f>
        <v>2730000</v>
      </c>
      <c r="H24" s="89">
        <f>H22-I22</f>
        <v>-1980</v>
      </c>
      <c r="J24" s="94" t="s">
        <v>50</v>
      </c>
      <c r="K24" s="95">
        <f>SUM(K7:K23)</f>
        <v>59</v>
      </c>
      <c r="L24" s="94"/>
      <c r="M24" s="94"/>
      <c r="N24" s="94"/>
      <c r="O24" s="98">
        <f>SUM(O7:O23)</f>
        <v>5646000</v>
      </c>
    </row>
    <row r="25" spans="7:15" x14ac:dyDescent="0.25">
      <c r="G25" s="92">
        <f>G24/1.1</f>
        <v>2481818.1818181816</v>
      </c>
      <c r="O25" s="92">
        <f>O24/1.1</f>
        <v>5132727.2727272725</v>
      </c>
    </row>
    <row r="28" spans="2:10" x14ac:dyDescent="0.25">
      <c r="B28" s="93" t="s">
        <v>70</v>
      </c>
      <c r="J28" s="93" t="s">
        <v>70</v>
      </c>
    </row>
    <row r="29" spans="2:15" x14ac:dyDescent="0.25">
      <c r="B29" s="94" t="s">
        <v>45</v>
      </c>
      <c r="C29" s="94" t="s">
        <v>46</v>
      </c>
      <c r="D29" s="94" t="s">
        <v>47</v>
      </c>
      <c r="E29" s="94" t="s">
        <v>71</v>
      </c>
      <c r="F29" s="94" t="s">
        <v>49</v>
      </c>
      <c r="G29" s="94" t="s">
        <v>50</v>
      </c>
      <c r="J29" s="94" t="s">
        <v>45</v>
      </c>
      <c r="K29" s="94" t="s">
        <v>46</v>
      </c>
      <c r="L29" s="94" t="s">
        <v>47</v>
      </c>
      <c r="M29" s="94" t="s">
        <v>71</v>
      </c>
      <c r="N29" s="94" t="s">
        <v>49</v>
      </c>
      <c r="O29" s="94" t="s">
        <v>50</v>
      </c>
    </row>
    <row r="30" spans="2:15" x14ac:dyDescent="0.25">
      <c r="B30" s="94" t="s">
        <v>70</v>
      </c>
      <c r="C30" s="95">
        <v>10</v>
      </c>
      <c r="D30" s="95">
        <v>15</v>
      </c>
      <c r="E30" s="95">
        <f>C30*D30</f>
        <v>150</v>
      </c>
      <c r="F30" s="95">
        <v>11000</v>
      </c>
      <c r="G30" s="95">
        <f>E30*F30</f>
        <v>1650000</v>
      </c>
      <c r="J30" s="94" t="s">
        <v>70</v>
      </c>
      <c r="K30" s="95">
        <v>65</v>
      </c>
      <c r="L30" s="95">
        <v>15</v>
      </c>
      <c r="M30" s="95">
        <f>K30*L30</f>
        <v>975</v>
      </c>
      <c r="N30" s="95">
        <v>110000</v>
      </c>
      <c r="O30" s="95">
        <f>M30*N30</f>
        <v>107250000</v>
      </c>
    </row>
    <row r="31" spans="2:15" x14ac:dyDescent="0.25">
      <c r="B31" s="94" t="s">
        <v>72</v>
      </c>
      <c r="C31" s="94"/>
      <c r="D31" s="94">
        <v>30</v>
      </c>
      <c r="E31" s="95">
        <f>C31*D31</f>
        <v>0</v>
      </c>
      <c r="F31" s="95">
        <v>7250</v>
      </c>
      <c r="G31" s="95">
        <f>E31*F31</f>
        <v>0</v>
      </c>
      <c r="H31" s="99">
        <f>SUM(E30:E32)</f>
        <v>150</v>
      </c>
      <c r="I31" s="99">
        <f>SUM(M30:M32)</f>
        <v>1005</v>
      </c>
      <c r="J31" s="94" t="s">
        <v>72</v>
      </c>
      <c r="K31" s="94">
        <v>1</v>
      </c>
      <c r="L31" s="94">
        <v>30</v>
      </c>
      <c r="M31" s="95">
        <f>K31*L31</f>
        <v>30</v>
      </c>
      <c r="N31" s="95">
        <v>7250</v>
      </c>
      <c r="O31" s="95">
        <f>M31*N31</f>
        <v>217500</v>
      </c>
    </row>
    <row r="32" spans="2:15" x14ac:dyDescent="0.25">
      <c r="B32" s="94" t="s">
        <v>73</v>
      </c>
      <c r="C32" s="94"/>
      <c r="D32" s="94">
        <v>30</v>
      </c>
      <c r="E32" s="95">
        <f>C32*D32</f>
        <v>0</v>
      </c>
      <c r="F32" s="95">
        <v>16500</v>
      </c>
      <c r="G32" s="95">
        <f>E32*F32</f>
        <v>0</v>
      </c>
      <c r="H32" s="97">
        <v>7440</v>
      </c>
      <c r="I32" s="99">
        <v>7365</v>
      </c>
      <c r="J32" s="94" t="s">
        <v>73</v>
      </c>
      <c r="K32" s="94"/>
      <c r="L32" s="94">
        <v>30</v>
      </c>
      <c r="M32" s="95">
        <f>K32*L32</f>
        <v>0</v>
      </c>
      <c r="N32" s="95">
        <v>16500</v>
      </c>
      <c r="O32" s="95">
        <f>M32*N32</f>
        <v>0</v>
      </c>
    </row>
    <row r="33" spans="2:15" x14ac:dyDescent="0.25">
      <c r="B33" s="94" t="s">
        <v>42</v>
      </c>
      <c r="C33" s="95">
        <f>SUM(C30:C32)</f>
        <v>10</v>
      </c>
      <c r="D33" s="94"/>
      <c r="E33" s="95"/>
      <c r="F33" s="95"/>
      <c r="G33" s="98">
        <f>SUM(G30:G32)</f>
        <v>1650000</v>
      </c>
      <c r="H33" s="89">
        <f>H31+H32</f>
        <v>7590</v>
      </c>
      <c r="I33" s="89">
        <f>I31+I32</f>
        <v>8370</v>
      </c>
      <c r="J33" s="94" t="s">
        <v>42</v>
      </c>
      <c r="K33" s="95">
        <f>SUM(K30:K32)</f>
        <v>66</v>
      </c>
      <c r="L33" s="94"/>
      <c r="M33" s="95"/>
      <c r="N33" s="95"/>
      <c r="O33" s="98">
        <f>SUM(O30:O32)</f>
        <v>107467500</v>
      </c>
    </row>
    <row r="34" spans="7:15" x14ac:dyDescent="0.25">
      <c r="G34" s="100">
        <f>G33/1.1</f>
        <v>1499999.9999999998</v>
      </c>
      <c r="H34" s="89"/>
      <c r="O34" s="100">
        <f>O33/1.1</f>
        <v>97697727.27272727</v>
      </c>
    </row>
    <row r="35" spans="7:15" x14ac:dyDescent="0.25">
      <c r="G35" s="100"/>
      <c r="H35" s="89">
        <f>H33-I33</f>
        <v>-780</v>
      </c>
      <c r="O35" s="100"/>
    </row>
    <row r="36" spans="7:15" x14ac:dyDescent="0.25">
      <c r="G36" s="100"/>
      <c r="H36" s="89"/>
      <c r="O36" s="100"/>
    </row>
    <row r="37" ht="18.75" customHeight="1" spans="2:15" x14ac:dyDescent="0.25">
      <c r="B37" s="93" t="s">
        <v>28</v>
      </c>
      <c r="J37" s="93" t="s">
        <v>28</v>
      </c>
      <c r="O37" s="37">
        <v>1068.23</v>
      </c>
    </row>
    <row r="38" spans="2:15" x14ac:dyDescent="0.25">
      <c r="B38" s="101" t="s">
        <v>45</v>
      </c>
      <c r="C38" s="102"/>
      <c r="D38" s="103"/>
      <c r="E38" s="94" t="s">
        <v>71</v>
      </c>
      <c r="F38" s="94" t="s">
        <v>49</v>
      </c>
      <c r="G38" s="94" t="s">
        <v>50</v>
      </c>
      <c r="J38" s="101" t="s">
        <v>45</v>
      </c>
      <c r="K38" s="102"/>
      <c r="L38" s="103"/>
      <c r="M38" s="94" t="s">
        <v>71</v>
      </c>
      <c r="N38" s="94" t="s">
        <v>49</v>
      </c>
      <c r="O38" s="94" t="s">
        <v>50</v>
      </c>
    </row>
    <row r="39" spans="2:18" x14ac:dyDescent="0.25">
      <c r="B39" s="104" t="s">
        <v>74</v>
      </c>
      <c r="C39" s="105"/>
      <c r="D39" s="106"/>
      <c r="E39" s="95">
        <v>50</v>
      </c>
      <c r="F39" s="95">
        <v>9200</v>
      </c>
      <c r="G39" s="95">
        <f>E39*F39</f>
        <v>460000</v>
      </c>
      <c r="J39" s="104" t="s">
        <v>74</v>
      </c>
      <c r="K39" s="105"/>
      <c r="L39" s="106"/>
      <c r="M39" s="95">
        <v>50</v>
      </c>
      <c r="N39" s="95">
        <v>9200</v>
      </c>
      <c r="O39" s="95">
        <f>M39*N39</f>
        <v>460000</v>
      </c>
      <c r="P39" s="107">
        <v>6.65</v>
      </c>
      <c r="Q39">
        <f>M39*P39</f>
        <v>332.5</v>
      </c>
      <c r="R39" s="92">
        <f>Q39*$O$37</f>
        <v>355186.47500000003</v>
      </c>
    </row>
    <row r="40" spans="2:18" x14ac:dyDescent="0.25">
      <c r="B40" s="104" t="s">
        <v>75</v>
      </c>
      <c r="C40" s="105"/>
      <c r="D40" s="106"/>
      <c r="E40" s="95">
        <v>141</v>
      </c>
      <c r="F40" s="95">
        <v>9700</v>
      </c>
      <c r="G40" s="95">
        <f t="shared" ref="G40:G51" si="5">E40*F40</f>
        <v>1367700</v>
      </c>
      <c r="H40" s="96"/>
      <c r="I40" s="108"/>
      <c r="J40" s="104" t="s">
        <v>75</v>
      </c>
      <c r="K40" s="105"/>
      <c r="L40" s="106"/>
      <c r="M40" s="95">
        <v>82</v>
      </c>
      <c r="N40" s="95">
        <v>9700</v>
      </c>
      <c r="O40" s="95">
        <f>M40*N40</f>
        <v>795400</v>
      </c>
      <c r="P40" s="107">
        <v>6.95</v>
      </c>
      <c r="Q40">
        <f t="shared" ref="Q40:Q51" si="6">M40*P40</f>
        <v>569.9</v>
      </c>
      <c r="R40" s="92">
        <f t="shared" ref="R40:R51" si="7">Q40*$O$37</f>
        <v>608784.277</v>
      </c>
    </row>
    <row r="41" spans="2:18" x14ac:dyDescent="0.25">
      <c r="B41" s="104" t="s">
        <v>76</v>
      </c>
      <c r="C41" s="105"/>
      <c r="D41" s="106"/>
      <c r="E41" s="95">
        <v>120</v>
      </c>
      <c r="F41" s="95">
        <v>4900</v>
      </c>
      <c r="G41" s="95">
        <f t="shared" si="5"/>
        <v>588000</v>
      </c>
      <c r="H41" s="96"/>
      <c r="I41" s="108"/>
      <c r="J41" s="104" t="s">
        <v>76</v>
      </c>
      <c r="K41" s="105"/>
      <c r="L41" s="106"/>
      <c r="M41" s="95">
        <v>120</v>
      </c>
      <c r="N41" s="95">
        <v>4900</v>
      </c>
      <c r="O41" s="95">
        <f>M41*N41</f>
        <v>588000</v>
      </c>
      <c r="P41" s="109">
        <v>3.5</v>
      </c>
      <c r="Q41">
        <f t="shared" si="6"/>
        <v>420</v>
      </c>
      <c r="R41" s="92">
        <f t="shared" si="7"/>
        <v>448656.60000000003</v>
      </c>
    </row>
    <row r="42" spans="2:18" x14ac:dyDescent="0.25">
      <c r="B42" s="104" t="s">
        <v>77</v>
      </c>
      <c r="C42" s="105"/>
      <c r="D42" s="106"/>
      <c r="E42" s="95">
        <v>80</v>
      </c>
      <c r="F42" s="95">
        <v>15500</v>
      </c>
      <c r="G42" s="95">
        <f t="shared" si="5"/>
        <v>1240000</v>
      </c>
      <c r="H42" s="96"/>
      <c r="I42" s="108"/>
      <c r="J42" s="104" t="s">
        <v>77</v>
      </c>
      <c r="K42" s="105"/>
      <c r="L42" s="106"/>
      <c r="M42" s="95">
        <v>30</v>
      </c>
      <c r="N42" s="95">
        <v>15500</v>
      </c>
      <c r="O42" s="95">
        <f>M42*N42</f>
        <v>465000</v>
      </c>
      <c r="P42" s="109">
        <v>11.25</v>
      </c>
      <c r="Q42">
        <f t="shared" si="6"/>
        <v>337.5</v>
      </c>
      <c r="R42" s="92">
        <f t="shared" si="7"/>
        <v>360527.625</v>
      </c>
    </row>
    <row r="43" spans="2:18" x14ac:dyDescent="0.25">
      <c r="B43" s="104" t="s">
        <v>78</v>
      </c>
      <c r="C43" s="105"/>
      <c r="D43" s="106"/>
      <c r="E43" s="95">
        <v>240</v>
      </c>
      <c r="F43" s="95">
        <v>18500</v>
      </c>
      <c r="G43" s="95">
        <f t="shared" si="5"/>
        <v>4440000</v>
      </c>
      <c r="H43" s="96"/>
      <c r="I43" s="89"/>
      <c r="J43" s="104" t="s">
        <v>78</v>
      </c>
      <c r="K43" s="105"/>
      <c r="L43" s="106"/>
      <c r="M43" s="95">
        <v>105</v>
      </c>
      <c r="N43" s="95">
        <v>18500</v>
      </c>
      <c r="O43" s="95">
        <f>M43*N43</f>
        <v>1942500</v>
      </c>
      <c r="P43" s="109">
        <v>14.5</v>
      </c>
      <c r="Q43">
        <f t="shared" si="6"/>
        <v>1522.5</v>
      </c>
      <c r="R43" s="92">
        <f t="shared" si="7"/>
        <v>1626380.175</v>
      </c>
    </row>
    <row r="44" spans="2:18" x14ac:dyDescent="0.25">
      <c r="B44" s="104" t="s">
        <v>79</v>
      </c>
      <c r="C44" s="105"/>
      <c r="D44" s="106"/>
      <c r="E44" s="95">
        <v>100</v>
      </c>
      <c r="F44" s="95">
        <v>4500</v>
      </c>
      <c r="G44" s="95">
        <f t="shared" si="5"/>
        <v>450000</v>
      </c>
      <c r="H44" s="110"/>
      <c r="J44" s="104" t="s">
        <v>79</v>
      </c>
      <c r="K44" s="105"/>
      <c r="L44" s="106"/>
      <c r="M44" s="95">
        <v>100</v>
      </c>
      <c r="N44" s="95">
        <v>4500</v>
      </c>
      <c r="O44" s="95">
        <f t="shared" ref="O44:O51" si="8">M44*N44</f>
        <v>450000</v>
      </c>
      <c r="P44" s="109">
        <v>4.05</v>
      </c>
      <c r="Q44">
        <f t="shared" si="6"/>
        <v>405</v>
      </c>
      <c r="R44" s="92">
        <f t="shared" si="7"/>
        <v>432633.15</v>
      </c>
    </row>
    <row r="45" spans="2:18" x14ac:dyDescent="0.25">
      <c r="B45" s="104" t="s">
        <v>80</v>
      </c>
      <c r="C45" s="105"/>
      <c r="D45" s="106"/>
      <c r="E45" s="95"/>
      <c r="F45" s="95">
        <v>6700</v>
      </c>
      <c r="G45" s="95">
        <f t="shared" si="5"/>
        <v>0</v>
      </c>
      <c r="H45" s="96"/>
      <c r="I45" s="89"/>
      <c r="J45" s="104" t="s">
        <v>80</v>
      </c>
      <c r="K45" s="105"/>
      <c r="L45" s="106"/>
      <c r="M45" s="95"/>
      <c r="N45" s="95">
        <v>6700</v>
      </c>
      <c r="O45" s="95">
        <f t="shared" si="8"/>
        <v>0</v>
      </c>
      <c r="P45" s="109">
        <v>4.8</v>
      </c>
      <c r="Q45">
        <f t="shared" si="6"/>
        <v>0</v>
      </c>
      <c r="R45" s="92">
        <f t="shared" si="7"/>
        <v>0</v>
      </c>
    </row>
    <row r="46" spans="2:18" x14ac:dyDescent="0.25">
      <c r="B46" s="104" t="s">
        <v>81</v>
      </c>
      <c r="C46" s="105"/>
      <c r="D46" s="106"/>
      <c r="E46" s="95"/>
      <c r="F46" s="95">
        <v>5500</v>
      </c>
      <c r="G46" s="95">
        <f t="shared" si="5"/>
        <v>0</v>
      </c>
      <c r="J46" s="104" t="s">
        <v>81</v>
      </c>
      <c r="K46" s="105"/>
      <c r="L46" s="106"/>
      <c r="M46" s="95"/>
      <c r="N46" s="95">
        <v>5500</v>
      </c>
      <c r="O46" s="95">
        <f t="shared" si="8"/>
        <v>0</v>
      </c>
      <c r="P46" s="109">
        <v>3.65</v>
      </c>
      <c r="Q46">
        <f t="shared" si="6"/>
        <v>0</v>
      </c>
      <c r="R46" s="92">
        <f t="shared" si="7"/>
        <v>0</v>
      </c>
    </row>
    <row r="47" spans="2:18" x14ac:dyDescent="0.25">
      <c r="B47" s="104" t="s">
        <v>82</v>
      </c>
      <c r="C47" s="105"/>
      <c r="D47" s="106"/>
      <c r="E47" s="95"/>
      <c r="F47" s="95">
        <v>5500</v>
      </c>
      <c r="G47" s="95">
        <f t="shared" si="5"/>
        <v>0</v>
      </c>
      <c r="J47" s="104" t="s">
        <v>82</v>
      </c>
      <c r="K47" s="105"/>
      <c r="L47" s="106"/>
      <c r="M47" s="95"/>
      <c r="N47" s="95">
        <v>5500</v>
      </c>
      <c r="O47" s="95">
        <f t="shared" si="8"/>
        <v>0</v>
      </c>
      <c r="P47" s="109"/>
      <c r="Q47">
        <f t="shared" si="6"/>
        <v>0</v>
      </c>
      <c r="R47" s="92">
        <f t="shared" si="7"/>
        <v>0</v>
      </c>
    </row>
    <row r="48" spans="2:18" x14ac:dyDescent="0.25">
      <c r="B48" s="104" t="s">
        <v>83</v>
      </c>
      <c r="C48" s="105"/>
      <c r="D48" s="106"/>
      <c r="E48" s="95"/>
      <c r="F48" s="95">
        <v>6600</v>
      </c>
      <c r="G48" s="95">
        <f t="shared" si="5"/>
        <v>0</v>
      </c>
      <c r="J48" s="104" t="s">
        <v>83</v>
      </c>
      <c r="K48" s="105"/>
      <c r="L48" s="106"/>
      <c r="M48" s="95"/>
      <c r="N48" s="95">
        <v>6600</v>
      </c>
      <c r="O48" s="95">
        <f t="shared" si="8"/>
        <v>0</v>
      </c>
      <c r="P48" s="109">
        <v>4.8</v>
      </c>
      <c r="Q48">
        <f t="shared" si="6"/>
        <v>0</v>
      </c>
      <c r="R48" s="92">
        <f t="shared" si="7"/>
        <v>0</v>
      </c>
    </row>
    <row r="49" spans="2:18" x14ac:dyDescent="0.25">
      <c r="B49" s="104" t="s">
        <v>84</v>
      </c>
      <c r="C49" s="105"/>
      <c r="D49" s="106"/>
      <c r="E49" s="95"/>
      <c r="F49" s="95">
        <v>13000</v>
      </c>
      <c r="G49" s="95">
        <f t="shared" si="5"/>
        <v>0</v>
      </c>
      <c r="H49" s="89">
        <f>SUM(E39:E52)</f>
        <v>821</v>
      </c>
      <c r="I49" s="89">
        <f>SUM(M39:M52)</f>
        <v>577</v>
      </c>
      <c r="J49" s="104" t="s">
        <v>84</v>
      </c>
      <c r="K49" s="105"/>
      <c r="L49" s="106"/>
      <c r="M49" s="95"/>
      <c r="N49" s="95">
        <v>13000</v>
      </c>
      <c r="O49" s="95">
        <f t="shared" si="8"/>
        <v>0</v>
      </c>
      <c r="P49" s="109">
        <v>8.5</v>
      </c>
      <c r="Q49">
        <f t="shared" si="6"/>
        <v>0</v>
      </c>
      <c r="R49" s="92">
        <f t="shared" si="7"/>
        <v>0</v>
      </c>
    </row>
    <row r="50" ht="17.25" customHeight="1" spans="2:18" x14ac:dyDescent="0.25">
      <c r="B50" s="104" t="s">
        <v>85</v>
      </c>
      <c r="C50" s="105"/>
      <c r="D50" s="106"/>
      <c r="E50" s="95">
        <v>30</v>
      </c>
      <c r="F50" s="95">
        <v>13000</v>
      </c>
      <c r="G50" s="95">
        <f t="shared" si="5"/>
        <v>390000</v>
      </c>
      <c r="I50" s="111">
        <v>804</v>
      </c>
      <c r="J50" s="104" t="s">
        <v>85</v>
      </c>
      <c r="K50" s="105"/>
      <c r="L50" s="106"/>
      <c r="M50" s="95">
        <v>30</v>
      </c>
      <c r="N50" s="95">
        <v>13000</v>
      </c>
      <c r="O50" s="95">
        <f t="shared" si="8"/>
        <v>390000</v>
      </c>
      <c r="P50" s="109">
        <v>8.5</v>
      </c>
      <c r="Q50">
        <f t="shared" si="6"/>
        <v>255</v>
      </c>
      <c r="R50" s="92">
        <f t="shared" si="7"/>
        <v>272398.65</v>
      </c>
    </row>
    <row r="51" spans="2:18" x14ac:dyDescent="0.25">
      <c r="B51" s="104" t="s">
        <v>86</v>
      </c>
      <c r="C51" s="105"/>
      <c r="D51" s="106"/>
      <c r="E51" s="95"/>
      <c r="F51" s="95">
        <v>8500</v>
      </c>
      <c r="G51" s="95">
        <f t="shared" si="5"/>
        <v>0</v>
      </c>
      <c r="H51" s="89">
        <f>SUM(H49:H50)</f>
        <v>821</v>
      </c>
      <c r="I51" s="89">
        <f>SUM(I49:I50)</f>
        <v>1381</v>
      </c>
      <c r="J51" s="104" t="s">
        <v>86</v>
      </c>
      <c r="K51" s="105"/>
      <c r="L51" s="106"/>
      <c r="M51" s="95"/>
      <c r="N51" s="95">
        <v>8500</v>
      </c>
      <c r="O51" s="95">
        <f t="shared" si="8"/>
        <v>0</v>
      </c>
      <c r="P51" s="109">
        <v>5.65</v>
      </c>
      <c r="Q51">
        <f t="shared" si="6"/>
        <v>0</v>
      </c>
      <c r="R51" s="92">
        <f t="shared" si="7"/>
        <v>0</v>
      </c>
    </row>
    <row r="52" spans="2:18" x14ac:dyDescent="0.25">
      <c r="B52" s="104" t="s">
        <v>87</v>
      </c>
      <c r="C52" s="105"/>
      <c r="D52" s="106"/>
      <c r="E52" s="95">
        <v>60</v>
      </c>
      <c r="F52" s="95"/>
      <c r="G52" s="95"/>
      <c r="J52" s="104" t="s">
        <v>87</v>
      </c>
      <c r="K52" s="105"/>
      <c r="L52" s="106"/>
      <c r="M52" s="95">
        <v>60</v>
      </c>
      <c r="N52" s="95"/>
      <c r="O52" s="95"/>
      <c r="P52" s="109">
        <v>9.5</v>
      </c>
      <c r="Q52">
        <f>M52*P52</f>
        <v>570</v>
      </c>
      <c r="R52" s="92">
        <f>Q52*$O$37</f>
        <v>608891.1</v>
      </c>
    </row>
    <row r="53" spans="2:18" x14ac:dyDescent="0.25">
      <c r="B53" s="104" t="s">
        <v>88</v>
      </c>
      <c r="C53" s="105"/>
      <c r="D53" s="106"/>
      <c r="E53" s="95">
        <v>60</v>
      </c>
      <c r="F53" s="95"/>
      <c r="G53" s="95"/>
      <c r="J53" s="104" t="s">
        <v>88</v>
      </c>
      <c r="K53" s="105"/>
      <c r="L53" s="106"/>
      <c r="M53" s="95">
        <v>60</v>
      </c>
      <c r="N53" s="95"/>
      <c r="O53" s="95"/>
      <c r="P53" s="109">
        <v>9.5</v>
      </c>
      <c r="Q53">
        <f>M53*P53</f>
        <v>570</v>
      </c>
      <c r="R53" s="92">
        <f>Q53*$O$37</f>
        <v>608891.1</v>
      </c>
    </row>
    <row r="54" spans="2:18" x14ac:dyDescent="0.25">
      <c r="B54" s="112" t="s">
        <v>50</v>
      </c>
      <c r="C54" s="112"/>
      <c r="D54" s="112"/>
      <c r="E54" s="112"/>
      <c r="F54" s="112"/>
      <c r="G54" s="98">
        <f>SUM(G39:G50)</f>
        <v>8935700</v>
      </c>
      <c r="H54" s="89">
        <f>H51-I51</f>
        <v>-560</v>
      </c>
      <c r="J54" s="112" t="s">
        <v>50</v>
      </c>
      <c r="K54" s="112"/>
      <c r="L54" s="112"/>
      <c r="M54" s="112"/>
      <c r="N54" s="112"/>
      <c r="O54" s="98">
        <f>SUM(O39:O50)</f>
        <v>5090900</v>
      </c>
      <c r="P54" s="89">
        <f>608410/2030</f>
        <v>299.70935960591135</v>
      </c>
      <c r="Q54" s="89">
        <f>P54*SUM(M39:M53)</f>
        <v>190914.86206896554</v>
      </c>
      <c r="R54" s="92">
        <f>SUM(R39:R53)</f>
        <v>5322349.152</v>
      </c>
    </row>
    <row r="55" spans="7:18" x14ac:dyDescent="0.25">
      <c r="G55" s="92">
        <f>G54/1.1</f>
        <v>8123363.636363636</v>
      </c>
      <c r="O55" s="92"/>
      <c r="R55" s="92"/>
    </row>
    <row r="56" spans="7:15" x14ac:dyDescent="0.25">
      <c r="G56" s="92"/>
      <c r="O56" s="92"/>
    </row>
    <row r="58" ht="18.75" customHeight="1" spans="2:10" x14ac:dyDescent="0.25">
      <c r="B58" s="93" t="s">
        <v>32</v>
      </c>
      <c r="J58" s="93" t="s">
        <v>32</v>
      </c>
    </row>
    <row r="59" spans="2:15" x14ac:dyDescent="0.25">
      <c r="B59" s="94" t="s">
        <v>45</v>
      </c>
      <c r="C59" s="94" t="s">
        <v>46</v>
      </c>
      <c r="D59" s="94" t="s">
        <v>47</v>
      </c>
      <c r="E59" s="94" t="s">
        <v>71</v>
      </c>
      <c r="F59" s="94" t="s">
        <v>49</v>
      </c>
      <c r="G59" s="94" t="s">
        <v>50</v>
      </c>
      <c r="J59" s="94" t="s">
        <v>45</v>
      </c>
      <c r="K59" s="94" t="s">
        <v>46</v>
      </c>
      <c r="L59" s="94" t="s">
        <v>47</v>
      </c>
      <c r="M59" s="94" t="s">
        <v>71</v>
      </c>
      <c r="N59" s="94" t="s">
        <v>49</v>
      </c>
      <c r="O59" s="94" t="s">
        <v>50</v>
      </c>
    </row>
    <row r="60" spans="2:16" x14ac:dyDescent="0.25">
      <c r="B60" s="94" t="s">
        <v>89</v>
      </c>
      <c r="C60" s="95"/>
      <c r="D60" s="95">
        <v>25</v>
      </c>
      <c r="E60" s="95">
        <f t="shared" ref="E60:E66" si="9">C60*D60</f>
        <v>0</v>
      </c>
      <c r="F60" s="95">
        <v>5500</v>
      </c>
      <c r="G60" s="95">
        <f t="shared" ref="G60:G66" si="10">E60*F60</f>
        <v>0</v>
      </c>
      <c r="J60" s="94" t="s">
        <v>89</v>
      </c>
      <c r="K60" s="95"/>
      <c r="L60" s="95">
        <v>25</v>
      </c>
      <c r="M60" s="95">
        <f t="shared" ref="M60:M66" si="11">K60*L60</f>
        <v>0</v>
      </c>
      <c r="N60" s="95">
        <v>5500</v>
      </c>
      <c r="O60" s="95">
        <f t="shared" ref="O60:O66" si="12">M60*N60</f>
        <v>0</v>
      </c>
      <c r="P60" s="89">
        <v>4134.99</v>
      </c>
    </row>
    <row r="61" spans="2:15" x14ac:dyDescent="0.25">
      <c r="B61" s="94" t="s">
        <v>90</v>
      </c>
      <c r="C61" s="95"/>
      <c r="D61" s="95">
        <v>20</v>
      </c>
      <c r="E61" s="95">
        <f t="shared" si="9"/>
        <v>0</v>
      </c>
      <c r="F61" s="95">
        <v>6000</v>
      </c>
      <c r="G61" s="95">
        <f t="shared" si="10"/>
        <v>0</v>
      </c>
      <c r="J61" s="94" t="s">
        <v>90</v>
      </c>
      <c r="K61" s="95"/>
      <c r="L61" s="95">
        <v>20</v>
      </c>
      <c r="M61" s="95">
        <f t="shared" si="11"/>
        <v>0</v>
      </c>
      <c r="N61" s="95">
        <v>6000</v>
      </c>
      <c r="O61" s="95">
        <f t="shared" si="12"/>
        <v>0</v>
      </c>
    </row>
    <row r="62" spans="2:15" x14ac:dyDescent="0.25">
      <c r="B62" s="94"/>
      <c r="C62" s="95"/>
      <c r="D62" s="95"/>
      <c r="E62" s="95">
        <f t="shared" si="9"/>
        <v>0</v>
      </c>
      <c r="F62" s="95">
        <v>5500</v>
      </c>
      <c r="G62" s="95">
        <f t="shared" si="10"/>
        <v>0</v>
      </c>
      <c r="J62" s="94"/>
      <c r="K62" s="95"/>
      <c r="L62" s="95"/>
      <c r="M62" s="95">
        <f t="shared" si="11"/>
        <v>0</v>
      </c>
      <c r="N62" s="95">
        <v>6000</v>
      </c>
      <c r="O62" s="95">
        <f t="shared" si="12"/>
        <v>0</v>
      </c>
    </row>
    <row r="63" spans="2:15" x14ac:dyDescent="0.25">
      <c r="B63" s="94"/>
      <c r="C63" s="95"/>
      <c r="D63" s="95"/>
      <c r="E63" s="95">
        <f t="shared" si="9"/>
        <v>0</v>
      </c>
      <c r="F63" s="95">
        <v>5500</v>
      </c>
      <c r="G63" s="95">
        <f t="shared" si="10"/>
        <v>0</v>
      </c>
      <c r="J63" s="94"/>
      <c r="K63" s="95"/>
      <c r="L63" s="95"/>
      <c r="M63" s="95">
        <f t="shared" si="11"/>
        <v>0</v>
      </c>
      <c r="N63" s="95">
        <v>5500</v>
      </c>
      <c r="O63" s="95">
        <f t="shared" si="12"/>
        <v>0</v>
      </c>
    </row>
    <row r="64" spans="2:15" x14ac:dyDescent="0.25">
      <c r="B64" s="94"/>
      <c r="C64" s="95"/>
      <c r="D64" s="95"/>
      <c r="E64" s="95">
        <f t="shared" si="9"/>
        <v>0</v>
      </c>
      <c r="F64" s="95">
        <v>5500</v>
      </c>
      <c r="G64" s="95">
        <f t="shared" si="10"/>
        <v>0</v>
      </c>
      <c r="J64" s="94"/>
      <c r="K64" s="95"/>
      <c r="L64" s="95"/>
      <c r="M64" s="95">
        <f t="shared" si="11"/>
        <v>0</v>
      </c>
      <c r="N64" s="95">
        <v>5500</v>
      </c>
      <c r="O64" s="95">
        <f t="shared" si="12"/>
        <v>0</v>
      </c>
    </row>
    <row r="65" spans="2:15" x14ac:dyDescent="0.25">
      <c r="B65" s="94"/>
      <c r="C65" s="95"/>
      <c r="D65" s="95"/>
      <c r="E65" s="95">
        <f t="shared" si="9"/>
        <v>0</v>
      </c>
      <c r="F65" s="95">
        <v>5500</v>
      </c>
      <c r="G65" s="95">
        <f t="shared" si="10"/>
        <v>0</v>
      </c>
      <c r="J65" s="94"/>
      <c r="K65" s="95"/>
      <c r="L65" s="95"/>
      <c r="M65" s="95">
        <f t="shared" si="11"/>
        <v>0</v>
      </c>
      <c r="N65" s="95">
        <v>5500</v>
      </c>
      <c r="O65" s="95">
        <f t="shared" si="12"/>
        <v>0</v>
      </c>
    </row>
    <row r="66" spans="2:15" x14ac:dyDescent="0.25">
      <c r="B66" s="94"/>
      <c r="C66" s="95"/>
      <c r="D66" s="95"/>
      <c r="E66" s="95">
        <f t="shared" si="9"/>
        <v>0</v>
      </c>
      <c r="F66" s="95">
        <v>5500</v>
      </c>
      <c r="G66" s="95">
        <f t="shared" si="10"/>
        <v>0</v>
      </c>
      <c r="J66" s="94"/>
      <c r="K66" s="95"/>
      <c r="L66" s="95"/>
      <c r="M66" s="95">
        <f t="shared" si="11"/>
        <v>0</v>
      </c>
      <c r="N66" s="95">
        <v>5500</v>
      </c>
      <c r="O66" s="95">
        <f t="shared" si="12"/>
        <v>0</v>
      </c>
    </row>
    <row r="67" spans="2:15" x14ac:dyDescent="0.25">
      <c r="B67" s="112" t="s">
        <v>50</v>
      </c>
      <c r="C67" s="112"/>
      <c r="D67" s="112"/>
      <c r="E67" s="112"/>
      <c r="F67" s="112"/>
      <c r="G67" s="98">
        <f>SUM(G60:G66)</f>
        <v>0</v>
      </c>
      <c r="J67" s="112" t="s">
        <v>50</v>
      </c>
      <c r="K67" s="112"/>
      <c r="L67" s="112"/>
      <c r="M67" s="112"/>
      <c r="N67" s="112"/>
      <c r="O67" s="98">
        <f>SUM(O60:O66)</f>
        <v>0</v>
      </c>
    </row>
    <row r="68" spans="7:15" x14ac:dyDescent="0.25">
      <c r="G68" s="100">
        <f>G67/1.1</f>
        <v>0</v>
      </c>
      <c r="O68" s="92">
        <f>O67/1.1</f>
        <v>0</v>
      </c>
    </row>
    <row r="69" spans="7:15" x14ac:dyDescent="0.25">
      <c r="G69" s="100"/>
      <c r="O69" s="92"/>
    </row>
    <row r="71" spans="2:10" x14ac:dyDescent="0.25">
      <c r="B71" s="93" t="s">
        <v>25</v>
      </c>
      <c r="J71" s="93" t="s">
        <v>25</v>
      </c>
    </row>
    <row r="72" spans="2:15" x14ac:dyDescent="0.25">
      <c r="B72" s="94" t="s">
        <v>91</v>
      </c>
      <c r="C72" s="95"/>
      <c r="D72" s="95">
        <v>25</v>
      </c>
      <c r="E72" s="95">
        <f>C72*D72</f>
        <v>0</v>
      </c>
      <c r="F72" s="95">
        <v>7900</v>
      </c>
      <c r="G72" s="95">
        <f>E72*F72</f>
        <v>0</v>
      </c>
      <c r="H72" s="99">
        <f>E72</f>
        <v>0</v>
      </c>
      <c r="I72" s="99">
        <f>M72</f>
        <v>100</v>
      </c>
      <c r="J72" s="94" t="s">
        <v>91</v>
      </c>
      <c r="K72" s="95">
        <v>4</v>
      </c>
      <c r="L72" s="95">
        <v>25</v>
      </c>
      <c r="M72" s="95">
        <f>K72*L72</f>
        <v>100</v>
      </c>
      <c r="N72" s="95">
        <v>7900</v>
      </c>
      <c r="O72" s="95">
        <f>M72*N72</f>
        <v>790000</v>
      </c>
    </row>
    <row r="73" spans="2:15" x14ac:dyDescent="0.25">
      <c r="B73" s="112" t="s">
        <v>50</v>
      </c>
      <c r="C73" s="112"/>
      <c r="D73" s="112"/>
      <c r="E73" s="112"/>
      <c r="F73" s="112"/>
      <c r="G73" s="98">
        <f>SUM(G72)</f>
        <v>0</v>
      </c>
      <c r="H73">
        <v>1625</v>
      </c>
      <c r="I73">
        <v>1500</v>
      </c>
      <c r="J73" s="112" t="s">
        <v>50</v>
      </c>
      <c r="K73" s="112"/>
      <c r="L73" s="112"/>
      <c r="M73" s="112"/>
      <c r="N73" s="112"/>
      <c r="O73" s="98">
        <f>SUM(O72)</f>
        <v>790000</v>
      </c>
    </row>
    <row r="74" spans="7:15" x14ac:dyDescent="0.25">
      <c r="G74" s="100">
        <f>G73/1.1</f>
        <v>0</v>
      </c>
      <c r="H74" s="89">
        <f>SUM(H72:H73)</f>
        <v>1625</v>
      </c>
      <c r="I74" s="89">
        <f>SUM(I72:I73)</f>
        <v>1600</v>
      </c>
      <c r="O74" s="100">
        <f>O73/1.1</f>
        <v>718181.8181818181</v>
      </c>
    </row>
    <row r="77" spans="2:10" x14ac:dyDescent="0.25">
      <c r="B77" s="93" t="s">
        <v>92</v>
      </c>
      <c r="J77" s="93" t="s">
        <v>92</v>
      </c>
    </row>
    <row r="78" spans="2:15" x14ac:dyDescent="0.25">
      <c r="B78" s="94" t="s">
        <v>45</v>
      </c>
      <c r="C78" s="94" t="s">
        <v>46</v>
      </c>
      <c r="D78" s="94" t="s">
        <v>47</v>
      </c>
      <c r="E78" s="94" t="s">
        <v>93</v>
      </c>
      <c r="F78" s="94" t="s">
        <v>49</v>
      </c>
      <c r="G78" s="94" t="s">
        <v>50</v>
      </c>
      <c r="J78" s="94" t="s">
        <v>45</v>
      </c>
      <c r="K78" s="94" t="s">
        <v>46</v>
      </c>
      <c r="L78" s="94" t="s">
        <v>47</v>
      </c>
      <c r="M78" s="94" t="s">
        <v>93</v>
      </c>
      <c r="N78" s="94" t="s">
        <v>49</v>
      </c>
      <c r="O78" s="94" t="s">
        <v>50</v>
      </c>
    </row>
    <row r="79" spans="2:15" x14ac:dyDescent="0.25">
      <c r="B79" s="94" t="s">
        <v>94</v>
      </c>
      <c r="C79" s="95"/>
      <c r="D79" s="95">
        <v>160</v>
      </c>
      <c r="E79" s="95">
        <f t="shared" ref="E79:E85" si="13">C79*D79</f>
        <v>0</v>
      </c>
      <c r="F79" s="95">
        <v>650</v>
      </c>
      <c r="G79" s="95">
        <f t="shared" ref="G79:G85" si="14">E79*F79</f>
        <v>0</v>
      </c>
      <c r="J79" s="94" t="s">
        <v>94</v>
      </c>
      <c r="K79" s="95"/>
      <c r="L79" s="95">
        <v>160</v>
      </c>
      <c r="M79" s="95">
        <f t="shared" ref="M79:M85" si="15">K79*L79</f>
        <v>0</v>
      </c>
      <c r="N79" s="95">
        <v>650</v>
      </c>
      <c r="O79" s="95">
        <f t="shared" ref="O79:O85" si="16">M79*N79</f>
        <v>0</v>
      </c>
    </row>
    <row r="80" spans="2:15" x14ac:dyDescent="0.25">
      <c r="B80" s="94" t="s">
        <v>95</v>
      </c>
      <c r="C80" s="95"/>
      <c r="D80" s="95">
        <v>160</v>
      </c>
      <c r="E80" s="95">
        <f t="shared" si="13"/>
        <v>0</v>
      </c>
      <c r="F80" s="95">
        <v>650</v>
      </c>
      <c r="G80" s="95">
        <f t="shared" si="14"/>
        <v>0</v>
      </c>
      <c r="J80" s="94" t="s">
        <v>95</v>
      </c>
      <c r="K80" s="95"/>
      <c r="L80" s="95">
        <v>160</v>
      </c>
      <c r="M80" s="95">
        <f t="shared" si="15"/>
        <v>0</v>
      </c>
      <c r="N80" s="95">
        <v>650</v>
      </c>
      <c r="O80" s="95">
        <f t="shared" si="16"/>
        <v>0</v>
      </c>
    </row>
    <row r="81" spans="2:15" x14ac:dyDescent="0.25">
      <c r="B81" s="94" t="s">
        <v>96</v>
      </c>
      <c r="C81" s="95"/>
      <c r="D81" s="95">
        <v>160</v>
      </c>
      <c r="E81" s="95">
        <f t="shared" si="13"/>
        <v>0</v>
      </c>
      <c r="F81" s="95">
        <v>650</v>
      </c>
      <c r="G81" s="95">
        <f t="shared" si="14"/>
        <v>0</v>
      </c>
      <c r="J81" s="94" t="s">
        <v>96</v>
      </c>
      <c r="K81" s="95"/>
      <c r="L81" s="95">
        <v>160</v>
      </c>
      <c r="M81" s="95">
        <f t="shared" si="15"/>
        <v>0</v>
      </c>
      <c r="N81" s="95">
        <v>650</v>
      </c>
      <c r="O81" s="95">
        <f t="shared" si="16"/>
        <v>0</v>
      </c>
    </row>
    <row r="82" spans="2:15" x14ac:dyDescent="0.25">
      <c r="B82" s="94" t="s">
        <v>97</v>
      </c>
      <c r="C82" s="95"/>
      <c r="D82" s="95">
        <v>160</v>
      </c>
      <c r="E82" s="95">
        <f t="shared" si="13"/>
        <v>0</v>
      </c>
      <c r="F82" s="95">
        <v>650</v>
      </c>
      <c r="G82" s="95">
        <f t="shared" si="14"/>
        <v>0</v>
      </c>
      <c r="J82" s="94" t="s">
        <v>97</v>
      </c>
      <c r="K82" s="95"/>
      <c r="L82" s="95">
        <v>160</v>
      </c>
      <c r="M82" s="95">
        <f t="shared" si="15"/>
        <v>0</v>
      </c>
      <c r="N82" s="95">
        <v>650</v>
      </c>
      <c r="O82" s="95">
        <f t="shared" si="16"/>
        <v>0</v>
      </c>
    </row>
    <row r="83" spans="2:15" x14ac:dyDescent="0.25">
      <c r="B83" s="94" t="s">
        <v>98</v>
      </c>
      <c r="C83" s="95"/>
      <c r="D83" s="95">
        <v>160</v>
      </c>
      <c r="E83" s="95">
        <f t="shared" si="13"/>
        <v>0</v>
      </c>
      <c r="F83" s="95">
        <v>650</v>
      </c>
      <c r="G83" s="95">
        <f t="shared" si="14"/>
        <v>0</v>
      </c>
      <c r="J83" s="94" t="s">
        <v>98</v>
      </c>
      <c r="K83" s="95"/>
      <c r="L83" s="95">
        <v>160</v>
      </c>
      <c r="M83" s="95">
        <v>110</v>
      </c>
      <c r="N83" s="95">
        <v>650</v>
      </c>
      <c r="O83" s="95">
        <f t="shared" si="16"/>
        <v>71500</v>
      </c>
    </row>
    <row r="84" spans="2:15" x14ac:dyDescent="0.25">
      <c r="B84" s="94" t="s">
        <v>99</v>
      </c>
      <c r="C84" s="95"/>
      <c r="D84" s="95">
        <v>160</v>
      </c>
      <c r="E84" s="95">
        <f t="shared" si="13"/>
        <v>0</v>
      </c>
      <c r="F84" s="95">
        <v>650</v>
      </c>
      <c r="G84" s="95">
        <f t="shared" si="14"/>
        <v>0</v>
      </c>
      <c r="J84" s="94" t="s">
        <v>62</v>
      </c>
      <c r="K84" s="95"/>
      <c r="L84" s="95">
        <v>160</v>
      </c>
      <c r="M84" s="95">
        <f t="shared" si="15"/>
        <v>0</v>
      </c>
      <c r="N84" s="95">
        <v>650</v>
      </c>
      <c r="O84" s="95">
        <f t="shared" si="16"/>
        <v>0</v>
      </c>
    </row>
    <row r="85" spans="2:15" x14ac:dyDescent="0.25">
      <c r="B85" s="94" t="s">
        <v>100</v>
      </c>
      <c r="C85" s="95"/>
      <c r="D85" s="95">
        <v>160</v>
      </c>
      <c r="E85" s="95">
        <f t="shared" si="13"/>
        <v>0</v>
      </c>
      <c r="F85" s="95">
        <v>650</v>
      </c>
      <c r="G85" s="95">
        <f t="shared" si="14"/>
        <v>0</v>
      </c>
      <c r="J85" s="94" t="s">
        <v>100</v>
      </c>
      <c r="K85" s="95"/>
      <c r="L85" s="95">
        <v>160</v>
      </c>
      <c r="M85" s="95">
        <f t="shared" si="15"/>
        <v>0</v>
      </c>
      <c r="N85" s="95">
        <v>650</v>
      </c>
      <c r="O85" s="95">
        <f t="shared" si="16"/>
        <v>0</v>
      </c>
    </row>
    <row r="86" spans="2:15" x14ac:dyDescent="0.25">
      <c r="B86" s="112" t="s">
        <v>50</v>
      </c>
      <c r="C86" s="112"/>
      <c r="D86" s="112"/>
      <c r="E86" s="112"/>
      <c r="F86" s="112"/>
      <c r="G86" s="98">
        <f>SUM(G79:G85)</f>
        <v>0</v>
      </c>
      <c r="J86" s="112" t="s">
        <v>50</v>
      </c>
      <c r="K86" s="112"/>
      <c r="L86" s="112"/>
      <c r="M86" s="112"/>
      <c r="N86" s="112"/>
      <c r="O86" s="98">
        <f>SUM(O79:O85)</f>
        <v>71500</v>
      </c>
    </row>
    <row r="87" spans="7:15" x14ac:dyDescent="0.25">
      <c r="G87" s="92">
        <f>G86/1.1</f>
        <v>0</v>
      </c>
      <c r="O87" s="92">
        <f>O86/1.1</f>
        <v>64999.99999999999</v>
      </c>
    </row>
    <row r="90" spans="2:10" x14ac:dyDescent="0.25">
      <c r="B90" s="93" t="s">
        <v>24</v>
      </c>
      <c r="J90" s="93" t="s">
        <v>24</v>
      </c>
    </row>
    <row r="91" spans="2:15" x14ac:dyDescent="0.25">
      <c r="B91" s="101" t="s">
        <v>101</v>
      </c>
      <c r="C91" s="102"/>
      <c r="D91" s="103"/>
      <c r="E91" s="94" t="s">
        <v>71</v>
      </c>
      <c r="F91" s="94" t="s">
        <v>49</v>
      </c>
      <c r="G91" s="94" t="s">
        <v>50</v>
      </c>
      <c r="J91" s="101" t="s">
        <v>101</v>
      </c>
      <c r="K91" s="102"/>
      <c r="L91" s="103"/>
      <c r="M91" s="94" t="s">
        <v>71</v>
      </c>
      <c r="N91" s="94" t="s">
        <v>49</v>
      </c>
      <c r="O91" s="94" t="s">
        <v>50</v>
      </c>
    </row>
    <row r="92" spans="2:15" x14ac:dyDescent="0.25">
      <c r="B92" s="104" t="s">
        <v>102</v>
      </c>
      <c r="C92" s="105"/>
      <c r="D92" s="106"/>
      <c r="E92" s="95">
        <v>205</v>
      </c>
      <c r="F92" s="95">
        <v>12500</v>
      </c>
      <c r="G92" s="95">
        <f t="shared" ref="G92" si="17">E92*F92</f>
        <v>2562500</v>
      </c>
      <c r="J92" s="104"/>
      <c r="K92" s="105"/>
      <c r="L92" s="106"/>
      <c r="M92" s="95">
        <v>170</v>
      </c>
      <c r="N92" s="95"/>
      <c r="O92" s="95">
        <f t="shared" ref="O92" si="18">M92*N92</f>
        <v>0</v>
      </c>
    </row>
    <row r="93" spans="2:15" x14ac:dyDescent="0.25">
      <c r="B93" s="101" t="s">
        <v>50</v>
      </c>
      <c r="C93" s="102"/>
      <c r="D93" s="102"/>
      <c r="E93" s="102"/>
      <c r="F93" s="103"/>
      <c r="G93" s="98">
        <f>SUM(G92:G92)</f>
        <v>2562500</v>
      </c>
      <c r="H93" s="89"/>
      <c r="J93" s="101" t="s">
        <v>50</v>
      </c>
      <c r="K93" s="102"/>
      <c r="L93" s="102"/>
      <c r="M93" s="102"/>
      <c r="N93" s="103"/>
      <c r="O93" s="98">
        <f>SUM(O92:O92)</f>
        <v>0</v>
      </c>
    </row>
    <row r="94" spans="7:15" x14ac:dyDescent="0.25">
      <c r="G94" s="92">
        <f>G93/1.1</f>
        <v>2329545.4545454546</v>
      </c>
      <c r="O94" s="92">
        <f>O93/1.1</f>
        <v>0</v>
      </c>
    </row>
    <row r="96" spans="2:10" x14ac:dyDescent="0.25">
      <c r="B96" s="93" t="s">
        <v>34</v>
      </c>
      <c r="J96" s="93" t="s">
        <v>34</v>
      </c>
    </row>
    <row r="97" spans="2:15" x14ac:dyDescent="0.25">
      <c r="B97" s="94" t="s">
        <v>45</v>
      </c>
      <c r="C97" s="94" t="s">
        <v>46</v>
      </c>
      <c r="D97" s="94" t="s">
        <v>47</v>
      </c>
      <c r="E97" s="94" t="s">
        <v>93</v>
      </c>
      <c r="F97" s="94" t="s">
        <v>49</v>
      </c>
      <c r="G97" s="94" t="s">
        <v>50</v>
      </c>
      <c r="J97" s="94" t="s">
        <v>45</v>
      </c>
      <c r="K97" s="94" t="s">
        <v>46</v>
      </c>
      <c r="L97" s="94" t="s">
        <v>47</v>
      </c>
      <c r="M97" s="94" t="s">
        <v>93</v>
      </c>
      <c r="N97" s="94" t="s">
        <v>49</v>
      </c>
      <c r="O97" s="94" t="s">
        <v>50</v>
      </c>
    </row>
    <row r="98" spans="2:15" x14ac:dyDescent="0.25">
      <c r="B98" s="94" t="s">
        <v>103</v>
      </c>
      <c r="C98" s="95"/>
      <c r="D98" s="95">
        <v>45</v>
      </c>
      <c r="E98" s="95">
        <f t="shared" ref="E98:E104" si="19">C98*D98</f>
        <v>0</v>
      </c>
      <c r="F98" s="95">
        <v>5600</v>
      </c>
      <c r="G98" s="95">
        <f t="shared" ref="G98:G104" si="20">E98*F98</f>
        <v>0</v>
      </c>
      <c r="J98" s="94" t="s">
        <v>103</v>
      </c>
      <c r="K98" s="95"/>
      <c r="L98" s="95">
        <v>45</v>
      </c>
      <c r="M98" s="95">
        <f t="shared" ref="M98:M104" si="21">K98*L98</f>
        <v>0</v>
      </c>
      <c r="N98" s="95">
        <v>5600</v>
      </c>
      <c r="O98" s="95">
        <f t="shared" ref="O98:O104" si="22">M98*N98</f>
        <v>0</v>
      </c>
    </row>
    <row r="99" spans="2:15" x14ac:dyDescent="0.25">
      <c r="B99" s="94" t="s">
        <v>104</v>
      </c>
      <c r="C99" s="95"/>
      <c r="D99" s="95">
        <v>55</v>
      </c>
      <c r="E99" s="95">
        <f t="shared" si="19"/>
        <v>0</v>
      </c>
      <c r="F99" s="95">
        <v>5200</v>
      </c>
      <c r="G99" s="95">
        <f t="shared" si="20"/>
        <v>0</v>
      </c>
      <c r="J99" s="94" t="s">
        <v>104</v>
      </c>
      <c r="K99" s="95"/>
      <c r="L99" s="95">
        <v>55</v>
      </c>
      <c r="M99" s="95">
        <f t="shared" si="21"/>
        <v>0</v>
      </c>
      <c r="N99" s="95">
        <v>5200</v>
      </c>
      <c r="O99" s="95">
        <f t="shared" si="22"/>
        <v>0</v>
      </c>
    </row>
    <row r="100" spans="2:15" x14ac:dyDescent="0.25">
      <c r="B100" s="94" t="s">
        <v>105</v>
      </c>
      <c r="C100" s="95"/>
      <c r="D100" s="95">
        <v>100</v>
      </c>
      <c r="E100" s="95">
        <f t="shared" si="19"/>
        <v>0</v>
      </c>
      <c r="F100" s="95">
        <v>2100</v>
      </c>
      <c r="G100" s="95">
        <f t="shared" si="20"/>
        <v>0</v>
      </c>
      <c r="J100" s="94" t="s">
        <v>105</v>
      </c>
      <c r="K100" s="95"/>
      <c r="L100" s="95">
        <v>100</v>
      </c>
      <c r="M100" s="95">
        <f t="shared" si="21"/>
        <v>0</v>
      </c>
      <c r="N100" s="95">
        <v>2100</v>
      </c>
      <c r="O100" s="95">
        <f t="shared" si="22"/>
        <v>0</v>
      </c>
    </row>
    <row r="101" spans="2:15" x14ac:dyDescent="0.25">
      <c r="B101" s="94" t="s">
        <v>106</v>
      </c>
      <c r="C101" s="95"/>
      <c r="D101" s="95">
        <v>12</v>
      </c>
      <c r="E101" s="95">
        <f t="shared" si="19"/>
        <v>0</v>
      </c>
      <c r="F101" s="95"/>
      <c r="G101" s="95">
        <f t="shared" si="20"/>
        <v>0</v>
      </c>
      <c r="J101" s="94" t="s">
        <v>106</v>
      </c>
      <c r="K101" s="95"/>
      <c r="L101" s="95">
        <v>12</v>
      </c>
      <c r="M101" s="95">
        <f t="shared" si="21"/>
        <v>0</v>
      </c>
      <c r="N101" s="95"/>
      <c r="O101" s="95">
        <f t="shared" si="22"/>
        <v>0</v>
      </c>
    </row>
    <row r="102" spans="2:15" x14ac:dyDescent="0.25">
      <c r="B102" s="94" t="s">
        <v>91</v>
      </c>
      <c r="C102" s="95"/>
      <c r="D102" s="95">
        <v>300</v>
      </c>
      <c r="E102" s="95">
        <f t="shared" si="19"/>
        <v>0</v>
      </c>
      <c r="F102" s="95"/>
      <c r="G102" s="95">
        <f t="shared" si="20"/>
        <v>0</v>
      </c>
      <c r="J102" s="94" t="s">
        <v>91</v>
      </c>
      <c r="K102" s="95"/>
      <c r="L102" s="95">
        <v>300</v>
      </c>
      <c r="M102" s="95">
        <f t="shared" si="21"/>
        <v>0</v>
      </c>
      <c r="N102" s="95"/>
      <c r="O102" s="95">
        <f t="shared" si="22"/>
        <v>0</v>
      </c>
    </row>
    <row r="103" spans="2:15" x14ac:dyDescent="0.25">
      <c r="B103" s="94"/>
      <c r="C103" s="95"/>
      <c r="D103" s="95"/>
      <c r="E103" s="95">
        <f t="shared" si="19"/>
        <v>0</v>
      </c>
      <c r="F103" s="95"/>
      <c r="G103" s="95">
        <f t="shared" si="20"/>
        <v>0</v>
      </c>
      <c r="J103" s="94"/>
      <c r="K103" s="95"/>
      <c r="L103" s="95"/>
      <c r="M103" s="95">
        <f t="shared" si="21"/>
        <v>0</v>
      </c>
      <c r="N103" s="95"/>
      <c r="O103" s="95">
        <f t="shared" si="22"/>
        <v>0</v>
      </c>
    </row>
    <row r="104" spans="2:15" x14ac:dyDescent="0.25">
      <c r="B104" s="94"/>
      <c r="C104" s="95"/>
      <c r="D104" s="95"/>
      <c r="E104" s="95">
        <f t="shared" si="19"/>
        <v>0</v>
      </c>
      <c r="F104" s="95"/>
      <c r="G104" s="95">
        <f t="shared" si="20"/>
        <v>0</v>
      </c>
      <c r="J104" s="94"/>
      <c r="K104" s="95"/>
      <c r="L104" s="95"/>
      <c r="M104" s="95">
        <f t="shared" si="21"/>
        <v>0</v>
      </c>
      <c r="N104" s="95"/>
      <c r="O104" s="95">
        <f t="shared" si="22"/>
        <v>0</v>
      </c>
    </row>
    <row r="105" spans="2:15" x14ac:dyDescent="0.25">
      <c r="B105" s="112" t="s">
        <v>50</v>
      </c>
      <c r="C105" s="112"/>
      <c r="D105" s="112"/>
      <c r="E105" s="112"/>
      <c r="F105" s="112"/>
      <c r="G105" s="98">
        <f>SUM(G98:G104)</f>
        <v>0</v>
      </c>
      <c r="J105" s="112" t="s">
        <v>50</v>
      </c>
      <c r="K105" s="112"/>
      <c r="L105" s="112"/>
      <c r="M105" s="112"/>
      <c r="N105" s="112"/>
      <c r="O105" s="98">
        <f>SUM(O98:O104)</f>
        <v>0</v>
      </c>
    </row>
    <row r="106" spans="7:15" x14ac:dyDescent="0.25">
      <c r="G106" s="92">
        <f>G105/1.1</f>
        <v>0</v>
      </c>
      <c r="O106" s="92">
        <f>O105/1.1</f>
        <v>0</v>
      </c>
    </row>
    <row r="108" spans="2:10" x14ac:dyDescent="0.25">
      <c r="B108" s="93" t="s">
        <v>36</v>
      </c>
      <c r="J108" s="93" t="s">
        <v>36</v>
      </c>
    </row>
    <row r="109" spans="2:15" x14ac:dyDescent="0.25">
      <c r="B109" s="101" t="s">
        <v>45</v>
      </c>
      <c r="C109" s="102"/>
      <c r="D109" s="103"/>
      <c r="E109" s="94" t="s">
        <v>71</v>
      </c>
      <c r="F109" s="94" t="s">
        <v>49</v>
      </c>
      <c r="G109" s="94" t="s">
        <v>50</v>
      </c>
      <c r="J109" s="101" t="s">
        <v>45</v>
      </c>
      <c r="K109" s="102"/>
      <c r="L109" s="103"/>
      <c r="M109" s="94" t="s">
        <v>71</v>
      </c>
      <c r="N109" s="94" t="s">
        <v>49</v>
      </c>
      <c r="O109" s="94" t="s">
        <v>50</v>
      </c>
    </row>
    <row r="110" spans="2:15" x14ac:dyDescent="0.25">
      <c r="B110" s="113" t="s">
        <v>107</v>
      </c>
      <c r="C110" s="114"/>
      <c r="D110" s="115"/>
      <c r="E110" s="95"/>
      <c r="F110" s="95">
        <v>14800</v>
      </c>
      <c r="G110" s="95">
        <f>E110*F110</f>
        <v>0</v>
      </c>
      <c r="J110" s="113" t="s">
        <v>107</v>
      </c>
      <c r="K110" s="114"/>
      <c r="L110" s="115"/>
      <c r="M110" s="95"/>
      <c r="N110" s="95">
        <v>14800</v>
      </c>
      <c r="O110" s="95">
        <f>M110*N110</f>
        <v>0</v>
      </c>
    </row>
    <row r="111" spans="2:16" x14ac:dyDescent="0.25">
      <c r="B111" s="113" t="s">
        <v>108</v>
      </c>
      <c r="C111" s="114"/>
      <c r="D111" s="115"/>
      <c r="E111" s="95"/>
      <c r="F111" s="95">
        <v>12800</v>
      </c>
      <c r="G111" s="95">
        <f t="shared" ref="G111:G116" si="23">E111*F111</f>
        <v>0</v>
      </c>
      <c r="H111" t="s">
        <v>109</v>
      </c>
      <c r="J111" s="113" t="s">
        <v>108</v>
      </c>
      <c r="K111" s="114"/>
      <c r="L111" s="115"/>
      <c r="M111" s="95"/>
      <c r="N111" s="95">
        <v>12800</v>
      </c>
      <c r="O111" s="95">
        <f t="shared" ref="O111:O116" si="24">M111*N111</f>
        <v>0</v>
      </c>
      <c r="P111" s="89" t="s">
        <v>109</v>
      </c>
    </row>
    <row r="112" spans="2:15" x14ac:dyDescent="0.25">
      <c r="B112" s="113" t="s">
        <v>110</v>
      </c>
      <c r="C112" s="114"/>
      <c r="D112" s="115"/>
      <c r="E112" s="95"/>
      <c r="F112" s="95">
        <v>13800</v>
      </c>
      <c r="G112" s="95">
        <f t="shared" si="23"/>
        <v>0</v>
      </c>
      <c r="J112" s="113" t="s">
        <v>110</v>
      </c>
      <c r="K112" s="114"/>
      <c r="L112" s="115"/>
      <c r="M112" s="95"/>
      <c r="N112" s="95">
        <v>13800</v>
      </c>
      <c r="O112" s="95">
        <f t="shared" si="24"/>
        <v>0</v>
      </c>
    </row>
    <row r="113" spans="2:15" x14ac:dyDescent="0.25">
      <c r="B113" s="113"/>
      <c r="C113" s="114"/>
      <c r="D113" s="115"/>
      <c r="E113" s="95"/>
      <c r="F113" s="95"/>
      <c r="G113" s="95">
        <f t="shared" si="23"/>
        <v>0</v>
      </c>
      <c r="J113" s="113"/>
      <c r="K113" s="114"/>
      <c r="L113" s="115"/>
      <c r="M113" s="95"/>
      <c r="N113" s="95"/>
      <c r="O113" s="95">
        <f t="shared" si="24"/>
        <v>0</v>
      </c>
    </row>
    <row r="114" spans="2:15" x14ac:dyDescent="0.25">
      <c r="B114" s="113"/>
      <c r="C114" s="114"/>
      <c r="D114" s="115"/>
      <c r="E114" s="95"/>
      <c r="F114" s="95"/>
      <c r="G114" s="95">
        <f t="shared" si="23"/>
        <v>0</v>
      </c>
      <c r="J114" s="113"/>
      <c r="K114" s="114"/>
      <c r="L114" s="115"/>
      <c r="M114" s="95"/>
      <c r="N114" s="95"/>
      <c r="O114" s="95">
        <f t="shared" si="24"/>
        <v>0</v>
      </c>
    </row>
    <row r="115" spans="2:15" x14ac:dyDescent="0.25">
      <c r="B115" s="113"/>
      <c r="C115" s="114"/>
      <c r="D115" s="115"/>
      <c r="E115" s="95"/>
      <c r="F115" s="95"/>
      <c r="G115" s="95">
        <f t="shared" si="23"/>
        <v>0</v>
      </c>
      <c r="J115" s="113"/>
      <c r="K115" s="114"/>
      <c r="L115" s="115"/>
      <c r="M115" s="95"/>
      <c r="N115" s="95"/>
      <c r="O115" s="95">
        <f t="shared" si="24"/>
        <v>0</v>
      </c>
    </row>
    <row r="116" spans="2:15" x14ac:dyDescent="0.25">
      <c r="B116" s="113"/>
      <c r="C116" s="114"/>
      <c r="D116" s="115"/>
      <c r="E116" s="95"/>
      <c r="F116" s="95"/>
      <c r="G116" s="95">
        <f t="shared" si="23"/>
        <v>0</v>
      </c>
      <c r="J116" s="113"/>
      <c r="K116" s="114"/>
      <c r="L116" s="115"/>
      <c r="M116" s="95"/>
      <c r="N116" s="95"/>
      <c r="O116" s="95">
        <f t="shared" si="24"/>
        <v>0</v>
      </c>
    </row>
    <row r="117" spans="2:15" x14ac:dyDescent="0.25">
      <c r="B117" s="112" t="s">
        <v>50</v>
      </c>
      <c r="C117" s="112"/>
      <c r="D117" s="112"/>
      <c r="E117" s="112"/>
      <c r="F117" s="112"/>
      <c r="G117" s="98">
        <f>SUM(G110:G116)</f>
        <v>0</v>
      </c>
      <c r="J117" s="112" t="s">
        <v>50</v>
      </c>
      <c r="K117" s="112"/>
      <c r="L117" s="112"/>
      <c r="M117" s="112"/>
      <c r="N117" s="112"/>
      <c r="O117" s="98">
        <f>SUM(O110:O116)</f>
        <v>0</v>
      </c>
    </row>
    <row r="118" spans="7:15" x14ac:dyDescent="0.25">
      <c r="G118" s="92">
        <f>G117/1.1</f>
        <v>0</v>
      </c>
      <c r="O118" s="92">
        <f>O117/1.1</f>
        <v>0</v>
      </c>
    </row>
    <row r="121" spans="2:10" x14ac:dyDescent="0.25">
      <c r="B121" s="93" t="s">
        <v>111</v>
      </c>
      <c r="J121" s="93" t="s">
        <v>111</v>
      </c>
    </row>
    <row r="122" spans="2:15" x14ac:dyDescent="0.25">
      <c r="B122" s="101" t="s">
        <v>45</v>
      </c>
      <c r="C122" s="102"/>
      <c r="D122" s="103"/>
      <c r="E122" s="94" t="s">
        <v>71</v>
      </c>
      <c r="F122" s="94" t="s">
        <v>49</v>
      </c>
      <c r="G122" s="94" t="s">
        <v>50</v>
      </c>
      <c r="J122" s="101" t="s">
        <v>45</v>
      </c>
      <c r="K122" s="102"/>
      <c r="L122" s="103"/>
      <c r="M122" s="94" t="s">
        <v>71</v>
      </c>
      <c r="N122" s="94" t="s">
        <v>49</v>
      </c>
      <c r="O122" s="94" t="s">
        <v>50</v>
      </c>
    </row>
    <row r="123" spans="2:15" x14ac:dyDescent="0.25">
      <c r="B123" s="113" t="s">
        <v>112</v>
      </c>
      <c r="C123" s="114"/>
      <c r="D123" s="115"/>
      <c r="E123" s="95"/>
      <c r="F123" s="95">
        <v>12000</v>
      </c>
      <c r="G123" s="95">
        <f>E123*F123</f>
        <v>0</v>
      </c>
      <c r="J123" s="113" t="s">
        <v>112</v>
      </c>
      <c r="K123" s="114"/>
      <c r="L123" s="115"/>
      <c r="M123" s="95"/>
      <c r="N123" s="95">
        <v>12000</v>
      </c>
      <c r="O123" s="95">
        <f>M123*N123</f>
        <v>0</v>
      </c>
    </row>
    <row r="124" spans="2:15" x14ac:dyDescent="0.25">
      <c r="B124" s="113" t="s">
        <v>113</v>
      </c>
      <c r="C124" s="114"/>
      <c r="D124" s="115"/>
      <c r="E124" s="95"/>
      <c r="F124" s="95">
        <v>14000</v>
      </c>
      <c r="G124" s="95">
        <f t="shared" ref="G124:G133" si="25">E124*F124</f>
        <v>0</v>
      </c>
      <c r="J124" s="113" t="s">
        <v>113</v>
      </c>
      <c r="K124" s="114"/>
      <c r="L124" s="115"/>
      <c r="M124" s="95"/>
      <c r="N124" s="95">
        <v>14000</v>
      </c>
      <c r="O124" s="95">
        <f t="shared" ref="O124:O132" si="26">M124*N124</f>
        <v>0</v>
      </c>
    </row>
    <row r="125" spans="2:15" x14ac:dyDescent="0.25">
      <c r="B125" s="113" t="s">
        <v>114</v>
      </c>
      <c r="C125" s="114"/>
      <c r="D125" s="115"/>
      <c r="E125" s="95"/>
      <c r="F125" s="95">
        <v>10000</v>
      </c>
      <c r="G125" s="95">
        <f t="shared" si="25"/>
        <v>0</v>
      </c>
      <c r="J125" s="113" t="s">
        <v>114</v>
      </c>
      <c r="K125" s="114"/>
      <c r="L125" s="115"/>
      <c r="M125" s="95"/>
      <c r="N125" s="95">
        <v>10000</v>
      </c>
      <c r="O125" s="95">
        <f t="shared" si="26"/>
        <v>0</v>
      </c>
    </row>
    <row r="126" spans="2:15" x14ac:dyDescent="0.25">
      <c r="B126" s="113" t="s">
        <v>112</v>
      </c>
      <c r="C126" s="114"/>
      <c r="D126" s="115"/>
      <c r="E126" s="95"/>
      <c r="F126" s="95">
        <v>12000</v>
      </c>
      <c r="G126" s="95">
        <f t="shared" si="25"/>
        <v>0</v>
      </c>
      <c r="J126" s="113" t="s">
        <v>112</v>
      </c>
      <c r="K126" s="114"/>
      <c r="L126" s="115"/>
      <c r="M126" s="95"/>
      <c r="N126" s="95">
        <v>12000</v>
      </c>
      <c r="O126" s="95">
        <f t="shared" si="26"/>
        <v>0</v>
      </c>
    </row>
    <row r="127" spans="2:15" x14ac:dyDescent="0.25">
      <c r="B127" s="113" t="s">
        <v>115</v>
      </c>
      <c r="C127" s="114"/>
      <c r="D127" s="115"/>
      <c r="E127" s="95"/>
      <c r="F127" s="95">
        <v>12000</v>
      </c>
      <c r="G127" s="95">
        <f t="shared" si="25"/>
        <v>0</v>
      </c>
      <c r="J127" s="113" t="s">
        <v>115</v>
      </c>
      <c r="K127" s="114"/>
      <c r="L127" s="115"/>
      <c r="M127" s="95"/>
      <c r="N127" s="95">
        <v>12000</v>
      </c>
      <c r="O127" s="95">
        <f t="shared" si="26"/>
        <v>0</v>
      </c>
    </row>
    <row r="128" spans="2:15" x14ac:dyDescent="0.25">
      <c r="B128" s="113" t="s">
        <v>116</v>
      </c>
      <c r="C128" s="114"/>
      <c r="D128" s="115"/>
      <c r="E128" s="95"/>
      <c r="F128" s="95">
        <v>7000</v>
      </c>
      <c r="G128" s="95">
        <f t="shared" si="25"/>
        <v>0</v>
      </c>
      <c r="J128" s="113" t="s">
        <v>116</v>
      </c>
      <c r="K128" s="114"/>
      <c r="L128" s="115"/>
      <c r="M128" s="95"/>
      <c r="N128" s="95">
        <v>7000</v>
      </c>
      <c r="O128" s="95">
        <f t="shared" si="26"/>
        <v>0</v>
      </c>
    </row>
    <row r="129" spans="2:15" x14ac:dyDescent="0.25">
      <c r="B129" s="113" t="s">
        <v>117</v>
      </c>
      <c r="C129" s="114"/>
      <c r="D129" s="115"/>
      <c r="E129" s="95"/>
      <c r="F129" s="95"/>
      <c r="G129" s="95">
        <f t="shared" si="25"/>
        <v>0</v>
      </c>
      <c r="J129" s="113" t="s">
        <v>117</v>
      </c>
      <c r="K129" s="114"/>
      <c r="L129" s="115"/>
      <c r="M129" s="95"/>
      <c r="N129" s="95"/>
      <c r="O129" s="95">
        <f t="shared" si="26"/>
        <v>0</v>
      </c>
    </row>
    <row r="130" spans="2:15" x14ac:dyDescent="0.25">
      <c r="B130" s="113" t="s">
        <v>118</v>
      </c>
      <c r="C130" s="114"/>
      <c r="D130" s="115"/>
      <c r="E130" s="95"/>
      <c r="F130" s="95"/>
      <c r="G130" s="95">
        <f t="shared" si="25"/>
        <v>0</v>
      </c>
      <c r="J130" s="113" t="s">
        <v>118</v>
      </c>
      <c r="K130" s="114"/>
      <c r="L130" s="115"/>
      <c r="M130" s="95"/>
      <c r="N130" s="95"/>
      <c r="O130" s="95">
        <f t="shared" si="26"/>
        <v>0</v>
      </c>
    </row>
    <row r="131" spans="2:15" x14ac:dyDescent="0.25">
      <c r="B131" s="113" t="s">
        <v>119</v>
      </c>
      <c r="C131" s="114"/>
      <c r="D131" s="115"/>
      <c r="E131" s="95"/>
      <c r="F131" s="95"/>
      <c r="G131" s="95">
        <f t="shared" si="25"/>
        <v>0</v>
      </c>
      <c r="J131" s="113" t="s">
        <v>119</v>
      </c>
      <c r="K131" s="114"/>
      <c r="L131" s="115"/>
      <c r="M131" s="95"/>
      <c r="N131" s="95"/>
      <c r="O131" s="95">
        <f t="shared" si="26"/>
        <v>0</v>
      </c>
    </row>
    <row r="132" spans="2:15" x14ac:dyDescent="0.25">
      <c r="B132" s="113" t="s">
        <v>120</v>
      </c>
      <c r="C132" s="114"/>
      <c r="D132" s="115"/>
      <c r="E132" s="95"/>
      <c r="F132" s="95"/>
      <c r="G132" s="95">
        <f t="shared" si="25"/>
        <v>0</v>
      </c>
      <c r="J132" s="113" t="s">
        <v>120</v>
      </c>
      <c r="K132" s="114"/>
      <c r="L132" s="115"/>
      <c r="M132" s="95"/>
      <c r="N132" s="95"/>
      <c r="O132" s="95">
        <f t="shared" si="26"/>
        <v>0</v>
      </c>
    </row>
    <row r="133" spans="2:15" x14ac:dyDescent="0.25">
      <c r="B133" s="113"/>
      <c r="C133" s="114"/>
      <c r="D133" s="115"/>
      <c r="E133" s="95"/>
      <c r="F133" s="95"/>
      <c r="G133" s="95">
        <f t="shared" si="25"/>
        <v>0</v>
      </c>
      <c r="J133" s="113"/>
      <c r="K133" s="114"/>
      <c r="L133" s="115"/>
      <c r="M133" s="95"/>
      <c r="N133" s="95"/>
      <c r="O133" s="95">
        <f>M133*N133</f>
        <v>0</v>
      </c>
    </row>
    <row r="134" spans="2:15" x14ac:dyDescent="0.25">
      <c r="B134" s="101" t="s">
        <v>50</v>
      </c>
      <c r="C134" s="102"/>
      <c r="D134" s="102"/>
      <c r="E134" s="102"/>
      <c r="F134" s="103"/>
      <c r="G134" s="98">
        <f>SUM(G123:G133)</f>
        <v>0</v>
      </c>
      <c r="J134" s="101" t="s">
        <v>50</v>
      </c>
      <c r="K134" s="102"/>
      <c r="L134" s="102"/>
      <c r="M134" s="102"/>
      <c r="N134" s="103"/>
      <c r="O134" s="98">
        <f>SUM(O123:O133)</f>
        <v>0</v>
      </c>
    </row>
    <row r="135" spans="7:15" x14ac:dyDescent="0.25">
      <c r="G135" s="92">
        <f>G134/1.1</f>
        <v>0</v>
      </c>
      <c r="O135" s="92">
        <f>O134/1.1</f>
        <v>0</v>
      </c>
    </row>
    <row r="137" spans="2:15" x14ac:dyDescent="0.25">
      <c r="B137" s="104" t="s">
        <v>121</v>
      </c>
      <c r="C137" s="105"/>
      <c r="D137" s="106"/>
      <c r="E137" s="95"/>
      <c r="F137" s="95">
        <v>10500</v>
      </c>
      <c r="G137" s="95">
        <f t="shared" ref="G137:G142" si="27">E137*F137</f>
        <v>0</v>
      </c>
      <c r="J137" s="104" t="s">
        <v>121</v>
      </c>
      <c r="K137" s="105"/>
      <c r="L137" s="106"/>
      <c r="M137" s="95"/>
      <c r="N137" s="95">
        <v>10500</v>
      </c>
      <c r="O137" s="95">
        <f t="shared" ref="O137:O142" si="28">M137*N137</f>
        <v>0</v>
      </c>
    </row>
    <row r="138" spans="2:15" x14ac:dyDescent="0.25">
      <c r="B138" s="104" t="s">
        <v>122</v>
      </c>
      <c r="C138" s="105"/>
      <c r="D138" s="106"/>
      <c r="E138" s="95"/>
      <c r="F138" s="95">
        <v>9500</v>
      </c>
      <c r="G138" s="95">
        <f t="shared" si="27"/>
        <v>0</v>
      </c>
      <c r="J138" s="104" t="s">
        <v>122</v>
      </c>
      <c r="K138" s="105"/>
      <c r="L138" s="106"/>
      <c r="M138" s="95"/>
      <c r="N138" s="95">
        <v>9500</v>
      </c>
      <c r="O138" s="95">
        <f t="shared" si="28"/>
        <v>0</v>
      </c>
    </row>
    <row r="139" spans="2:15" x14ac:dyDescent="0.25">
      <c r="B139" s="104" t="s">
        <v>123</v>
      </c>
      <c r="C139" s="105"/>
      <c r="D139" s="106"/>
      <c r="E139" s="95"/>
      <c r="F139" s="95">
        <v>11000</v>
      </c>
      <c r="G139" s="95">
        <f t="shared" si="27"/>
        <v>0</v>
      </c>
      <c r="J139" s="104" t="s">
        <v>123</v>
      </c>
      <c r="K139" s="105"/>
      <c r="L139" s="106"/>
      <c r="M139" s="95"/>
      <c r="N139" s="95">
        <v>11000</v>
      </c>
      <c r="O139" s="95">
        <f t="shared" si="28"/>
        <v>0</v>
      </c>
    </row>
    <row r="140" spans="2:15" x14ac:dyDescent="0.25">
      <c r="B140" s="104" t="s">
        <v>124</v>
      </c>
      <c r="C140" s="105"/>
      <c r="D140" s="106"/>
      <c r="E140" s="95"/>
      <c r="F140" s="95">
        <v>4800</v>
      </c>
      <c r="G140" s="95">
        <f t="shared" si="27"/>
        <v>0</v>
      </c>
      <c r="J140" s="104" t="s">
        <v>124</v>
      </c>
      <c r="K140" s="105"/>
      <c r="L140" s="106"/>
      <c r="M140" s="95"/>
      <c r="N140" s="95">
        <v>4800</v>
      </c>
      <c r="O140" s="95">
        <f t="shared" si="28"/>
        <v>0</v>
      </c>
    </row>
    <row r="141" spans="2:15" x14ac:dyDescent="0.25">
      <c r="B141" s="104" t="s">
        <v>125</v>
      </c>
      <c r="C141" s="105"/>
      <c r="D141" s="106"/>
      <c r="E141" s="95"/>
      <c r="F141" s="95">
        <v>19000</v>
      </c>
      <c r="G141" s="95">
        <f t="shared" si="27"/>
        <v>0</v>
      </c>
      <c r="J141" s="104" t="s">
        <v>125</v>
      </c>
      <c r="K141" s="105"/>
      <c r="L141" s="106"/>
      <c r="M141" s="95"/>
      <c r="N141" s="95">
        <v>19000</v>
      </c>
      <c r="O141" s="95">
        <f t="shared" si="28"/>
        <v>0</v>
      </c>
    </row>
    <row r="142" spans="2:15" x14ac:dyDescent="0.25">
      <c r="B142" s="104" t="s">
        <v>126</v>
      </c>
      <c r="C142" s="105"/>
      <c r="D142" s="106"/>
      <c r="E142" s="116"/>
      <c r="F142" s="95">
        <v>6300</v>
      </c>
      <c r="G142" s="95">
        <f t="shared" si="27"/>
        <v>0</v>
      </c>
      <c r="J142" s="104" t="s">
        <v>126</v>
      </c>
      <c r="K142" s="105"/>
      <c r="L142" s="106"/>
      <c r="M142" s="116"/>
      <c r="N142" s="95">
        <v>6300</v>
      </c>
      <c r="O142" s="95">
        <f t="shared" si="28"/>
        <v>0</v>
      </c>
    </row>
    <row r="143" spans="2:15" x14ac:dyDescent="0.25">
      <c r="B143" s="101" t="s">
        <v>50</v>
      </c>
      <c r="C143" s="102"/>
      <c r="D143" s="102"/>
      <c r="E143" s="102"/>
      <c r="F143" s="103"/>
      <c r="G143" s="98">
        <f>SUM(G137:G142)</f>
        <v>0</v>
      </c>
      <c r="J143" s="101" t="s">
        <v>50</v>
      </c>
      <c r="K143" s="102"/>
      <c r="L143" s="102"/>
      <c r="M143" s="102"/>
      <c r="N143" s="103"/>
      <c r="O143" s="98">
        <f>SUM(O137:O142)</f>
        <v>0</v>
      </c>
    </row>
    <row r="144" spans="7:15" x14ac:dyDescent="0.25">
      <c r="G144" s="92">
        <f>G143/1.1</f>
        <v>0</v>
      </c>
      <c r="O144" s="92">
        <f>O143/1.1</f>
        <v>0</v>
      </c>
    </row>
    <row r="146" spans="2:15" x14ac:dyDescent="0.25">
      <c r="B146" s="104" t="s">
        <v>127</v>
      </c>
      <c r="C146" s="105"/>
      <c r="D146" s="106"/>
      <c r="E146" s="95"/>
      <c r="F146" s="95">
        <v>6348.98</v>
      </c>
      <c r="G146" s="95">
        <f>E146*F146</f>
        <v>0</v>
      </c>
      <c r="J146" s="104" t="s">
        <v>127</v>
      </c>
      <c r="K146" s="105"/>
      <c r="L146" s="106"/>
      <c r="M146" s="95"/>
      <c r="N146" s="95">
        <v>6348.98</v>
      </c>
      <c r="O146" s="95">
        <f>M146*N146</f>
        <v>0</v>
      </c>
    </row>
    <row r="147" spans="2:15" x14ac:dyDescent="0.25">
      <c r="B147" s="104" t="s">
        <v>128</v>
      </c>
      <c r="C147" s="105"/>
      <c r="D147" s="106"/>
      <c r="E147" s="95"/>
      <c r="F147" s="95">
        <v>12000</v>
      </c>
      <c r="G147" s="95">
        <f>E147*F147</f>
        <v>0</v>
      </c>
      <c r="J147" s="104" t="s">
        <v>128</v>
      </c>
      <c r="K147" s="105"/>
      <c r="L147" s="106"/>
      <c r="M147" s="95"/>
      <c r="N147" s="95">
        <v>12000</v>
      </c>
      <c r="O147" s="95">
        <f>M147*N147</f>
        <v>0</v>
      </c>
    </row>
    <row r="148" spans="2:15" x14ac:dyDescent="0.25">
      <c r="B148" s="104" t="s">
        <v>129</v>
      </c>
      <c r="C148" s="105"/>
      <c r="D148" s="106"/>
      <c r="E148" s="95"/>
      <c r="F148" s="95">
        <v>9200</v>
      </c>
      <c r="G148" s="95">
        <f>E148*F148</f>
        <v>0</v>
      </c>
      <c r="J148" s="104" t="s">
        <v>129</v>
      </c>
      <c r="K148" s="105"/>
      <c r="L148" s="106"/>
      <c r="M148" s="95"/>
      <c r="N148" s="95">
        <v>9200</v>
      </c>
      <c r="O148" s="95">
        <f>M148*N148</f>
        <v>0</v>
      </c>
    </row>
    <row r="149" spans="2:15" x14ac:dyDescent="0.25">
      <c r="B149" s="101" t="s">
        <v>50</v>
      </c>
      <c r="C149" s="102"/>
      <c r="D149" s="102"/>
      <c r="E149" s="102"/>
      <c r="F149" s="103"/>
      <c r="G149" s="98">
        <f>SUM(G146:G148)</f>
        <v>0</v>
      </c>
      <c r="J149" s="101" t="s">
        <v>50</v>
      </c>
      <c r="K149" s="102"/>
      <c r="L149" s="102"/>
      <c r="M149" s="102"/>
      <c r="N149" s="103"/>
      <c r="O149" s="98">
        <f>SUM(O146:O148)</f>
        <v>0</v>
      </c>
    </row>
    <row r="150" spans="7:15" x14ac:dyDescent="0.25">
      <c r="G150" s="92">
        <f>G149/1.1</f>
        <v>0</v>
      </c>
      <c r="O150" s="92">
        <f>O149/1.1</f>
        <v>0</v>
      </c>
    </row>
    <row r="152" spans="2:15" x14ac:dyDescent="0.25">
      <c r="B152" s="104" t="s">
        <v>130</v>
      </c>
      <c r="C152" s="105"/>
      <c r="D152" s="106"/>
      <c r="E152" s="95"/>
      <c r="F152" s="95">
        <v>6050</v>
      </c>
      <c r="G152" s="95">
        <f>E152*F152</f>
        <v>0</v>
      </c>
      <c r="J152" s="104" t="s">
        <v>130</v>
      </c>
      <c r="K152" s="105"/>
      <c r="L152" s="106"/>
      <c r="M152" s="95"/>
      <c r="N152" s="95">
        <v>6050</v>
      </c>
      <c r="O152" s="95">
        <f>M152*N152</f>
        <v>0</v>
      </c>
    </row>
    <row r="153" spans="2:15" x14ac:dyDescent="0.25">
      <c r="B153" s="104" t="s">
        <v>131</v>
      </c>
      <c r="C153" s="105"/>
      <c r="D153" s="106"/>
      <c r="E153" s="95"/>
      <c r="F153" s="95">
        <v>6050</v>
      </c>
      <c r="G153" s="95">
        <f>E153*F153</f>
        <v>0</v>
      </c>
      <c r="J153" s="104" t="s">
        <v>131</v>
      </c>
      <c r="K153" s="105"/>
      <c r="L153" s="106"/>
      <c r="M153" s="95"/>
      <c r="N153" s="95">
        <v>6050</v>
      </c>
      <c r="O153" s="95">
        <f>M153*N153</f>
        <v>0</v>
      </c>
    </row>
    <row r="154" spans="2:15" x14ac:dyDescent="0.25">
      <c r="B154" s="104" t="s">
        <v>132</v>
      </c>
      <c r="C154" s="105"/>
      <c r="D154" s="106"/>
      <c r="E154" s="95"/>
      <c r="F154" s="95">
        <v>14300</v>
      </c>
      <c r="G154" s="95">
        <f>E154*F154</f>
        <v>0</v>
      </c>
      <c r="H154" s="89">
        <f>SUM(E152:E155)</f>
        <v>346</v>
      </c>
      <c r="I154" s="89">
        <f>SUM(M152:M155)</f>
        <v>82</v>
      </c>
      <c r="J154" s="104" t="s">
        <v>132</v>
      </c>
      <c r="K154" s="105"/>
      <c r="L154" s="106"/>
      <c r="M154" s="95">
        <v>82</v>
      </c>
      <c r="N154" s="95">
        <v>14300</v>
      </c>
      <c r="O154" s="95">
        <f>M154*N154</f>
        <v>1172600</v>
      </c>
    </row>
    <row r="155" spans="2:15" x14ac:dyDescent="0.25">
      <c r="B155" s="104" t="s">
        <v>133</v>
      </c>
      <c r="C155" s="105"/>
      <c r="D155" s="106"/>
      <c r="E155" s="95">
        <v>346</v>
      </c>
      <c r="F155" s="95">
        <v>14300</v>
      </c>
      <c r="G155" s="95">
        <f>E155*F155</f>
        <v>4947800</v>
      </c>
      <c r="H155">
        <v>1344</v>
      </c>
      <c r="I155">
        <v>1045</v>
      </c>
      <c r="J155" s="104" t="s">
        <v>133</v>
      </c>
      <c r="K155" s="105"/>
      <c r="L155" s="106"/>
      <c r="M155" s="95"/>
      <c r="N155" s="95">
        <v>14300</v>
      </c>
      <c r="O155" s="95">
        <f>M155*N155</f>
        <v>0</v>
      </c>
    </row>
    <row r="156" spans="2:15" x14ac:dyDescent="0.25">
      <c r="B156" s="112" t="s">
        <v>50</v>
      </c>
      <c r="C156" s="112"/>
      <c r="D156" s="112"/>
      <c r="E156" s="112"/>
      <c r="F156" s="112"/>
      <c r="G156" s="98">
        <f>SUM(G152:G155)</f>
        <v>4947800</v>
      </c>
      <c r="H156" s="89">
        <f>SUM(H154:H155)</f>
        <v>1690</v>
      </c>
      <c r="I156" s="89">
        <f>SUM(I154:I155)</f>
        <v>1127</v>
      </c>
      <c r="J156" s="112" t="s">
        <v>50</v>
      </c>
      <c r="K156" s="112"/>
      <c r="L156" s="112"/>
      <c r="M156" s="112"/>
      <c r="N156" s="112"/>
      <c r="O156" s="98">
        <f>SUM(O152:O155)</f>
        <v>1172600</v>
      </c>
    </row>
    <row r="157" spans="7:15" x14ac:dyDescent="0.25">
      <c r="G157" s="100">
        <f>G156/1.1</f>
        <v>4498000</v>
      </c>
      <c r="H157" s="89">
        <f>H156-I156</f>
        <v>563</v>
      </c>
      <c r="O157" s="100">
        <f>O156/1.1</f>
        <v>1066000</v>
      </c>
    </row>
    <row r="159" spans="2:15" x14ac:dyDescent="0.25">
      <c r="B159" s="104" t="s">
        <v>134</v>
      </c>
      <c r="C159" s="105"/>
      <c r="D159" s="106"/>
      <c r="E159" s="95"/>
      <c r="F159" s="95">
        <v>2400</v>
      </c>
      <c r="G159" s="95">
        <f>E159*F159</f>
        <v>0</v>
      </c>
      <c r="J159" s="104" t="s">
        <v>134</v>
      </c>
      <c r="K159" s="105"/>
      <c r="L159" s="106"/>
      <c r="M159" s="95"/>
      <c r="N159" s="95">
        <v>2400</v>
      </c>
      <c r="O159" s="95">
        <f>M159*N159</f>
        <v>0</v>
      </c>
    </row>
    <row r="160" spans="2:15" x14ac:dyDescent="0.25">
      <c r="B160" s="104" t="s">
        <v>135</v>
      </c>
      <c r="C160" s="105"/>
      <c r="D160" s="106"/>
      <c r="E160" s="95"/>
      <c r="F160" s="95">
        <v>2400</v>
      </c>
      <c r="G160" s="95">
        <f>E160*F160</f>
        <v>0</v>
      </c>
      <c r="J160" s="104" t="s">
        <v>135</v>
      </c>
      <c r="K160" s="105"/>
      <c r="L160" s="106"/>
      <c r="M160" s="95"/>
      <c r="N160" s="95">
        <v>2400</v>
      </c>
      <c r="O160" s="95">
        <f>M160*N160</f>
        <v>0</v>
      </c>
    </row>
    <row r="161" spans="2:15" x14ac:dyDescent="0.25">
      <c r="B161" s="104" t="s">
        <v>136</v>
      </c>
      <c r="C161" s="105"/>
      <c r="D161" s="106"/>
      <c r="E161" s="95"/>
      <c r="F161" s="95">
        <v>2600</v>
      </c>
      <c r="G161" s="95">
        <f>E161*F161</f>
        <v>0</v>
      </c>
      <c r="J161" s="104" t="s">
        <v>136</v>
      </c>
      <c r="K161" s="105"/>
      <c r="L161" s="106"/>
      <c r="M161" s="95"/>
      <c r="N161" s="95">
        <v>2600</v>
      </c>
      <c r="O161" s="95">
        <f>M161*N161</f>
        <v>0</v>
      </c>
    </row>
    <row r="162" spans="2:15" x14ac:dyDescent="0.25">
      <c r="B162" s="104" t="s">
        <v>137</v>
      </c>
      <c r="C162" s="105"/>
      <c r="D162" s="106"/>
      <c r="E162" s="95"/>
      <c r="F162" s="95">
        <v>2400</v>
      </c>
      <c r="G162" s="95">
        <f>E162*F162</f>
        <v>0</v>
      </c>
      <c r="J162" s="104" t="s">
        <v>137</v>
      </c>
      <c r="K162" s="105"/>
      <c r="L162" s="106"/>
      <c r="M162" s="95"/>
      <c r="N162" s="95">
        <v>2400</v>
      </c>
      <c r="O162" s="95">
        <f>M162*N162</f>
        <v>0</v>
      </c>
    </row>
    <row r="163" spans="2:15" x14ac:dyDescent="0.25">
      <c r="B163" s="104"/>
      <c r="C163" s="105"/>
      <c r="D163" s="106"/>
      <c r="E163" s="95"/>
      <c r="F163" s="95"/>
      <c r="G163" s="95">
        <f>E163*F163</f>
        <v>0</v>
      </c>
      <c r="J163" s="104"/>
      <c r="K163" s="105"/>
      <c r="L163" s="106"/>
      <c r="M163" s="95"/>
      <c r="N163" s="95"/>
      <c r="O163" s="95">
        <f>M163*N163</f>
        <v>0</v>
      </c>
    </row>
    <row r="164" spans="2:15" x14ac:dyDescent="0.25">
      <c r="B164" s="101" t="s">
        <v>50</v>
      </c>
      <c r="C164" s="102"/>
      <c r="D164" s="102"/>
      <c r="E164" s="102"/>
      <c r="F164" s="103"/>
      <c r="G164" s="98">
        <f>SUM(G159:G163)</f>
        <v>0</v>
      </c>
      <c r="J164" s="101" t="s">
        <v>50</v>
      </c>
      <c r="K164" s="102"/>
      <c r="L164" s="102"/>
      <c r="M164" s="102"/>
      <c r="N164" s="103"/>
      <c r="O164" s="98">
        <f>SUM(O159:O163)</f>
        <v>0</v>
      </c>
    </row>
    <row r="165" spans="7:15" x14ac:dyDescent="0.25">
      <c r="G165" s="100">
        <f>G164/1.1</f>
        <v>0</v>
      </c>
      <c r="O165" s="100">
        <f>O164/1.1</f>
        <v>0</v>
      </c>
    </row>
  </sheetData>
  <mergeCells count="136">
    <mergeCell ref="B38:D38"/>
    <mergeCell ref="J38:L38"/>
    <mergeCell ref="B39:D39"/>
    <mergeCell ref="J39:L39"/>
    <mergeCell ref="B40:D40"/>
    <mergeCell ref="J40:L40"/>
    <mergeCell ref="B41:D41"/>
    <mergeCell ref="J41:L41"/>
    <mergeCell ref="B42:D42"/>
    <mergeCell ref="J42:L42"/>
    <mergeCell ref="B43:D43"/>
    <mergeCell ref="J43:L43"/>
    <mergeCell ref="B44:D44"/>
    <mergeCell ref="J44:L44"/>
    <mergeCell ref="B45:D45"/>
    <mergeCell ref="J45:L45"/>
    <mergeCell ref="B46:D46"/>
    <mergeCell ref="J46:L46"/>
    <mergeCell ref="B47:D47"/>
    <mergeCell ref="J47:L47"/>
    <mergeCell ref="B48:D48"/>
    <mergeCell ref="J48:L48"/>
    <mergeCell ref="B49:D49"/>
    <mergeCell ref="J49:L49"/>
    <mergeCell ref="B50:D50"/>
    <mergeCell ref="J50:L50"/>
    <mergeCell ref="B51:D51"/>
    <mergeCell ref="J51:L51"/>
    <mergeCell ref="B52:D52"/>
    <mergeCell ref="J52:L52"/>
    <mergeCell ref="B53:D53"/>
    <mergeCell ref="J53:L53"/>
    <mergeCell ref="B54:F54"/>
    <mergeCell ref="J54:N54"/>
    <mergeCell ref="B67:F67"/>
    <mergeCell ref="J67:N67"/>
    <mergeCell ref="B73:F73"/>
    <mergeCell ref="J73:N73"/>
    <mergeCell ref="B86:F86"/>
    <mergeCell ref="J86:N86"/>
    <mergeCell ref="B91:D91"/>
    <mergeCell ref="J91:L91"/>
    <mergeCell ref="B92:D92"/>
    <mergeCell ref="J92:L92"/>
    <mergeCell ref="B93:F93"/>
    <mergeCell ref="J93:N93"/>
    <mergeCell ref="B105:F105"/>
    <mergeCell ref="J105:N105"/>
    <mergeCell ref="B109:D109"/>
    <mergeCell ref="J109:L109"/>
    <mergeCell ref="B110:D110"/>
    <mergeCell ref="J110:L110"/>
    <mergeCell ref="B111:D111"/>
    <mergeCell ref="J111:L111"/>
    <mergeCell ref="B112:D112"/>
    <mergeCell ref="J112:L112"/>
    <mergeCell ref="B113:D113"/>
    <mergeCell ref="J113:L113"/>
    <mergeCell ref="B114:D114"/>
    <mergeCell ref="J114:L114"/>
    <mergeCell ref="B115:D115"/>
    <mergeCell ref="J115:L115"/>
    <mergeCell ref="B116:D116"/>
    <mergeCell ref="J116:L116"/>
    <mergeCell ref="B117:F117"/>
    <mergeCell ref="J117:N117"/>
    <mergeCell ref="B122:D122"/>
    <mergeCell ref="J122:L122"/>
    <mergeCell ref="B123:D123"/>
    <mergeCell ref="J123:L123"/>
    <mergeCell ref="B124:D124"/>
    <mergeCell ref="J124:L124"/>
    <mergeCell ref="B125:D125"/>
    <mergeCell ref="J125:L125"/>
    <mergeCell ref="B126:D126"/>
    <mergeCell ref="J126:L126"/>
    <mergeCell ref="B127:D127"/>
    <mergeCell ref="J127:L127"/>
    <mergeCell ref="B128:D128"/>
    <mergeCell ref="J128:L128"/>
    <mergeCell ref="B129:D129"/>
    <mergeCell ref="J129:L129"/>
    <mergeCell ref="B130:D130"/>
    <mergeCell ref="J130:L130"/>
    <mergeCell ref="B131:D131"/>
    <mergeCell ref="J131:L131"/>
    <mergeCell ref="B132:D132"/>
    <mergeCell ref="J132:L132"/>
    <mergeCell ref="B133:D133"/>
    <mergeCell ref="J133:L133"/>
    <mergeCell ref="B134:F134"/>
    <mergeCell ref="J134:N134"/>
    <mergeCell ref="B137:D137"/>
    <mergeCell ref="J137:L137"/>
    <mergeCell ref="B138:D138"/>
    <mergeCell ref="J138:L138"/>
    <mergeCell ref="B139:D139"/>
    <mergeCell ref="J139:L139"/>
    <mergeCell ref="B140:D140"/>
    <mergeCell ref="J140:L140"/>
    <mergeCell ref="B141:D141"/>
    <mergeCell ref="J141:L141"/>
    <mergeCell ref="B142:D142"/>
    <mergeCell ref="J142:L142"/>
    <mergeCell ref="B143:F143"/>
    <mergeCell ref="J143:N143"/>
    <mergeCell ref="B146:D146"/>
    <mergeCell ref="J146:L146"/>
    <mergeCell ref="B147:D147"/>
    <mergeCell ref="J147:L147"/>
    <mergeCell ref="B148:D148"/>
    <mergeCell ref="J148:L148"/>
    <mergeCell ref="B149:F149"/>
    <mergeCell ref="J149:N149"/>
    <mergeCell ref="B152:D152"/>
    <mergeCell ref="J152:L152"/>
    <mergeCell ref="B153:D153"/>
    <mergeCell ref="J153:L153"/>
    <mergeCell ref="B154:D154"/>
    <mergeCell ref="J154:L154"/>
    <mergeCell ref="B155:D155"/>
    <mergeCell ref="J155:L155"/>
    <mergeCell ref="B156:F156"/>
    <mergeCell ref="J156:N156"/>
    <mergeCell ref="B159:D159"/>
    <mergeCell ref="J159:L159"/>
    <mergeCell ref="B160:D160"/>
    <mergeCell ref="J160:L160"/>
    <mergeCell ref="B161:D161"/>
    <mergeCell ref="J161:L161"/>
    <mergeCell ref="B162:D162"/>
    <mergeCell ref="J162:L162"/>
    <mergeCell ref="B163:D163"/>
    <mergeCell ref="J163:L163"/>
    <mergeCell ref="B164:F164"/>
    <mergeCell ref="J164:N16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CA33"/>
  <sheetViews>
    <sheetView workbookViewId="0" zoomScale="85" zoomScaleNormal="85">
      <pane xSplit="2" topLeftCell="C1" activePane="topRight" state="frozen"/>
      <selection pane="topRight" activeCell="F14" sqref="F14"/>
    </sheetView>
  </sheetViews>
  <sheetFormatPr defaultRowHeight="16.5" outlineLevelRow="0" outlineLevelCol="1" x14ac:dyDescent="0" customHeight="1"/>
  <cols>
    <col min="1" max="1" width="3.75" customWidth="1"/>
    <col min="2" max="2" width="18" customWidth="1"/>
    <col min="3" max="3" width="18.25" customWidth="1"/>
    <col min="4" max="4" width="13.625" customWidth="1"/>
    <col min="5" max="5" width="17.75" customWidth="1"/>
    <col min="6" max="6" width="18.25" customWidth="1"/>
    <col min="7" max="7" width="24.125" customWidth="1"/>
    <col min="8" max="8" width="17.25" customWidth="1"/>
    <col min="9" max="9" width="17.5" customWidth="1"/>
    <col min="10" max="10" width="17.625" customWidth="1"/>
    <col min="11" max="11" width="13.75" customWidth="1"/>
    <col min="12" max="12" width="17.75" customWidth="1"/>
    <col min="13" max="13" width="10.125" customWidth="1"/>
    <col min="14" max="15" width="21" hidden="1" outlineLevel="1" collapsed="1" customWidth="1"/>
    <col min="16" max="16" width="18.875" hidden="1" outlineLevel="1" collapsed="1" customWidth="1"/>
    <col min="17" max="17" width="16.25" hidden="1" outlineLevel="1" collapsed="1" customWidth="1"/>
    <col min="18" max="18" width="17.625" hidden="1" outlineLevel="1" collapsed="1" customWidth="1"/>
    <col min="19" max="19" width="20.125" hidden="1" outlineLevel="1" collapsed="1" customWidth="1"/>
    <col min="20" max="20" width="23.75" hidden="1" outlineLevel="1" collapsed="1" customWidth="1"/>
    <col min="21" max="21" width="16" hidden="1" outlineLevel="1" collapsed="1" customWidth="1"/>
    <col min="22" max="22" width="5.5" customWidth="1"/>
    <col min="28" max="28" width="6" customWidth="1"/>
    <col min="29" max="29" width="8.5" customWidth="1"/>
    <col min="31" max="31" width="3.875" customWidth="1"/>
    <col min="32" max="33" width="4.625" customWidth="1"/>
  </cols>
  <sheetData>
    <row r="1" ht="45.75" customHeight="1" spans="2:2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" customHeight="1" spans="2:2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5" customHeight="1" spans="2:2" x14ac:dyDescent="0.25">
      <c r="B3" s="3"/>
    </row>
    <row r="4" ht="15" customHeight="1" spans="2:20" x14ac:dyDescent="0.25">
      <c r="B4" s="3"/>
      <c r="G4" s="4"/>
      <c r="P4" s="4"/>
      <c r="S4" s="4"/>
      <c r="T4" s="4"/>
    </row>
    <row r="5" ht="23.25" customHeight="1" spans="2:13" x14ac:dyDescent="0.25">
      <c r="B5" t="s">
        <v>1</v>
      </c>
      <c r="C5" s="5">
        <v>46245</v>
      </c>
      <c r="D5" s="5"/>
      <c r="G5" s="4"/>
      <c r="K5" s="6"/>
      <c r="M5" s="7" t="s">
        <v>2</v>
      </c>
    </row>
    <row r="6" ht="27" customHeight="1" spans="2:21" s="8" customFormat="1" x14ac:dyDescent="0.25">
      <c r="B6" s="9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1" t="s">
        <v>10</v>
      </c>
      <c r="J6" s="9" t="s">
        <v>11</v>
      </c>
      <c r="K6" s="12" t="s">
        <v>12</v>
      </c>
      <c r="L6" s="13" t="s">
        <v>13</v>
      </c>
      <c r="M6" s="12" t="s">
        <v>14</v>
      </c>
      <c r="N6" s="13" t="s">
        <v>4</v>
      </c>
      <c r="O6" s="10" t="s">
        <v>15</v>
      </c>
      <c r="P6" s="10" t="s">
        <v>16</v>
      </c>
      <c r="Q6" s="10" t="s">
        <v>17</v>
      </c>
      <c r="R6" s="10" t="s">
        <v>18</v>
      </c>
      <c r="S6" s="10" t="s">
        <v>19</v>
      </c>
      <c r="T6" s="10" t="s">
        <v>20</v>
      </c>
      <c r="U6" s="10" t="s">
        <v>21</v>
      </c>
    </row>
    <row r="7" ht="33.75" customHeight="1" spans="2:21" x14ac:dyDescent="0.25">
      <c r="B7" s="14" t="s">
        <v>22</v>
      </c>
      <c r="C7" s="15">
        <f t="shared" ref="C7:C17" si="0">N7+L7+O7</f>
        <v>56479424</v>
      </c>
      <c r="D7" s="16">
        <f t="shared" ref="D7:D22" si="1">IFERROR((C7/$C$23),"")</f>
        <v>0.23112494375632942</v>
      </c>
      <c r="E7" s="17">
        <v>1793373.4</v>
      </c>
      <c r="F7" s="18">
        <f>(G7+H7)/SUMIF(구매현황!N:N,'주차별 매출이익 보고서'!B7,구매현황!D:D)*SUM(재고잔량!M7:M23)</f>
        <v>3635624.828154121</v>
      </c>
      <c r="G7" s="17">
        <f t="shared" ref="G7:G12" si="2">P7+T7</f>
        <v>50587531.4012</v>
      </c>
      <c r="H7" s="17">
        <f>그외통관비!I35</f>
        <v>2242000</v>
      </c>
      <c r="I7" s="19">
        <f t="shared" ref="I7:I15" si="3">E7+G7+H7-F7</f>
        <v>50987279.97304587</v>
      </c>
      <c r="J7" s="20">
        <f>C7-I7</f>
        <v>5492144.026954129</v>
      </c>
      <c r="K7" s="21">
        <f t="shared" ref="K7:K15" si="4">IFERROR((J7/C7),"")</f>
        <v>0.09724150209028565</v>
      </c>
      <c r="L7" s="22">
        <f>SUMIF(불량차감!$J:$J,'주차별 매출이익 보고서'!B7,불량차감!$F:$F)</f>
        <v>-427272</v>
      </c>
      <c r="M7" s="23">
        <f t="shared" ref="M7:M15" si="5">IFERROR(-(L7/C7),"")</f>
        <v>0.007565091315378854</v>
      </c>
      <c r="N7" s="24">
        <f>SUMIF(판매현황!I:I,'주차별 매출이익 보고서'!B7,판매현황!E:E)</f>
        <v>58939286</v>
      </c>
      <c r="O7" s="15">
        <f>SUMIF('그 외 매출액'!J:J,'주차별 매출이익 보고서'!B7,'그 외 매출액'!F:F)</f>
        <v>-2032590</v>
      </c>
      <c r="P7" s="25">
        <f>Q7*R7</f>
        <v>25267603.4552</v>
      </c>
      <c r="Q7" s="26">
        <f>SUMIF(구매현황!N:N,'주차별 매출이익 보고서'!B7,구매현황!G:G)</f>
        <v>16317.260000000002</v>
      </c>
      <c r="R7" s="27">
        <v>1548.52</v>
      </c>
      <c r="S7" s="28">
        <f>SUMIF(포워딩!$N:$N,'주차별 매출이익 보고서'!B7,포워딩!$G:$G)</f>
        <v>16351.05</v>
      </c>
      <c r="T7" s="25">
        <f t="shared" ref="T7:T18" si="6">S7*R7</f>
        <v>25319927.946</v>
      </c>
      <c r="U7" s="29">
        <f t="shared" ref="U7:U18" si="7">P7/$P$23</f>
        <v>0.1774963249469639</v>
      </c>
    </row>
    <row r="8" ht="33.75" customHeight="1" spans="2:21" x14ac:dyDescent="0.25">
      <c r="B8" s="30" t="s">
        <v>23</v>
      </c>
      <c r="C8" s="15">
        <f t="shared" si="0"/>
        <v>86982630</v>
      </c>
      <c r="D8" s="16">
        <f t="shared" si="1"/>
        <v>0.35595007956397734</v>
      </c>
      <c r="E8" s="18">
        <v>1404898.55</v>
      </c>
      <c r="F8" s="18">
        <f>(G8+H8)/SUMIF(구매현황!N:N,'주차별 매출이익 보고서'!B8,구매현황!D:D)*SUM(재고잔량!M30:M32)</f>
        <v>9409702.888094878</v>
      </c>
      <c r="G8" s="31">
        <f t="shared" si="2"/>
        <v>84059951.92723061</v>
      </c>
      <c r="H8" s="18">
        <f>'콜롬비아 1차'!H22+'콜롬비아 2차'!H22</f>
        <v>3483055.0416122843</v>
      </c>
      <c r="I8" s="19">
        <f t="shared" si="3"/>
        <v>79538202.63074802</v>
      </c>
      <c r="J8" s="20">
        <f>C8-I8</f>
        <v>7444427.369251981</v>
      </c>
      <c r="K8" s="21">
        <f t="shared" si="4"/>
        <v>0.08558521821255556</v>
      </c>
      <c r="L8" s="22">
        <f>SUMIF(불량차감!$J:$J,'주차별 매출이익 보고서'!B8,불량차감!$F:$F)</f>
        <v>-562545</v>
      </c>
      <c r="M8" s="32">
        <f t="shared" si="5"/>
        <v>0.006467325717789863</v>
      </c>
      <c r="N8" s="24">
        <f>SUMIF(판매현황!I:I,'주차별 매출이익 보고서'!B8,판매현황!E:E)</f>
        <v>87739630</v>
      </c>
      <c r="O8" s="15">
        <f>SUMIF('그 외 매출액'!J:J,'주차별 매출이익 보고서'!B8,'그 외 매출액'!F:F)</f>
        <v>-194455</v>
      </c>
      <c r="P8" s="33">
        <f>Q8*R8</f>
        <v>56016162.48</v>
      </c>
      <c r="Q8" s="26">
        <f>SUMIF(구매현황!N:N,'주차별 매출이익 보고서'!B8,구매현황!G:G)</f>
        <v>36174</v>
      </c>
      <c r="R8" s="27">
        <v>1548.52</v>
      </c>
      <c r="S8" s="34">
        <f>'콜롬비아 1차'!F22+'콜롬비아 2차'!F22</f>
        <v>18110.05957122324</v>
      </c>
      <c r="T8" s="33">
        <f t="shared" si="6"/>
        <v>28043789.44723061</v>
      </c>
      <c r="U8" s="35">
        <f t="shared" si="7"/>
        <v>0.3934944996054161</v>
      </c>
    </row>
    <row r="9" ht="33.75" customHeight="1" spans="2:21" x14ac:dyDescent="0.25">
      <c r="B9" s="30" t="s">
        <v>24</v>
      </c>
      <c r="C9" s="15">
        <f t="shared" si="0"/>
        <v>32610458</v>
      </c>
      <c r="D9" s="16">
        <f t="shared" si="1"/>
        <v>0.13344842665389334</v>
      </c>
      <c r="E9" s="18">
        <v>2010261.26</v>
      </c>
      <c r="F9" s="18">
        <f>(G9+H9)/SUMIF(구매현황!N:N,'주차별 매출이익 보고서'!B9,구매현황!D:D)*재고잔량!M92</f>
        <v>1598667.1260439414</v>
      </c>
      <c r="G9" s="17">
        <f t="shared" si="2"/>
        <v>25463381.73561685</v>
      </c>
      <c r="H9" s="18">
        <f>'콜롬비아 1차'!H21+'콜롬비아 2차'!H21</f>
        <v>1065088.6324417277</v>
      </c>
      <c r="I9" s="19">
        <f t="shared" si="3"/>
        <v>26940064.50201464</v>
      </c>
      <c r="J9" s="20">
        <f>C9-I9</f>
        <v>5670393.497985359</v>
      </c>
      <c r="K9" s="21">
        <f t="shared" si="4"/>
        <v>0.17388266972470487</v>
      </c>
      <c r="L9" s="22">
        <f>SUMIF(불량차감!$J:$J,'주차별 매출이익 보고서'!B9,불량차감!$F:$F)</f>
        <v>-380091</v>
      </c>
      <c r="M9" s="32">
        <f t="shared" si="5"/>
        <v>0.011655494074937555</v>
      </c>
      <c r="N9" s="24">
        <f>SUMIF(판매현황!I:I,'주차별 매출이익 보고서'!B9,판매현황!E:E)</f>
        <v>33124094</v>
      </c>
      <c r="O9" s="15">
        <f>SUMIF('그 외 매출액'!J:J,'주차별 매출이익 보고서'!B9,'그 외 매출액'!F:F)</f>
        <v>-133545</v>
      </c>
      <c r="P9" s="33">
        <f t="shared" ref="P9:P18" si="8">Q9*R9</f>
        <v>17035268.52</v>
      </c>
      <c r="Q9" s="26">
        <f>SUMIF(구매현황!N:N,'주차별 매출이익 보고서'!B9,구매현황!G:G)</f>
        <v>11001</v>
      </c>
      <c r="R9" s="27">
        <v>1548.52</v>
      </c>
      <c r="S9" s="34">
        <f>'콜롬비아 1차'!F21+'콜롬비아 2차'!F21</f>
        <v>5442.689287588699</v>
      </c>
      <c r="T9" s="33">
        <f>S9*R9</f>
        <v>8428113.215616852</v>
      </c>
      <c r="U9" s="35">
        <f t="shared" si="7"/>
        <v>0.11966697048043298</v>
      </c>
    </row>
    <row r="10" ht="33.75" customHeight="1" spans="2:21" x14ac:dyDescent="0.25">
      <c r="B10" s="30" t="s">
        <v>25</v>
      </c>
      <c r="C10" s="15">
        <f t="shared" si="0"/>
        <v>10547993</v>
      </c>
      <c r="D10" s="16">
        <f t="shared" si="1"/>
        <v>0.04316446798159904</v>
      </c>
      <c r="E10" s="18"/>
      <c r="F10" s="18">
        <f>(G10+H10)/SUMIF(구매현황!N:N,'주차별 매출이익 보고서'!B10,구매현황!D:D)*재고잔량!M72</f>
        <v>578629.6307709508</v>
      </c>
      <c r="G10" s="17">
        <f t="shared" si="2"/>
        <v>8854925.500884183</v>
      </c>
      <c r="H10" s="18">
        <f>'콜롬비아 1차'!H24+'콜롬비아 2차'!H24</f>
        <v>258491.18375829267</v>
      </c>
      <c r="I10" s="19">
        <f t="shared" si="3"/>
        <v>8534787.053871524</v>
      </c>
      <c r="J10" s="20">
        <f t="shared" ref="J10:J14" si="9">C10-I10</f>
        <v>2013205.9461284764</v>
      </c>
      <c r="K10" s="21">
        <f t="shared" si="4"/>
        <v>0.19086151707992946</v>
      </c>
      <c r="L10" s="22">
        <f>SUMIF(불량차감!$J:$J,'주차별 매출이익 보고서'!B10,불량차감!$F:$F)</f>
        <v>-21545</v>
      </c>
      <c r="M10" s="32">
        <f t="shared" si="5"/>
        <v>0.0020425686668544434</v>
      </c>
      <c r="N10" s="24">
        <f>SUMIF(판매현황!I:I,'주차별 매출이익 보고서'!B10,판매현황!E:E)</f>
        <v>10556811</v>
      </c>
      <c r="O10" s="15">
        <f>SUMIF('그 외 매출액'!J:J,'주차별 매출이익 보고서'!B10,'그 외 매출액'!F:F)</f>
        <v>12727</v>
      </c>
      <c r="P10" s="33">
        <f t="shared" si="8"/>
        <v>6726383.75</v>
      </c>
      <c r="Q10" s="26">
        <f>SUMIF(구매현황!N:N,'주차별 매출이익 보고서'!B10,구매현황!G:G)</f>
        <v>4343.75</v>
      </c>
      <c r="R10" s="27">
        <v>1548.52</v>
      </c>
      <c r="S10" s="34">
        <f>'콜롬비아 1차'!F24+'콜롬비아 2차'!F24</f>
        <v>1374.5652305970746</v>
      </c>
      <c r="T10" s="33">
        <f>S10*R10</f>
        <v>2128541.750884182</v>
      </c>
      <c r="U10" s="35">
        <f>P10/$P$23</f>
        <v>0.04725055931500598</v>
      </c>
    </row>
    <row r="11" ht="33.75" customHeight="1" spans="2:21" x14ac:dyDescent="0.25">
      <c r="B11" s="30" t="s">
        <v>26</v>
      </c>
      <c r="C11" s="15">
        <f t="shared" si="0"/>
        <v>3800488</v>
      </c>
      <c r="D11" s="16">
        <f t="shared" si="1"/>
        <v>0.015552346554501068</v>
      </c>
      <c r="E11" s="18"/>
      <c r="F11" s="18">
        <f>(G11+H11)/SUMIF(구매현황!N:N,'주차별 매출이익 보고서'!B11,구매현황!D:D)*SUM(재고잔량!M79:M85)</f>
        <v>63272.881316055114</v>
      </c>
      <c r="G11" s="17">
        <f t="shared" si="2"/>
        <v>3990405.8258683556</v>
      </c>
      <c r="H11" s="18">
        <f>'콜롬비아 1차'!H23+'콜롬비아 2차'!H23</f>
        <v>243125.1421876953</v>
      </c>
      <c r="I11" s="19">
        <f t="shared" si="3"/>
        <v>4170258.086739996</v>
      </c>
      <c r="J11" s="20">
        <f t="shared" si="9"/>
        <v>-369770.086739996</v>
      </c>
      <c r="K11" s="21">
        <f t="shared" si="4"/>
        <v>-0.09729542278254687</v>
      </c>
      <c r="L11" s="36">
        <f>SUMIF(불량차감!$J:$J,'주차별 매출이익 보고서'!B11,불량차감!$F:$F)</f>
        <v>-44545</v>
      </c>
      <c r="M11" s="32">
        <f t="shared" si="5"/>
        <v>0.011720863215460751</v>
      </c>
      <c r="N11" s="24">
        <f>SUMIF(판매현황!I:I,'주차별 매출이익 보고서'!B11,판매현황!E:E)</f>
        <v>3865943</v>
      </c>
      <c r="O11" s="15">
        <f>SUMIF('그 외 매출액'!J:J,'주차별 매출이익 보고서'!B11,'그 외 매출액'!F:F)</f>
        <v>-20910</v>
      </c>
      <c r="P11" s="33">
        <f>Q11*R11</f>
        <v>2081210.8799999997</v>
      </c>
      <c r="Q11" s="26">
        <f>SUMIF(구매현황!N:N,'주차별 매출이익 보고서'!B11,구매현황!G:G)</f>
        <v>1343.9999999999998</v>
      </c>
      <c r="R11" s="27">
        <v>1548.52</v>
      </c>
      <c r="S11" s="34">
        <f>'콜롬비아 1차'!F23+'콜롬비아 2차'!F23</f>
        <v>1232.9159105909876</v>
      </c>
      <c r="T11" s="33">
        <f t="shared" si="6"/>
        <v>1909194.945868356</v>
      </c>
      <c r="U11" s="35">
        <f t="shared" si="7"/>
        <v>0.014619798956976812</v>
      </c>
    </row>
    <row r="12" ht="33.75" customHeight="1" spans="2:21" x14ac:dyDescent="0.25">
      <c r="B12" s="30" t="s">
        <v>27</v>
      </c>
      <c r="C12" s="15">
        <f t="shared" si="0"/>
        <v>13263756</v>
      </c>
      <c r="D12" s="16">
        <f t="shared" si="1"/>
        <v>0.054277905870599476</v>
      </c>
      <c r="E12" s="18">
        <v>177446.63</v>
      </c>
      <c r="F12" s="18">
        <v>206316.3</v>
      </c>
      <c r="G12" s="17">
        <f t="shared" si="2"/>
        <v>11289114.5562</v>
      </c>
      <c r="H12" s="18">
        <f>그외통관비!I36</f>
        <v>610120</v>
      </c>
      <c r="I12" s="19">
        <f t="shared" si="3"/>
        <v>11870364.8862</v>
      </c>
      <c r="J12" s="20">
        <f t="shared" si="9"/>
        <v>1393391.1138000004</v>
      </c>
      <c r="K12" s="21">
        <f t="shared" si="4"/>
        <v>0.10505252914785226</v>
      </c>
      <c r="L12" s="22">
        <f>SUMIF(불량차감!$J:$J,'주차별 매출이익 보고서'!B12,불량차감!$F:$F)</f>
        <v>-1005728</v>
      </c>
      <c r="M12" s="32">
        <f>IFERROR(-(L12/C12),"")</f>
        <v>0.07582527905368584</v>
      </c>
      <c r="N12" s="24">
        <f>SUMIF(판매현황!I:I,'주차별 매출이익 보고서'!B12,판매현황!E:E)</f>
        <v>14572528</v>
      </c>
      <c r="O12" s="15">
        <f>SUMIF('그 외 매출액'!J:J,'주차별 매출이익 보고서'!B12,'그 외 매출액'!F:F)</f>
        <v>-303044</v>
      </c>
      <c r="P12" s="33">
        <f t="shared" si="8"/>
        <v>8812227.7269</v>
      </c>
      <c r="Q12" s="26">
        <f>SUMIF(구매현황!N:N,'주차별 매출이익 보고서'!B12,구매현황!G:G)</f>
        <v>5065.11</v>
      </c>
      <c r="R12" s="37">
        <v>1739.79</v>
      </c>
      <c r="S12" s="38">
        <f>SUMIF(포워딩!$N:$N,'주차별 매출이익 보고서'!B12,포워딩!$G:$G)</f>
        <v>1423.67</v>
      </c>
      <c r="T12" s="33">
        <f t="shared" si="6"/>
        <v>2476886.8293</v>
      </c>
      <c r="U12" s="35">
        <f t="shared" si="7"/>
        <v>0.06190290420275661</v>
      </c>
    </row>
    <row r="13" ht="33.75" customHeight="1" spans="2:21" x14ac:dyDescent="0.25">
      <c r="B13" s="30" t="s">
        <v>28</v>
      </c>
      <c r="C13" s="15">
        <f>N13+L13+O13</f>
        <v>3690273</v>
      </c>
      <c r="D13" s="16">
        <f>IFERROR((C13/$C$23),"")</f>
        <v>0.015101325034237266</v>
      </c>
      <c r="E13" s="18">
        <v>7843425.363500001</v>
      </c>
      <c r="F13" s="18">
        <v>5322349.152</v>
      </c>
      <c r="G13" s="17">
        <f t="shared" ref="G13:G21" si="10">P13+T13</f>
        <v>0</v>
      </c>
      <c r="H13" s="18">
        <f>그외통관비!I38</f>
        <v>0</v>
      </c>
      <c r="I13" s="19">
        <f t="shared" si="3"/>
        <v>2521076.211500001</v>
      </c>
      <c r="J13" s="20">
        <f>C13-I13</f>
        <v>1169196.7884999989</v>
      </c>
      <c r="K13" s="21">
        <f>IFERROR((J13/C13),"")</f>
        <v>0.3168320578179443</v>
      </c>
      <c r="L13" s="36">
        <f>SUMIF(불량차감!$J:$J,'주차별 매출이익 보고서'!B13,불량차감!$F:$F)</f>
        <v>0</v>
      </c>
      <c r="M13" s="32">
        <f>IFERROR(-(L13/C13),"")</f>
        <v>0</v>
      </c>
      <c r="N13" s="24">
        <f>SUMIF(판매현황!I:I,'주차별 매출이익 보고서'!B13,판매현황!E:E)</f>
        <v>3690273</v>
      </c>
      <c r="O13" s="15">
        <f>SUMIF('그 외 매출액'!J:J,'주차별 매출이익 보고서'!B13,'그 외 매출액'!F:F)</f>
        <v>0</v>
      </c>
      <c r="P13" s="33">
        <f>Q13*R13</f>
        <v>0</v>
      </c>
      <c r="Q13" s="26">
        <f>SUMIF(구매현황!N:N,'주차별 매출이익 보고서'!B13,구매현황!G:G)</f>
        <v>0</v>
      </c>
      <c r="R13" s="37"/>
      <c r="S13" s="28"/>
      <c r="T13" s="33">
        <f t="shared" si="6"/>
        <v>0</v>
      </c>
      <c r="U13" s="35">
        <f t="shared" si="7"/>
        <v>0</v>
      </c>
    </row>
    <row r="14" ht="33.75" customHeight="1" spans="2:21" x14ac:dyDescent="0.25">
      <c r="B14" s="30" t="s">
        <v>29</v>
      </c>
      <c r="C14" s="15">
        <f t="shared" si="0"/>
        <v>2996547</v>
      </c>
      <c r="D14" s="16">
        <f t="shared" si="1"/>
        <v>0.012262461402548965</v>
      </c>
      <c r="E14" s="18"/>
      <c r="F14" s="18"/>
      <c r="G14" s="17">
        <f t="shared" si="10"/>
        <v>3190014.2052</v>
      </c>
      <c r="H14" s="18">
        <f>그외통관비!I37</f>
        <v>285520</v>
      </c>
      <c r="I14" s="19">
        <f t="shared" si="3"/>
        <v>3475534.2052</v>
      </c>
      <c r="J14" s="20">
        <f t="shared" si="9"/>
        <v>-478987.2052000002</v>
      </c>
      <c r="K14" s="21">
        <f t="shared" si="4"/>
        <v>-0.15984638492237907</v>
      </c>
      <c r="L14" s="36">
        <f>SUMIF(불량차감!$J:$J,'주차별 매출이익 보고서'!B14,불량차감!$F:$F)</f>
        <v>-106364</v>
      </c>
      <c r="M14" s="32">
        <f>IFERROR(-(L14/C14),"")</f>
        <v>0.035495522012503056</v>
      </c>
      <c r="N14" s="24">
        <f>SUMIF(판매현황!I:I,'주차별 매출이익 보고서'!B14,판매현황!E:E)</f>
        <v>3122729</v>
      </c>
      <c r="O14" s="15">
        <f>SUMIF('그 외 매출액'!J:J,'주차별 매출이익 보고서'!B14,'그 외 매출액'!F:F)</f>
        <v>-19818</v>
      </c>
      <c r="P14" s="33">
        <f>Q14*R14</f>
        <v>2199773.5560000003</v>
      </c>
      <c r="Q14" s="26">
        <f>SUMIF(구매현황!N:N,'주차별 매출이익 보고서'!B14,구매현황!G:G)</f>
        <v>1444.9</v>
      </c>
      <c r="R14" s="37">
        <v>1522.44</v>
      </c>
      <c r="S14" s="28">
        <f>SUMIF(포워딩!$N:$N,'주차별 매출이익 보고서'!B14,포워딩!$G:$G)</f>
        <v>650.43</v>
      </c>
      <c r="T14" s="33">
        <f t="shared" si="6"/>
        <v>990240.6492</v>
      </c>
      <c r="U14" s="35">
        <f t="shared" si="7"/>
        <v>0.015452661452353153</v>
      </c>
    </row>
    <row r="15" ht="33.75" customHeight="1" spans="2:21" x14ac:dyDescent="0.25">
      <c r="B15" s="30" t="s">
        <v>30</v>
      </c>
      <c r="C15" s="15">
        <f t="shared" si="0"/>
        <v>7772472</v>
      </c>
      <c r="D15" s="16">
        <f t="shared" si="1"/>
        <v>0.031806488569140604</v>
      </c>
      <c r="E15" s="18"/>
      <c r="F15" s="18">
        <v>242459.2</v>
      </c>
      <c r="G15" s="17">
        <f t="shared" si="10"/>
        <v>5224438.109999999</v>
      </c>
      <c r="H15" s="18">
        <f>그외통관비!I40</f>
        <v>1465640</v>
      </c>
      <c r="I15" s="19">
        <f t="shared" si="3"/>
        <v>6447618.909999999</v>
      </c>
      <c r="J15" s="20">
        <f>C15-I15</f>
        <v>1324853.0900000008</v>
      </c>
      <c r="K15" s="21">
        <f t="shared" si="4"/>
        <v>0.1704545336412921</v>
      </c>
      <c r="L15" s="22">
        <f>SUMIF(불량차감!$J:$J,'주차별 매출이익 보고서'!B15,불량차감!$F:$F)</f>
        <v>-1639999</v>
      </c>
      <c r="M15" s="32">
        <f t="shared" si="5"/>
        <v>0.21100095310732545</v>
      </c>
      <c r="N15" s="24">
        <f>SUMIF(판매현황!I:I,'주차별 매출이익 보고서'!B15,판매현황!E:E)</f>
        <v>10089562</v>
      </c>
      <c r="O15" s="15">
        <f>SUMIF('그 외 매출액'!J:J,'주차별 매출이익 보고서'!B15,'그 외 매출액'!F:F)</f>
        <v>-677091</v>
      </c>
      <c r="P15" s="33">
        <f>Q15*R15</f>
        <v>3614426.4</v>
      </c>
      <c r="Q15" s="39">
        <f>SUMIF(구매현황!N:N,'주차별 매출이익 보고서'!B15,구매현황!G:G)</f>
        <v>16120</v>
      </c>
      <c r="R15" s="37">
        <v>224.22</v>
      </c>
      <c r="S15" s="40">
        <f>SUMIF(포워딩!$N:$N,'주차별 매출이익 보고서'!B15,포워딩!$G:$G)</f>
        <v>7180.5</v>
      </c>
      <c r="T15" s="33">
        <f t="shared" si="6"/>
        <v>1610011.71</v>
      </c>
      <c r="U15" s="35">
        <f t="shared" si="7"/>
        <v>0.02539011679238841</v>
      </c>
    </row>
    <row r="16" ht="33.75" customHeight="1" spans="2:21" x14ac:dyDescent="0.25">
      <c r="B16" s="30" t="s">
        <v>31</v>
      </c>
      <c r="C16" s="15">
        <f>N16+L16+O16</f>
        <v>2610910</v>
      </c>
      <c r="D16" s="16">
        <f t="shared" si="1"/>
        <v>0.010684358730408405</v>
      </c>
      <c r="E16" s="18"/>
      <c r="F16" s="18"/>
      <c r="G16" s="17">
        <f t="shared" si="10"/>
        <v>2031620.0580000002</v>
      </c>
      <c r="H16" s="18">
        <f>그외통관비!I41</f>
        <v>618740</v>
      </c>
      <c r="I16" s="19">
        <f>E16+G16+H16-F16</f>
        <v>2650360.058</v>
      </c>
      <c r="J16" s="20">
        <f>C16-I16</f>
        <v>-39450.058000000194</v>
      </c>
      <c r="K16" s="21">
        <f>IFERROR((J16/C16),"")</f>
        <v>-0.015109696619186487</v>
      </c>
      <c r="L16" s="36">
        <f>SUMIF(불량차감!$J:$J,'주차별 매출이익 보고서'!B16,불량차감!$F:$F)</f>
        <v>0</v>
      </c>
      <c r="M16" s="32">
        <f t="shared" ref="M16:M23" si="11">IFERROR(-(L16/C16),"")</f>
        <v>0</v>
      </c>
      <c r="N16" s="24">
        <f>SUMIF(판매현황!I:I,'주차별 매출이익 보고서'!B16,판매현황!E:E)</f>
        <v>2654546</v>
      </c>
      <c r="O16" s="15">
        <f>SUMIF('그 외 매출액'!J:J,'주차별 매출이익 보고서'!B16,'그 외 매출액'!F:F)</f>
        <v>-43636</v>
      </c>
      <c r="P16" s="33">
        <f t="shared" si="8"/>
        <v>1202727.6</v>
      </c>
      <c r="Q16" s="26">
        <f>SUMIF(구매현황!N:N,'주차별 매출이익 보고서'!B16,구매현황!G:G)</f>
        <v>790</v>
      </c>
      <c r="R16" s="37">
        <v>1522.44</v>
      </c>
      <c r="S16" s="28">
        <f>SUMIF(포워딩!$N:$N,'주차별 매출이익 보고서'!B16,포워딩!$G:$G)</f>
        <v>544.45</v>
      </c>
      <c r="T16" s="33">
        <f t="shared" si="6"/>
        <v>828892.4580000001</v>
      </c>
      <c r="U16" s="35">
        <f t="shared" si="7"/>
        <v>0.008448752541600796</v>
      </c>
    </row>
    <row r="17" ht="33.75" customHeight="1" spans="2:25" x14ac:dyDescent="0.25">
      <c r="B17" s="30" t="s">
        <v>32</v>
      </c>
      <c r="C17" s="17">
        <f t="shared" si="0"/>
        <v>0</v>
      </c>
      <c r="D17" s="16">
        <f t="shared" si="1"/>
        <v>0</v>
      </c>
      <c r="E17" s="18"/>
      <c r="F17" s="18"/>
      <c r="G17" s="17">
        <f t="shared" si="10"/>
        <v>0</v>
      </c>
      <c r="H17" s="18">
        <f>그외통관비!I39</f>
        <v>0</v>
      </c>
      <c r="I17" s="19">
        <f>E17+G17+H17-F17</f>
        <v>0</v>
      </c>
      <c r="J17" s="41">
        <f>C17-I17</f>
        <v>0</v>
      </c>
      <c r="K17" s="21">
        <f>IFERROR((J17/C17),"")</f>
      </c>
      <c r="L17" s="36">
        <f>SUMIF(불량차감!$J:$J,'주차별 매출이익 보고서'!B17,불량차감!$F:$F)</f>
        <v>0</v>
      </c>
      <c r="M17" s="32">
        <f t="shared" si="11"/>
      </c>
      <c r="N17" s="24">
        <f>SUMIF(판매현황!I:I,'주차별 매출이익 보고서'!B17,판매현황!E:E)</f>
        <v>0</v>
      </c>
      <c r="O17" s="15">
        <f>SUMIF('그 외 매출액'!J:J,'주차별 매출이익 보고서'!B17,'그 외 매출액'!F:F)</f>
        <v>0</v>
      </c>
      <c r="P17" s="33">
        <f t="shared" si="8"/>
        <v>0</v>
      </c>
      <c r="Q17" s="26">
        <f>SUMIF(구매현황!N:N,'주차별 매출이익 보고서'!B17,구매현황!G:G)</f>
        <v>0</v>
      </c>
      <c r="R17" s="27"/>
      <c r="S17" s="28"/>
      <c r="T17" s="33">
        <f t="shared" si="6"/>
        <v>0</v>
      </c>
      <c r="U17" s="35">
        <f t="shared" si="7"/>
        <v>0</v>
      </c>
      <c r="Y17" t="s">
        <v>33</v>
      </c>
    </row>
    <row r="18" ht="33.75" customHeight="1" hidden="1" spans="2:21" x14ac:dyDescent="0.25">
      <c r="B18" s="42" t="s">
        <v>34</v>
      </c>
      <c r="C18" s="17">
        <f>N18+L18+O18</f>
        <v>0</v>
      </c>
      <c r="D18" s="16">
        <f t="shared" si="1"/>
        <v>0</v>
      </c>
      <c r="E18" s="18"/>
      <c r="F18" s="18"/>
      <c r="G18" s="17">
        <f t="shared" si="10"/>
        <v>0</v>
      </c>
      <c r="H18" s="18">
        <f>그외통관비!I42</f>
        <v>0</v>
      </c>
      <c r="I18" s="19">
        <f>E18+G18+H18</f>
        <v>0</v>
      </c>
      <c r="J18" s="41">
        <f>C18-I18+F18</f>
        <v>0</v>
      </c>
      <c r="K18" s="21">
        <f>IFERROR((J18/(C18+F18)),"")</f>
      </c>
      <c r="L18" s="36">
        <f>SUMIF(불량차감!$J:$J,'주차별 매출이익 보고서'!B18,불량차감!$F:$F)</f>
        <v>0</v>
      </c>
      <c r="M18" s="32">
        <f t="shared" si="11"/>
      </c>
      <c r="N18" s="24">
        <f>SUMIF(판매현황!I:I,'주차별 매출이익 보고서'!B18,판매현황!E:E)</f>
        <v>0</v>
      </c>
      <c r="O18" s="15">
        <f>SUMIF('그 외 매출액'!J:J,'주차별 매출이익 보고서'!B18,'그 외 매출액'!F:F)</f>
        <v>0</v>
      </c>
      <c r="P18" s="33">
        <f t="shared" si="8"/>
        <v>0</v>
      </c>
      <c r="Q18" s="26">
        <f>SUMIF(구매현황!N:N,'주차별 매출이익 보고서'!B18,구매현황!G:G)</f>
        <v>0</v>
      </c>
      <c r="R18" s="27"/>
      <c r="S18" s="28">
        <f>SUMIF(포워딩!$N:$N,'주차별 매출이익 보고서'!B18,포워딩!$G:$G)</f>
        <v>0</v>
      </c>
      <c r="T18" s="33">
        <f t="shared" si="6"/>
        <v>0</v>
      </c>
      <c r="U18" s="35">
        <f t="shared" si="7"/>
        <v>0</v>
      </c>
    </row>
    <row r="19" ht="33.75" customHeight="1" hidden="1" spans="2:21" x14ac:dyDescent="0.25">
      <c r="B19" s="42" t="s">
        <v>35</v>
      </c>
      <c r="C19" s="43">
        <f>N19+L19+O19</f>
        <v>0</v>
      </c>
      <c r="D19" s="44">
        <f t="shared" si="1"/>
        <v>0</v>
      </c>
      <c r="E19" s="45"/>
      <c r="F19" s="45"/>
      <c r="G19" s="43">
        <f t="shared" si="10"/>
        <v>0</v>
      </c>
      <c r="H19" s="45">
        <f>그외통관비!I43</f>
        <v>0</v>
      </c>
      <c r="I19" s="19">
        <f>E19+G19+H19</f>
        <v>0</v>
      </c>
      <c r="J19" s="41">
        <f>C19-I19+F19</f>
        <v>0</v>
      </c>
      <c r="K19" s="21">
        <f>IFERROR((J19/(C19+F19)),"")</f>
      </c>
      <c r="L19" s="36">
        <f>SUMIF(불량차감!$J:$J,'주차별 매출이익 보고서'!B19,불량차감!$F:$F)</f>
        <v>0</v>
      </c>
      <c r="M19" s="46">
        <f t="shared" si="11"/>
      </c>
      <c r="N19" s="47">
        <f>SUMIF(판매현황!I:I,'주차별 매출이익 보고서'!B19,판매현황!E:E)</f>
        <v>0</v>
      </c>
      <c r="O19" s="48">
        <f>SUMIF('그 외 매출액'!J:J,'주차별 매출이익 보고서'!B19,'그 외 매출액'!F:F)</f>
        <v>0</v>
      </c>
      <c r="P19" s="49">
        <f>Q19*R19</f>
        <v>0</v>
      </c>
      <c r="Q19" s="50">
        <f>SUMIF(구매현황!N:N,'주차별 매출이익 보고서'!B19,구매현황!G:G)</f>
        <v>0</v>
      </c>
      <c r="R19" s="51"/>
      <c r="S19" s="52">
        <f>SUMIF(포워딩!$N:$N,'주차별 매출이익 보고서'!B19,포워딩!$G:$G)</f>
        <v>0</v>
      </c>
      <c r="T19" s="49">
        <f>S19*R19</f>
        <v>0</v>
      </c>
      <c r="U19" s="53">
        <f>P19/$P$23</f>
        <v>0</v>
      </c>
    </row>
    <row r="20" ht="33.75" customHeight="1" hidden="1" spans="2:21" x14ac:dyDescent="0.25">
      <c r="B20" s="42" t="s">
        <v>36</v>
      </c>
      <c r="C20" s="18">
        <f>N20+L20+O20</f>
        <v>0</v>
      </c>
      <c r="D20" s="54">
        <f t="shared" si="1"/>
        <v>0</v>
      </c>
      <c r="E20" s="45"/>
      <c r="F20" s="45"/>
      <c r="G20" s="45">
        <f t="shared" si="10"/>
        <v>0</v>
      </c>
      <c r="H20" s="45">
        <f>그외통관비!I44</f>
        <v>0</v>
      </c>
      <c r="I20" s="19">
        <f>E20+G20+H20</f>
        <v>0</v>
      </c>
      <c r="J20" s="41">
        <f>C20-I20+F20</f>
        <v>0</v>
      </c>
      <c r="K20" s="55">
        <f>IFERROR((J20/(C20+F20)),"")</f>
      </c>
      <c r="L20" s="36">
        <f>SUMIF(불량차감!$J:$J,'주차별 매출이익 보고서'!B20,불량차감!$F:$F)</f>
        <v>0</v>
      </c>
      <c r="M20" s="46">
        <f t="shared" si="11"/>
      </c>
      <c r="N20" s="56">
        <f>SUMIF(판매현황!I:I,'주차별 매출이익 보고서'!B20,판매현황!E:E)</f>
        <v>0</v>
      </c>
      <c r="O20" s="57">
        <f>SUMIF('그 외 매출액'!J:J,'주차별 매출이익 보고서'!B20,'그 외 매출액'!F:F)</f>
        <v>0</v>
      </c>
      <c r="P20" s="33">
        <f>Q20*R20</f>
        <v>0</v>
      </c>
      <c r="Q20" s="58">
        <f>SUMIF(구매현황!N:N,'주차별 매출이익 보고서'!B20,구매현황!G:G)</f>
        <v>0</v>
      </c>
      <c r="R20" s="59"/>
      <c r="S20" s="34">
        <f>SUMIF(포워딩!$N:$N,'주차별 매출이익 보고서'!B20,포워딩!$G:$G)</f>
        <v>0</v>
      </c>
      <c r="T20" s="33">
        <f>S20*R20</f>
        <v>0</v>
      </c>
      <c r="U20" s="35">
        <f>P20/$P$23</f>
        <v>0</v>
      </c>
    </row>
    <row r="21" ht="33.75" customHeight="1" spans="2:25" x14ac:dyDescent="0.25">
      <c r="B21" s="30" t="s">
        <v>37</v>
      </c>
      <c r="C21" s="15">
        <f>N21+L21+O21</f>
        <v>22993000</v>
      </c>
      <c r="D21" s="16">
        <f>IFERROR((C21/$C$23),"")</f>
        <v>0.09409189144332071</v>
      </c>
      <c r="E21" s="18"/>
      <c r="F21" s="18">
        <f>(G21+H21)/SUMIF(구매현황!N:N,'주차별 매출이익 보고서'!B21,구매현황!D:D)*SUM(재고잔량!M152:M155)</f>
        <v>909607.4687068964</v>
      </c>
      <c r="G21" s="17">
        <f t="shared" si="10"/>
        <v>19399858.56</v>
      </c>
      <c r="H21" s="18">
        <f>그외통관비!I45</f>
        <v>1188330</v>
      </c>
      <c r="I21" s="19">
        <f>E21+G21+H21-F21</f>
        <v>19678581.091293104</v>
      </c>
      <c r="J21" s="20">
        <f>C21-I21</f>
        <v>3314418.908706896</v>
      </c>
      <c r="K21" s="21">
        <f>IFERROR((J21/C21),"")</f>
        <v>0.144149041391158</v>
      </c>
      <c r="L21" s="36">
        <f>SUMIF(불량차감!$J:$J,'주차별 매출이익 보고서'!B21,불량차감!$F:$F)</f>
        <v>0</v>
      </c>
      <c r="M21" s="32">
        <f>IFERROR(-(L21/C21),"")</f>
        <v>0</v>
      </c>
      <c r="N21" s="24">
        <f>SUMIF(판매현황!I:I,'주차별 매출이익 보고서'!B21,판매현황!E:E)</f>
        <v>23088000</v>
      </c>
      <c r="O21" s="15">
        <f>SUMIF('그 외 매출액'!J:J,'주차별 매출이익 보고서'!B21,'그 외 매출액'!F:F)</f>
        <v>-95000</v>
      </c>
      <c r="P21" s="33">
        <f>Q21*R21</f>
        <v>19399858.56</v>
      </c>
      <c r="Q21" s="26">
        <f>SUMIF(구매현황!N:N,'주차별 매출이익 보고서'!B21,구매현황!G:G)</f>
        <v>12528</v>
      </c>
      <c r="R21" s="27">
        <v>1548.52</v>
      </c>
      <c r="S21" s="28"/>
      <c r="T21" s="33">
        <f>S21*R21</f>
        <v>0</v>
      </c>
      <c r="U21" s="35">
        <f>P21/$P$23</f>
        <v>0.1362774117061053</v>
      </c>
      <c r="Y21" t="s">
        <v>33</v>
      </c>
    </row>
    <row r="22" ht="33.75" customHeight="1" spans="2:79" x14ac:dyDescent="0.25">
      <c r="B22" s="60" t="s">
        <v>38</v>
      </c>
      <c r="C22" s="15">
        <f>N22+L22+O22</f>
        <v>619546</v>
      </c>
      <c r="D22" s="44">
        <f t="shared" si="1"/>
        <v>0.002535304439444334</v>
      </c>
      <c r="E22" s="43"/>
      <c r="F22" s="43"/>
      <c r="G22" s="43"/>
      <c r="H22" s="43">
        <v>0</v>
      </c>
      <c r="I22" s="19">
        <f>E22+G22+H22-F22</f>
        <v>0</v>
      </c>
      <c r="J22" s="41">
        <f>C22-I22</f>
        <v>619546</v>
      </c>
      <c r="K22" s="21">
        <f>IFERROR((J22/C22),"")</f>
        <v>1</v>
      </c>
      <c r="L22" s="36">
        <f>SUMIF(불량차감!$J:$J,'주차별 매출이익 보고서'!B22,불량차감!$F:$F)</f>
        <v>0</v>
      </c>
      <c r="M22" s="32">
        <f>IFERROR(-(L22/C22),"")</f>
        <v>0</v>
      </c>
      <c r="N22" s="24">
        <f>SUMIF(판매현황!I:I,'주차별 매출이익 보고서'!B22,판매현황!E:E)</f>
        <v>0</v>
      </c>
      <c r="O22" s="15">
        <f>SUMIF('그 외 매출액'!J:J,'주차별 매출이익 보고서'!B22,'그 외 매출액'!F:F)</f>
        <v>619546</v>
      </c>
      <c r="P22" s="49"/>
      <c r="Q22" s="50"/>
      <c r="R22" s="51"/>
      <c r="S22" s="52"/>
      <c r="T22" s="49"/>
      <c r="U22" s="53"/>
      <c r="CA22" t="s">
        <v>39</v>
      </c>
    </row>
    <row r="23" ht="27" customHeight="1" spans="2:21" s="61" customFormat="1" x14ac:dyDescent="0.25">
      <c r="B23" s="62"/>
      <c r="C23" s="63">
        <f>SUM(C7:C22)</f>
        <v>244367497</v>
      </c>
      <c r="D23" s="64">
        <f>SUM(D7:D22)</f>
        <v>1</v>
      </c>
      <c r="E23" s="63">
        <f>SUM(E7:E22)</f>
        <v>13229405.2035</v>
      </c>
      <c r="F23" s="63">
        <f>SUM(F7:F22)</f>
        <v>21966629.47508684</v>
      </c>
      <c r="G23" s="63">
        <f>SUM(G7:G21)</f>
        <v>214091241.8802</v>
      </c>
      <c r="H23" s="63">
        <f>SUM(H7:H21)</f>
        <v>11460110</v>
      </c>
      <c r="I23" s="65">
        <f>SUM(I7:I21)</f>
        <v>216814127.6086131</v>
      </c>
      <c r="J23" s="66">
        <f>SUM(J7:J22)</f>
        <v>27553369.391386844</v>
      </c>
      <c r="K23" s="67">
        <f>IFERROR((J23/(C23+F23)),"")</f>
        <v>0.10345414519743948</v>
      </c>
      <c r="L23" s="68">
        <f>SUM(L7:L21)</f>
        <v>-4188089</v>
      </c>
      <c r="M23" s="67">
        <f t="shared" si="11"/>
        <v>0.017138486302046955</v>
      </c>
      <c r="N23" s="69">
        <f>SUM(N7:N21)</f>
        <v>251443402</v>
      </c>
      <c r="O23" s="70">
        <f>SUM(O7:O21)</f>
        <v>-3507362</v>
      </c>
      <c r="P23" s="71">
        <f>SUM(P7:P21)</f>
        <v>142355642.9281</v>
      </c>
      <c r="Q23" s="72">
        <f>SUM(Q7:Q21)</f>
        <v>105128.02</v>
      </c>
      <c r="R23" s="73"/>
      <c r="S23" s="74">
        <f>SUM(S7:S21)</f>
        <v>52310.32999999999</v>
      </c>
      <c r="T23" s="71">
        <f>SUM(T7:T21)</f>
        <v>71735598.95210001</v>
      </c>
      <c r="U23" s="75">
        <f>SUM(U7:U20)</f>
        <v>0.8637225882938948</v>
      </c>
    </row>
    <row r="24" ht="17.25" customHeight="1" spans="2:11" x14ac:dyDescent="0.25">
      <c r="B24" s="76"/>
      <c r="J24" s="61"/>
      <c r="K24" s="61"/>
    </row>
    <row r="25" ht="18" customHeight="1" spans="2:2" x14ac:dyDescent="0.25">
      <c r="B25" s="77" t="s">
        <v>40</v>
      </c>
    </row>
    <row r="26" ht="17.25" customHeight="1" x14ac:dyDescent="0.25"/>
    <row r="27" ht="20.25" customHeight="1" spans="2:15" x14ac:dyDescent="0.25"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80"/>
      <c r="O27" s="81"/>
    </row>
    <row r="28" ht="20.1" customHeight="1" spans="2:15" x14ac:dyDescent="0.25"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4"/>
      <c r="O28" s="81"/>
    </row>
    <row r="29" ht="20.1" customHeight="1" spans="2:15" x14ac:dyDescent="0.25"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4"/>
      <c r="O29" s="81"/>
    </row>
    <row r="30" ht="50.25" customHeight="1" spans="2:15" x14ac:dyDescent="0.25">
      <c r="B30" s="85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7"/>
      <c r="O30" s="81"/>
    </row>
    <row r="32" spans="3:4" x14ac:dyDescent="0.25">
      <c r="C32" s="88"/>
      <c r="D32" s="88"/>
    </row>
    <row r="33" spans="3:4" x14ac:dyDescent="0.25">
      <c r="C33" s="88"/>
      <c r="D33" s="88"/>
    </row>
  </sheetData>
  <mergeCells count="1">
    <mergeCell ref="B27:M30"/>
  </mergeCells>
  <printOptions horizontalCentered="1"/>
  <pageMargins left="0.11811023622047245" right="0.11811023622047245" top="0.5511811023622047" bottom="0.5511811023622047" header="0.11811023622047245" footer="0.11811023622047245"/>
  <pageSetup paperSize="9" orientation="landscape" horizontalDpi="4294967295" verticalDpi="4294967295" scale="63" fitToWidth="1" fitToHeight="1" firstPageNumber="1" useFirstPageNumber="1" copies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5"/>
  <sheetViews>
    <sheetView workbookViewId="0" zoomScale="100" zoomScaleNormal="100">
      <selection activeCell="D22" sqref="D22"/>
    </sheetView>
  </sheetViews>
  <sheetFormatPr defaultRowHeight="16.5" outlineLevelRow="0" outlineLevelCol="0" x14ac:dyDescent="0" customHeight="1"/>
  <cols>
    <col min="2" max="2" width="17.875" customWidth="1"/>
    <col min="3" max="3" width="15.125" customWidth="1"/>
    <col min="4" max="4" width="13.5" customWidth="1"/>
    <col min="5" max="5" width="13.625" customWidth="1"/>
    <col min="6" max="7" width="14.625" customWidth="1"/>
    <col min="8" max="8" width="15.375" customWidth="1"/>
    <col min="9" max="11" width="12.625" customWidth="1"/>
    <col min="12" max="12" width="11.875" customWidth="1"/>
  </cols>
  <sheetData>
    <row r="3" spans="2:8" x14ac:dyDescent="0.25">
      <c r="B3" t="s">
        <v>138</v>
      </c>
      <c r="C3">
        <v>460</v>
      </c>
      <c r="H3" t="s">
        <v>139</v>
      </c>
    </row>
    <row r="4" spans="2:12" x14ac:dyDescent="0.25">
      <c r="B4" s="117" t="s">
        <v>45</v>
      </c>
      <c r="C4" s="117" t="s">
        <v>140</v>
      </c>
      <c r="D4" s="117" t="s">
        <v>141</v>
      </c>
      <c r="E4" s="117" t="s">
        <v>142</v>
      </c>
      <c r="F4" s="117" t="s">
        <v>143</v>
      </c>
      <c r="H4" s="117" t="s">
        <v>45</v>
      </c>
      <c r="I4" s="117" t="s">
        <v>140</v>
      </c>
      <c r="J4" s="117" t="s">
        <v>141</v>
      </c>
      <c r="K4" s="117" t="s">
        <v>142</v>
      </c>
      <c r="L4" s="117" t="s">
        <v>143</v>
      </c>
    </row>
    <row r="5" spans="2:12" x14ac:dyDescent="0.25">
      <c r="B5" s="94" t="s">
        <v>22</v>
      </c>
      <c r="C5" s="95">
        <v>2857</v>
      </c>
      <c r="D5" s="95">
        <v>1743</v>
      </c>
      <c r="E5" s="95">
        <f>(C5+D5)*$C$3</f>
        <v>2116000</v>
      </c>
      <c r="F5" s="118">
        <f t="shared" ref="F5:F14" si="0">E5</f>
        <v>2116000</v>
      </c>
      <c r="H5" s="94" t="s">
        <v>22</v>
      </c>
      <c r="I5" s="119"/>
      <c r="J5" s="119"/>
      <c r="K5" s="119">
        <f t="shared" ref="K5:K11" si="1">I5+J5</f>
        <v>0</v>
      </c>
      <c r="L5" s="119">
        <f>K5</f>
        <v>0</v>
      </c>
    </row>
    <row r="6" spans="2:12" x14ac:dyDescent="0.25">
      <c r="B6" s="94" t="s">
        <v>27</v>
      </c>
      <c r="C6" s="95"/>
      <c r="D6" s="95">
        <v>491</v>
      </c>
      <c r="E6" s="95">
        <f t="shared" ref="E6:E11" si="2">(C6+D6)*$C$3</f>
        <v>225860</v>
      </c>
      <c r="F6" s="118">
        <f t="shared" si="0"/>
        <v>225860</v>
      </c>
      <c r="H6" s="94" t="s">
        <v>27</v>
      </c>
      <c r="I6" s="95"/>
      <c r="J6" s="95">
        <v>258260</v>
      </c>
      <c r="K6" s="95">
        <f t="shared" si="1"/>
        <v>258260</v>
      </c>
      <c r="L6" s="95">
        <f t="shared" ref="L6:L14" si="3">K6</f>
        <v>258260</v>
      </c>
    </row>
    <row r="7" spans="2:12" x14ac:dyDescent="0.25">
      <c r="B7" s="94" t="s">
        <v>29</v>
      </c>
      <c r="C7" s="95">
        <v>137</v>
      </c>
      <c r="D7" s="95"/>
      <c r="E7" s="95">
        <f t="shared" si="2"/>
        <v>63020</v>
      </c>
      <c r="F7" s="118">
        <f t="shared" si="0"/>
        <v>63020</v>
      </c>
      <c r="H7" s="94" t="s">
        <v>29</v>
      </c>
      <c r="I7" s="95">
        <v>159500</v>
      </c>
      <c r="J7" s="95"/>
      <c r="K7" s="95">
        <f t="shared" si="1"/>
        <v>159500</v>
      </c>
      <c r="L7" s="95">
        <f t="shared" si="3"/>
        <v>159500</v>
      </c>
    </row>
    <row r="8" spans="2:12" x14ac:dyDescent="0.25">
      <c r="B8" s="94" t="s">
        <v>28</v>
      </c>
      <c r="C8" s="95"/>
      <c r="D8" s="95"/>
      <c r="E8" s="95">
        <f t="shared" si="2"/>
        <v>0</v>
      </c>
      <c r="F8" s="118">
        <f t="shared" si="0"/>
        <v>0</v>
      </c>
      <c r="H8" s="94" t="s">
        <v>28</v>
      </c>
      <c r="I8" s="95"/>
      <c r="J8" s="95"/>
      <c r="K8" s="95">
        <f t="shared" si="1"/>
        <v>0</v>
      </c>
      <c r="L8" s="95">
        <f t="shared" si="3"/>
        <v>0</v>
      </c>
    </row>
    <row r="9" spans="2:12" x14ac:dyDescent="0.25">
      <c r="B9" s="94" t="s">
        <v>32</v>
      </c>
      <c r="C9" s="95"/>
      <c r="D9" s="95"/>
      <c r="E9" s="95">
        <f>(C9+D9)*$C$3</f>
        <v>0</v>
      </c>
      <c r="F9" s="118">
        <f t="shared" si="0"/>
        <v>0</v>
      </c>
      <c r="H9" s="94" t="s">
        <v>32</v>
      </c>
      <c r="I9" s="119"/>
      <c r="J9" s="119"/>
      <c r="K9" s="119">
        <f t="shared" si="1"/>
        <v>0</v>
      </c>
      <c r="L9" s="119">
        <f t="shared" si="3"/>
        <v>0</v>
      </c>
    </row>
    <row r="10" spans="2:12" x14ac:dyDescent="0.25">
      <c r="B10" s="94" t="s">
        <v>30</v>
      </c>
      <c r="C10" s="95">
        <v>178</v>
      </c>
      <c r="D10" s="95">
        <v>259</v>
      </c>
      <c r="E10" s="95">
        <f t="shared" si="2"/>
        <v>201020</v>
      </c>
      <c r="F10" s="118">
        <f t="shared" si="0"/>
        <v>201020</v>
      </c>
      <c r="H10" s="94" t="s">
        <v>30</v>
      </c>
      <c r="I10" s="95">
        <v>433400</v>
      </c>
      <c r="J10" s="95">
        <v>687220</v>
      </c>
      <c r="K10" s="95">
        <f>I10+J10</f>
        <v>1120620</v>
      </c>
      <c r="L10" s="95">
        <f t="shared" si="3"/>
        <v>1120620</v>
      </c>
    </row>
    <row r="11" spans="2:12" x14ac:dyDescent="0.25">
      <c r="B11" s="94" t="s">
        <v>31</v>
      </c>
      <c r="C11" s="95">
        <v>104</v>
      </c>
      <c r="D11" s="95"/>
      <c r="E11" s="95">
        <f t="shared" si="2"/>
        <v>47840</v>
      </c>
      <c r="F11" s="118">
        <f t="shared" si="0"/>
        <v>47840</v>
      </c>
      <c r="H11" s="94" t="s">
        <v>31</v>
      </c>
      <c r="I11" s="95">
        <v>507900</v>
      </c>
      <c r="J11" s="95"/>
      <c r="K11" s="95">
        <f t="shared" si="1"/>
        <v>507900</v>
      </c>
      <c r="L11" s="95">
        <f t="shared" si="3"/>
        <v>507900</v>
      </c>
    </row>
    <row r="12" hidden="1" spans="2:12" x14ac:dyDescent="0.25">
      <c r="B12" s="94" t="s">
        <v>34</v>
      </c>
      <c r="C12" s="95"/>
      <c r="D12" s="95"/>
      <c r="E12" s="95">
        <f>(C12+D12)*$C$3</f>
        <v>0</v>
      </c>
      <c r="F12" s="120">
        <f t="shared" si="0"/>
        <v>0</v>
      </c>
      <c r="H12" s="94" t="s">
        <v>34</v>
      </c>
      <c r="I12" s="95"/>
      <c r="J12" s="95"/>
      <c r="K12" s="95">
        <f>I12+J12</f>
        <v>0</v>
      </c>
      <c r="L12" s="95">
        <f t="shared" si="3"/>
        <v>0</v>
      </c>
    </row>
    <row r="13" hidden="1" spans="2:12" x14ac:dyDescent="0.25">
      <c r="B13" s="94" t="s">
        <v>35</v>
      </c>
      <c r="C13" s="95"/>
      <c r="D13" s="95"/>
      <c r="E13" s="95">
        <f>(C13+D13)*$C$3</f>
        <v>0</v>
      </c>
      <c r="F13" s="120">
        <f t="shared" si="0"/>
        <v>0</v>
      </c>
      <c r="H13" s="94" t="s">
        <v>35</v>
      </c>
      <c r="I13" s="95"/>
      <c r="J13" s="95"/>
      <c r="K13" s="95">
        <f>I13+J13</f>
        <v>0</v>
      </c>
      <c r="L13" s="95">
        <f t="shared" si="3"/>
        <v>0</v>
      </c>
    </row>
    <row r="14" hidden="1" spans="2:12" x14ac:dyDescent="0.25">
      <c r="B14" s="94" t="s">
        <v>36</v>
      </c>
      <c r="C14" s="95"/>
      <c r="D14" s="95"/>
      <c r="E14" s="95">
        <f>(C14+D14)*$C$3</f>
        <v>0</v>
      </c>
      <c r="F14" s="120">
        <f t="shared" si="0"/>
        <v>0</v>
      </c>
      <c r="H14" s="94" t="s">
        <v>36</v>
      </c>
      <c r="I14" s="95"/>
      <c r="J14" s="95"/>
      <c r="K14" s="95">
        <f>I14+J14</f>
        <v>0</v>
      </c>
      <c r="L14" s="95">
        <f t="shared" si="3"/>
        <v>0</v>
      </c>
    </row>
    <row r="15" spans="2:12" x14ac:dyDescent="0.25">
      <c r="B15" s="94" t="s">
        <v>37</v>
      </c>
      <c r="C15" s="95">
        <v>324</v>
      </c>
      <c r="D15" s="95"/>
      <c r="E15" s="95">
        <f>(C15+D15)*$C$3</f>
        <v>149040</v>
      </c>
      <c r="F15" s="118">
        <f>E15</f>
        <v>149040</v>
      </c>
      <c r="H15" s="94" t="s">
        <v>37</v>
      </c>
      <c r="I15" s="95">
        <v>969990</v>
      </c>
      <c r="J15" s="95"/>
      <c r="K15" s="95">
        <f>I15+J15</f>
        <v>969990</v>
      </c>
      <c r="L15" s="95">
        <f>K15</f>
        <v>969990</v>
      </c>
    </row>
    <row r="18" spans="2:8" x14ac:dyDescent="0.25">
      <c r="B18" t="s">
        <v>144</v>
      </c>
      <c r="H18" t="s">
        <v>145</v>
      </c>
    </row>
    <row r="19" spans="2:15" x14ac:dyDescent="0.25">
      <c r="B19" s="117" t="s">
        <v>45</v>
      </c>
      <c r="C19" s="117" t="s">
        <v>140</v>
      </c>
      <c r="D19" s="117" t="s">
        <v>141</v>
      </c>
      <c r="E19" s="117" t="s">
        <v>142</v>
      </c>
      <c r="F19" s="117" t="s">
        <v>143</v>
      </c>
      <c r="H19" s="117" t="s">
        <v>45</v>
      </c>
      <c r="I19" s="117" t="s">
        <v>140</v>
      </c>
      <c r="J19" s="117" t="s">
        <v>141</v>
      </c>
      <c r="K19" s="117" t="s">
        <v>142</v>
      </c>
      <c r="L19" s="117" t="s">
        <v>143</v>
      </c>
      <c r="N19" s="121" t="s">
        <v>146</v>
      </c>
      <c r="O19" s="121" t="s">
        <v>142</v>
      </c>
    </row>
    <row r="20" spans="2:15" x14ac:dyDescent="0.25">
      <c r="B20" s="94" t="s">
        <v>22</v>
      </c>
      <c r="C20" s="95">
        <f>29700+39600</f>
        <v>69300</v>
      </c>
      <c r="D20" s="95">
        <f>29700+39600</f>
        <v>69300</v>
      </c>
      <c r="E20" s="95">
        <f t="shared" ref="E20:E26" si="4">C20+D20</f>
        <v>138600</v>
      </c>
      <c r="F20" s="118">
        <f t="shared" ref="F20:F26" si="5">E20/1.1</f>
        <v>125999.99999999999</v>
      </c>
      <c r="H20" s="94" t="s">
        <v>22</v>
      </c>
      <c r="I20" s="95"/>
      <c r="J20" s="95"/>
      <c r="K20" s="95">
        <f t="shared" ref="K20:K26" si="6">I20+J20</f>
        <v>0</v>
      </c>
      <c r="L20" s="120">
        <f t="shared" ref="L20:L26" si="7">K20/1.1</f>
        <v>0</v>
      </c>
      <c r="N20" s="121" t="s">
        <v>147</v>
      </c>
      <c r="O20" s="121">
        <v>99000</v>
      </c>
    </row>
    <row r="21" spans="2:15" x14ac:dyDescent="0.25">
      <c r="B21" s="94" t="s">
        <v>27</v>
      </c>
      <c r="C21" s="95"/>
      <c r="D21" s="95">
        <f>29700+108900</f>
        <v>138600</v>
      </c>
      <c r="E21" s="95">
        <f t="shared" si="4"/>
        <v>138600</v>
      </c>
      <c r="F21" s="118">
        <f t="shared" si="5"/>
        <v>125999.99999999999</v>
      </c>
      <c r="H21" s="94" t="s">
        <v>27</v>
      </c>
      <c r="I21" s="95"/>
      <c r="J21" s="95"/>
      <c r="K21" s="95">
        <f t="shared" si="6"/>
        <v>0</v>
      </c>
      <c r="L21" s="120">
        <f t="shared" si="7"/>
        <v>0</v>
      </c>
      <c r="N21" s="122" t="s">
        <v>148</v>
      </c>
      <c r="O21" s="121">
        <v>187000</v>
      </c>
    </row>
    <row r="22" spans="2:15" x14ac:dyDescent="0.25">
      <c r="B22" s="94" t="s">
        <v>29</v>
      </c>
      <c r="C22" s="95">
        <f>29700+39600</f>
        <v>69300</v>
      </c>
      <c r="D22" s="95"/>
      <c r="E22" s="95">
        <f t="shared" si="4"/>
        <v>69300</v>
      </c>
      <c r="F22" s="118">
        <f t="shared" si="5"/>
        <v>62999.99999999999</v>
      </c>
      <c r="H22" s="94" t="s">
        <v>29</v>
      </c>
      <c r="I22" s="95"/>
      <c r="J22" s="95"/>
      <c r="K22" s="95">
        <f t="shared" si="6"/>
        <v>0</v>
      </c>
      <c r="L22" s="120">
        <f t="shared" si="7"/>
        <v>0</v>
      </c>
      <c r="N22" s="122" t="s">
        <v>149</v>
      </c>
      <c r="O22" s="121">
        <v>275000</v>
      </c>
    </row>
    <row r="23" spans="2:12" x14ac:dyDescent="0.25">
      <c r="B23" s="94" t="s">
        <v>28</v>
      </c>
      <c r="C23" s="95"/>
      <c r="D23" s="95"/>
      <c r="E23" s="95">
        <f t="shared" si="4"/>
        <v>0</v>
      </c>
      <c r="F23" s="118">
        <f t="shared" si="5"/>
        <v>0</v>
      </c>
      <c r="H23" s="94" t="s">
        <v>28</v>
      </c>
      <c r="I23" s="95"/>
      <c r="J23" s="95"/>
      <c r="K23" s="95">
        <f t="shared" si="6"/>
        <v>0</v>
      </c>
      <c r="L23" s="120">
        <f t="shared" si="7"/>
        <v>0</v>
      </c>
    </row>
    <row r="24" spans="2:12" x14ac:dyDescent="0.25">
      <c r="B24" s="94" t="s">
        <v>32</v>
      </c>
      <c r="C24" s="95"/>
      <c r="D24" s="95"/>
      <c r="E24" s="95">
        <f t="shared" si="4"/>
        <v>0</v>
      </c>
      <c r="F24" s="118">
        <f t="shared" si="5"/>
        <v>0</v>
      </c>
      <c r="H24" s="94" t="s">
        <v>32</v>
      </c>
      <c r="I24" s="95"/>
      <c r="J24" s="95"/>
      <c r="K24" s="95">
        <f t="shared" si="6"/>
        <v>0</v>
      </c>
      <c r="L24" s="120">
        <f t="shared" si="7"/>
        <v>0</v>
      </c>
    </row>
    <row r="25" spans="2:12" x14ac:dyDescent="0.25">
      <c r="B25" s="94" t="s">
        <v>30</v>
      </c>
      <c r="C25" s="95">
        <f>29700+39600</f>
        <v>69300</v>
      </c>
      <c r="D25" s="95">
        <f>29700+59400</f>
        <v>89100</v>
      </c>
      <c r="E25" s="95">
        <f t="shared" si="4"/>
        <v>158400</v>
      </c>
      <c r="F25" s="118">
        <f t="shared" si="5"/>
        <v>144000</v>
      </c>
      <c r="H25" s="94" t="s">
        <v>30</v>
      </c>
      <c r="I25" s="95"/>
      <c r="J25" s="95"/>
      <c r="K25" s="95">
        <f t="shared" si="6"/>
        <v>0</v>
      </c>
      <c r="L25" s="120">
        <f t="shared" si="7"/>
        <v>0</v>
      </c>
    </row>
    <row r="26" spans="2:12" x14ac:dyDescent="0.25">
      <c r="B26" s="94" t="s">
        <v>31</v>
      </c>
      <c r="C26" s="95">
        <f>29700+39600</f>
        <v>69300</v>
      </c>
      <c r="D26" s="95"/>
      <c r="E26" s="95">
        <f t="shared" si="4"/>
        <v>69300</v>
      </c>
      <c r="F26" s="118">
        <f t="shared" si="5"/>
        <v>62999.99999999999</v>
      </c>
      <c r="H26" s="94" t="s">
        <v>31</v>
      </c>
      <c r="I26" s="95"/>
      <c r="J26" s="95"/>
      <c r="K26" s="95">
        <f t="shared" si="6"/>
        <v>0</v>
      </c>
      <c r="L26" s="120">
        <f t="shared" si="7"/>
        <v>0</v>
      </c>
    </row>
    <row r="27" hidden="1" spans="2:12" x14ac:dyDescent="0.25">
      <c r="B27" s="94" t="s">
        <v>34</v>
      </c>
      <c r="C27" s="95"/>
      <c r="D27" s="95"/>
      <c r="E27" s="95">
        <f>C27+D27</f>
        <v>0</v>
      </c>
      <c r="F27" s="120">
        <f>E27/1.1</f>
        <v>0</v>
      </c>
      <c r="H27" s="94" t="s">
        <v>34</v>
      </c>
      <c r="I27" s="95"/>
      <c r="J27" s="95"/>
      <c r="K27" s="95">
        <f>I27+J27</f>
        <v>0</v>
      </c>
      <c r="L27" s="120">
        <f>K27/1.1</f>
        <v>0</v>
      </c>
    </row>
    <row r="28" hidden="1" spans="2:12" x14ac:dyDescent="0.25">
      <c r="B28" s="94" t="s">
        <v>35</v>
      </c>
      <c r="C28" s="95"/>
      <c r="D28" s="95"/>
      <c r="E28" s="95">
        <f>C28+D28</f>
        <v>0</v>
      </c>
      <c r="F28" s="120">
        <f>E28/1.1</f>
        <v>0</v>
      </c>
      <c r="H28" s="94" t="s">
        <v>35</v>
      </c>
      <c r="I28" s="95"/>
      <c r="J28" s="95"/>
      <c r="K28" s="95">
        <f>I28+J28</f>
        <v>0</v>
      </c>
      <c r="L28" s="120">
        <f>K28/1.1</f>
        <v>0</v>
      </c>
    </row>
    <row r="29" hidden="1" spans="2:12" x14ac:dyDescent="0.25">
      <c r="B29" s="94" t="s">
        <v>36</v>
      </c>
      <c r="C29" s="95"/>
      <c r="D29" s="95"/>
      <c r="E29" s="95">
        <f>C29+D29</f>
        <v>0</v>
      </c>
      <c r="F29" s="120">
        <f>E29/1.1</f>
        <v>0</v>
      </c>
      <c r="H29" s="94" t="s">
        <v>36</v>
      </c>
      <c r="I29" s="95"/>
      <c r="J29" s="95"/>
      <c r="K29" s="95">
        <f>I29+J29</f>
        <v>0</v>
      </c>
      <c r="L29" s="120">
        <f>K29/1.1</f>
        <v>0</v>
      </c>
    </row>
    <row r="30" spans="2:12" x14ac:dyDescent="0.25">
      <c r="B30" s="94" t="s">
        <v>37</v>
      </c>
      <c r="C30" s="95">
        <f>29700+39600</f>
        <v>69300</v>
      </c>
      <c r="D30" s="95"/>
      <c r="E30" s="95">
        <f>C30+D30</f>
        <v>69300</v>
      </c>
      <c r="F30" s="118">
        <f>E30</f>
        <v>69300</v>
      </c>
      <c r="H30" s="94" t="s">
        <v>37</v>
      </c>
      <c r="I30" s="95"/>
      <c r="J30" s="95"/>
      <c r="K30" s="95">
        <f>I30+J30</f>
        <v>0</v>
      </c>
      <c r="L30" s="120">
        <f>K30/1.1</f>
        <v>0</v>
      </c>
    </row>
    <row r="33" spans="2:8" x14ac:dyDescent="0.25">
      <c r="B33" t="s">
        <v>150</v>
      </c>
      <c r="H33" t="s">
        <v>151</v>
      </c>
    </row>
    <row r="34" spans="2:9" x14ac:dyDescent="0.25">
      <c r="B34" s="117" t="s">
        <v>45</v>
      </c>
      <c r="C34" s="117" t="s">
        <v>140</v>
      </c>
      <c r="D34" s="117" t="s">
        <v>141</v>
      </c>
      <c r="E34" s="117" t="s">
        <v>142</v>
      </c>
      <c r="F34" s="117" t="s">
        <v>143</v>
      </c>
      <c r="H34" s="117" t="s">
        <v>45</v>
      </c>
      <c r="I34" s="117" t="s">
        <v>142</v>
      </c>
    </row>
    <row r="35" spans="2:9" x14ac:dyDescent="0.25">
      <c r="B35" s="94" t="s">
        <v>22</v>
      </c>
      <c r="C35" s="95"/>
      <c r="D35" s="95"/>
      <c r="E35" s="95">
        <f t="shared" ref="E35:E41" si="8">C35+D35</f>
        <v>0</v>
      </c>
      <c r="F35" s="120">
        <f t="shared" ref="F35:F41" si="9">E35/1.1</f>
        <v>0</v>
      </c>
      <c r="H35" s="94" t="s">
        <v>22</v>
      </c>
      <c r="I35" s="95">
        <f t="shared" ref="I35:I45" si="10">F5+L5+F20+L20+F35</f>
        <v>2242000</v>
      </c>
    </row>
    <row r="36" spans="2:9" x14ac:dyDescent="0.25">
      <c r="B36" s="94" t="s">
        <v>27</v>
      </c>
      <c r="C36" s="95"/>
      <c r="D36" s="95"/>
      <c r="E36" s="95">
        <f t="shared" si="8"/>
        <v>0</v>
      </c>
      <c r="F36" s="120">
        <f t="shared" si="9"/>
        <v>0</v>
      </c>
      <c r="H36" s="94" t="s">
        <v>27</v>
      </c>
      <c r="I36" s="95">
        <f t="shared" si="10"/>
        <v>610120</v>
      </c>
    </row>
    <row r="37" spans="2:9" x14ac:dyDescent="0.25">
      <c r="B37" s="94" t="s">
        <v>29</v>
      </c>
      <c r="C37" s="95"/>
      <c r="D37" s="95"/>
      <c r="E37" s="95">
        <f t="shared" si="8"/>
        <v>0</v>
      </c>
      <c r="F37" s="120">
        <f t="shared" si="9"/>
        <v>0</v>
      </c>
      <c r="H37" s="94" t="s">
        <v>29</v>
      </c>
      <c r="I37" s="95">
        <f t="shared" si="10"/>
        <v>285520</v>
      </c>
    </row>
    <row r="38" spans="2:9" x14ac:dyDescent="0.25">
      <c r="B38" s="94" t="s">
        <v>28</v>
      </c>
      <c r="C38" s="95">
        <v>0</v>
      </c>
      <c r="D38" s="95">
        <v>0</v>
      </c>
      <c r="E38" s="95">
        <f t="shared" si="8"/>
        <v>0</v>
      </c>
      <c r="F38" s="120">
        <f t="shared" si="9"/>
        <v>0</v>
      </c>
      <c r="H38" s="94" t="s">
        <v>28</v>
      </c>
      <c r="I38" s="95">
        <f t="shared" si="10"/>
        <v>0</v>
      </c>
    </row>
    <row r="39" spans="2:9" x14ac:dyDescent="0.25">
      <c r="B39" s="94" t="s">
        <v>32</v>
      </c>
      <c r="C39" s="95">
        <v>0</v>
      </c>
      <c r="D39" s="95">
        <v>0</v>
      </c>
      <c r="E39" s="95">
        <f t="shared" si="8"/>
        <v>0</v>
      </c>
      <c r="F39" s="120">
        <f t="shared" si="9"/>
        <v>0</v>
      </c>
      <c r="H39" s="94" t="s">
        <v>32</v>
      </c>
      <c r="I39" s="95">
        <f t="shared" si="10"/>
        <v>0</v>
      </c>
    </row>
    <row r="40" spans="2:9" x14ac:dyDescent="0.25">
      <c r="B40" s="94" t="s">
        <v>30</v>
      </c>
      <c r="C40" s="95"/>
      <c r="D40" s="95"/>
      <c r="E40" s="95">
        <f t="shared" si="8"/>
        <v>0</v>
      </c>
      <c r="F40" s="120">
        <f t="shared" si="9"/>
        <v>0</v>
      </c>
      <c r="H40" s="94" t="s">
        <v>30</v>
      </c>
      <c r="I40" s="95">
        <f t="shared" si="10"/>
        <v>1465640</v>
      </c>
    </row>
    <row r="41" spans="2:9" x14ac:dyDescent="0.25">
      <c r="B41" s="94" t="s">
        <v>31</v>
      </c>
      <c r="C41" s="95"/>
      <c r="D41" s="95"/>
      <c r="E41" s="95">
        <f t="shared" si="8"/>
        <v>0</v>
      </c>
      <c r="F41" s="120">
        <f t="shared" si="9"/>
        <v>0</v>
      </c>
      <c r="H41" s="94" t="s">
        <v>31</v>
      </c>
      <c r="I41" s="95">
        <f t="shared" si="10"/>
        <v>618740</v>
      </c>
    </row>
    <row r="42" hidden="1" spans="2:9" x14ac:dyDescent="0.25">
      <c r="B42" s="94" t="s">
        <v>34</v>
      </c>
      <c r="C42" s="95"/>
      <c r="D42" s="95"/>
      <c r="E42" s="95">
        <f>C42+D42</f>
        <v>0</v>
      </c>
      <c r="F42" s="120">
        <f>E42/1.1</f>
        <v>0</v>
      </c>
      <c r="H42" s="94" t="s">
        <v>34</v>
      </c>
      <c r="I42" s="95">
        <f t="shared" si="10"/>
        <v>0</v>
      </c>
    </row>
    <row r="43" hidden="1" spans="2:9" x14ac:dyDescent="0.25">
      <c r="B43" s="94" t="s">
        <v>35</v>
      </c>
      <c r="C43" s="95"/>
      <c r="D43" s="95"/>
      <c r="E43" s="95">
        <f>C43+D43</f>
        <v>0</v>
      </c>
      <c r="F43" s="120">
        <f>E43/1.1</f>
        <v>0</v>
      </c>
      <c r="H43" s="94" t="s">
        <v>35</v>
      </c>
      <c r="I43" s="95">
        <f t="shared" si="10"/>
        <v>0</v>
      </c>
    </row>
    <row r="44" hidden="1" spans="2:9" x14ac:dyDescent="0.25">
      <c r="B44" s="94" t="s">
        <v>36</v>
      </c>
      <c r="C44" s="95"/>
      <c r="D44" s="95"/>
      <c r="E44" s="95">
        <f>C44+D44</f>
        <v>0</v>
      </c>
      <c r="F44" s="120">
        <f>E44/1.1</f>
        <v>0</v>
      </c>
      <c r="H44" s="94" t="s">
        <v>36</v>
      </c>
      <c r="I44" s="95">
        <f t="shared" si="10"/>
        <v>0</v>
      </c>
    </row>
    <row r="45" spans="2:9" x14ac:dyDescent="0.25">
      <c r="B45" s="94" t="s">
        <v>37</v>
      </c>
      <c r="C45" s="95"/>
      <c r="D45" s="95"/>
      <c r="E45" s="95">
        <f>(C45+D45)*$C$3</f>
        <v>0</v>
      </c>
      <c r="F45" s="118">
        <f>E45</f>
        <v>0</v>
      </c>
      <c r="H45" s="94" t="s">
        <v>37</v>
      </c>
      <c r="I45" s="95">
        <f t="shared" si="10"/>
        <v>1188330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 zoomScale="85" zoomScaleNormal="85">
      <selection activeCell="D87" sqref="D87"/>
    </sheetView>
  </sheetViews>
  <sheetFormatPr defaultRowHeight="16.5" outlineLevelRow="0" outlineLevelCol="0" x14ac:dyDescent="0" customHeight="1"/>
  <cols>
    <col min="1" max="1" width="14.625" style="123" customWidth="1"/>
    <col min="2" max="2" width="34.625" style="123" customWidth="1"/>
    <col min="3" max="3" width="21" style="123" customWidth="1"/>
    <col min="4" max="4" width="11.875" style="123" customWidth="1"/>
    <col min="5" max="7" width="14.625" style="123" customWidth="1"/>
    <col min="8" max="8" width="17.125" style="123" customWidth="1"/>
    <col min="9" max="9" width="14.625" style="123" customWidth="1"/>
    <col min="10" max="10" width="17.125" style="123" customWidth="1"/>
    <col min="11" max="13" width="14.625" style="123" customWidth="1"/>
    <col min="14" max="14" width="9" style="124" customWidth="1"/>
    <col min="15" max="16384" width="9" style="123" customWidth="1"/>
  </cols>
  <sheetData>
    <row r="1" spans="1:1" x14ac:dyDescent="0.25">
      <c r="A1" s="125"/>
    </row>
    <row r="2" ht="17.25" customHeight="1" spans="1:13" x14ac:dyDescent="0.25">
      <c r="A2" s="126" t="s">
        <v>152</v>
      </c>
      <c r="B2" s="126" t="s">
        <v>153</v>
      </c>
      <c r="C2" s="126" t="s">
        <v>154</v>
      </c>
      <c r="D2" s="126" t="s">
        <v>155</v>
      </c>
      <c r="E2" s="127" t="s">
        <v>156</v>
      </c>
      <c r="F2" s="127" t="s">
        <v>157</v>
      </c>
      <c r="G2" s="127" t="s">
        <v>158</v>
      </c>
      <c r="H2" s="126" t="s">
        <v>143</v>
      </c>
      <c r="I2" s="127" t="s">
        <v>18</v>
      </c>
      <c r="J2" s="126" t="s">
        <v>151</v>
      </c>
      <c r="K2" s="127" t="s">
        <v>159</v>
      </c>
      <c r="L2" s="127" t="s">
        <v>160</v>
      </c>
      <c r="M2" s="127" t="s">
        <v>161</v>
      </c>
    </row>
    <row r="3" ht="17.25" customHeight="1" hidden="1" spans="1:14" x14ac:dyDescent="0.25">
      <c r="A3" s="128"/>
      <c r="B3" s="129"/>
      <c r="C3" s="129"/>
      <c r="D3" s="111"/>
      <c r="E3" s="130"/>
      <c r="F3" s="130"/>
      <c r="G3" s="131"/>
      <c r="H3" s="132"/>
      <c r="I3" s="131"/>
      <c r="J3" s="132"/>
      <c r="K3" s="128"/>
      <c r="L3" s="128"/>
      <c r="M3" s="128"/>
      <c r="N3" s="133">
        <f>IF(ISNUMBER(SEARCH("VIETNAM",C3)),"베트남",
IF(ISNUMBER(SEARCH("service fee",C3)),IF(ISNUMBER(SEARCH("funza",B3)),"콜롬비아 알스트로",IF(ISNUMBER(SEARCH("INVOS",B3)),"콜롬비아 장미","")),
IF(ISNUMBER(SEARCH("CHINA",C3)),"중국",
IF(ISNUMBER(SEARCH("ecuador",C3)),"에콰도르",
IF(ISNUMBER(SEARCH("ALSTROMERIA",C3)),"콜롬비아 알스트로",
IF(ISNUMBER(SEARCH("Banker Bush",C3)),"호주",
IF(OR(ISNUMBER(SEARCH("Beargrass",C3)),ISNUMBER(SEARCH("Douglas",C3)),ISNUMBER(SEARCH("SALAL TIPS",C3))),"미국",
IF(ISNUMBER(SEARCH("tulip",C3)),"네덜란드",
IF(ISNUMBER(SEARCH("sweet pea",C3)),"일본",
IF(ISNUMBER(SEARCH("PAEONIA",C3)),"뉴질랜드",
IF(ISNUMBER(SEARCH("Hydrangea",C3)),"콜롬비아 수국",
IF(ISNUMBER(SEARCH("ruscus",C3)),"콜롬비아 루스커스",
IF(OR(ISNUMBER(SEARCH("minicarnation",C3)),ISNUMBER(SEARCH("CARNATION",C3))),"콜롬비아 카네이션",
IF(ISNUMBER(SEARCH("rose",C3)),"콜롬비아 장미",
IF(ISNUMBER(SEARCH("den",C3)),"태국","")))))))))))))))</f>
      </c>
    </row>
    <row r="4" ht="17.25" customHeight="1" hidden="1" spans="1:14" x14ac:dyDescent="0.25">
      <c r="A4" s="128"/>
      <c r="B4" s="129"/>
      <c r="C4" s="129"/>
      <c r="D4" s="111"/>
      <c r="E4" s="130"/>
      <c r="F4" s="130"/>
      <c r="G4" s="131"/>
      <c r="H4" s="132"/>
      <c r="I4" s="131"/>
      <c r="J4" s="132"/>
      <c r="K4" s="128"/>
      <c r="L4" s="128"/>
      <c r="M4" s="128"/>
      <c r="N4" s="133"/>
    </row>
    <row r="5" ht="34.5" customHeight="1" hidden="1" spans="1:14" x14ac:dyDescent="0.25">
      <c r="A5" s="128"/>
      <c r="B5" s="129"/>
      <c r="C5" s="129"/>
      <c r="D5" s="111"/>
      <c r="E5" s="130"/>
      <c r="F5" s="130"/>
      <c r="G5" s="131"/>
      <c r="H5" s="132"/>
      <c r="I5" s="131"/>
      <c r="J5" s="132"/>
      <c r="K5" s="128"/>
      <c r="L5" s="128"/>
      <c r="M5" s="128"/>
      <c r="N5" s="133"/>
    </row>
    <row r="6" ht="34.5" customHeight="1" hidden="1" spans="1:14" x14ac:dyDescent="0.25">
      <c r="A6" s="128"/>
      <c r="B6" s="129"/>
      <c r="C6" s="129"/>
      <c r="D6" s="111"/>
      <c r="E6" s="130"/>
      <c r="F6" s="130"/>
      <c r="G6" s="131"/>
      <c r="H6" s="132"/>
      <c r="I6" s="131"/>
      <c r="J6" s="132"/>
      <c r="K6" s="128"/>
      <c r="L6" s="128"/>
      <c r="M6" s="128"/>
      <c r="N6" s="133"/>
    </row>
    <row r="7" ht="34.5" customHeight="1" hidden="1" spans="1:14" x14ac:dyDescent="0.25">
      <c r="A7" s="128"/>
      <c r="B7" s="129"/>
      <c r="C7" s="129"/>
      <c r="D7" s="111"/>
      <c r="E7" s="130"/>
      <c r="F7" s="130"/>
      <c r="G7" s="131"/>
      <c r="H7" s="132"/>
      <c r="I7" s="131"/>
      <c r="J7" s="132"/>
      <c r="K7" s="128"/>
      <c r="L7" s="128"/>
      <c r="M7" s="128"/>
      <c r="N7" s="133"/>
    </row>
    <row r="8" ht="17.25" customHeight="1" hidden="1" spans="1:14" x14ac:dyDescent="0.25">
      <c r="A8" s="128"/>
      <c r="B8" s="129"/>
      <c r="C8" s="129"/>
      <c r="D8" s="111"/>
      <c r="E8" s="130"/>
      <c r="F8" s="130"/>
      <c r="G8" s="131"/>
      <c r="H8" s="132"/>
      <c r="I8" s="131"/>
      <c r="J8" s="132"/>
      <c r="K8" s="128"/>
      <c r="L8" s="128"/>
      <c r="M8" s="128"/>
      <c r="N8" s="133"/>
    </row>
    <row r="9" ht="17.25" customHeight="1" hidden="1" spans="1:14" x14ac:dyDescent="0.25">
      <c r="A9" s="128"/>
      <c r="B9" s="129"/>
      <c r="C9" s="129"/>
      <c r="D9" s="111"/>
      <c r="E9" s="130"/>
      <c r="F9" s="130"/>
      <c r="G9" s="131"/>
      <c r="H9" s="132"/>
      <c r="I9" s="131"/>
      <c r="J9" s="132"/>
      <c r="K9" s="128"/>
      <c r="L9" s="128"/>
      <c r="M9" s="128"/>
      <c r="N9" s="133"/>
    </row>
    <row r="10" ht="17.25" customHeight="1" hidden="1" spans="1:14" x14ac:dyDescent="0.25">
      <c r="A10" s="128"/>
      <c r="B10" s="129"/>
      <c r="C10" s="129"/>
      <c r="D10" s="111"/>
      <c r="E10" s="130"/>
      <c r="F10" s="130"/>
      <c r="G10" s="131"/>
      <c r="H10" s="132"/>
      <c r="I10" s="131"/>
      <c r="J10" s="132"/>
      <c r="K10" s="128"/>
      <c r="L10" s="128"/>
      <c r="M10" s="128"/>
      <c r="N10" s="133"/>
    </row>
    <row r="11" ht="17.25" customHeight="1" hidden="1" spans="1:14" x14ac:dyDescent="0.25">
      <c r="A11" s="128"/>
      <c r="B11" s="129"/>
      <c r="C11" s="129"/>
      <c r="D11" s="111"/>
      <c r="E11" s="130"/>
      <c r="F11" s="130"/>
      <c r="G11" s="131"/>
      <c r="H11" s="132"/>
      <c r="I11" s="131"/>
      <c r="J11" s="132"/>
      <c r="K11" s="128"/>
      <c r="L11" s="128"/>
      <c r="M11" s="128"/>
      <c r="N11" s="133"/>
    </row>
    <row r="12" ht="17.25" customHeight="1" hidden="1" spans="1:14" x14ac:dyDescent="0.25">
      <c r="A12" s="128"/>
      <c r="B12" s="129"/>
      <c r="C12" s="129"/>
      <c r="D12" s="111"/>
      <c r="E12" s="130"/>
      <c r="F12" s="130"/>
      <c r="G12" s="131"/>
      <c r="H12" s="132"/>
      <c r="I12" s="131"/>
      <c r="J12" s="132"/>
      <c r="K12" s="128"/>
      <c r="L12" s="128"/>
      <c r="M12" s="128"/>
      <c r="N12" s="133"/>
    </row>
    <row r="13" ht="34.5" customHeight="1" hidden="1" spans="1:14" x14ac:dyDescent="0.25">
      <c r="A13" s="128"/>
      <c r="B13" s="129"/>
      <c r="C13" s="129"/>
      <c r="D13" s="111"/>
      <c r="E13" s="130"/>
      <c r="F13" s="130"/>
      <c r="G13" s="131"/>
      <c r="H13" s="132"/>
      <c r="I13" s="131"/>
      <c r="J13" s="132"/>
      <c r="K13" s="128"/>
      <c r="L13" s="128"/>
      <c r="M13" s="128"/>
      <c r="N13" s="133"/>
    </row>
    <row r="14" ht="34.5" customHeight="1" hidden="1" spans="1:14" x14ac:dyDescent="0.25">
      <c r="A14" s="128"/>
      <c r="B14" s="129"/>
      <c r="C14" s="129"/>
      <c r="D14" s="111"/>
      <c r="E14" s="130"/>
      <c r="F14" s="130"/>
      <c r="G14" s="131"/>
      <c r="H14" s="132"/>
      <c r="I14" s="131"/>
      <c r="J14" s="132"/>
      <c r="K14" s="128"/>
      <c r="L14" s="128"/>
      <c r="M14" s="128"/>
      <c r="N14" s="133"/>
    </row>
    <row r="15" ht="34.5" customHeight="1" hidden="1" spans="1:14" x14ac:dyDescent="0.25">
      <c r="A15" s="128"/>
      <c r="B15" s="129"/>
      <c r="C15" s="129"/>
      <c r="D15" s="111"/>
      <c r="E15" s="130"/>
      <c r="F15" s="130"/>
      <c r="G15" s="131"/>
      <c r="H15" s="132"/>
      <c r="I15" s="131"/>
      <c r="J15" s="132"/>
      <c r="K15" s="128"/>
      <c r="L15" s="128"/>
      <c r="M15" s="128"/>
      <c r="N15" s="133"/>
    </row>
    <row r="16" ht="34.5" customHeight="1" hidden="1" spans="1:14" x14ac:dyDescent="0.25">
      <c r="A16" s="128"/>
      <c r="B16" s="129"/>
      <c r="C16" s="129"/>
      <c r="D16" s="111"/>
      <c r="E16" s="130"/>
      <c r="F16" s="130"/>
      <c r="G16" s="131"/>
      <c r="H16" s="132"/>
      <c r="I16" s="131"/>
      <c r="J16" s="132"/>
      <c r="K16" s="128"/>
      <c r="L16" s="128"/>
      <c r="M16" s="128"/>
      <c r="N16" s="133"/>
    </row>
    <row r="17" ht="34.5" customHeight="1" hidden="1" spans="1:14" x14ac:dyDescent="0.25">
      <c r="A17" s="128"/>
      <c r="B17" s="129"/>
      <c r="C17" s="129"/>
      <c r="D17" s="111"/>
      <c r="E17" s="130"/>
      <c r="F17" s="130"/>
      <c r="G17" s="131"/>
      <c r="H17" s="132"/>
      <c r="I17" s="131"/>
      <c r="J17" s="132"/>
      <c r="K17" s="128"/>
      <c r="L17" s="128"/>
      <c r="M17" s="128"/>
      <c r="N17" s="133"/>
    </row>
    <row r="18" ht="34.5" customHeight="1" hidden="1" spans="1:14" x14ac:dyDescent="0.25">
      <c r="A18" s="128"/>
      <c r="B18" s="129"/>
      <c r="C18" s="129"/>
      <c r="D18" s="111"/>
      <c r="E18" s="130"/>
      <c r="F18" s="130"/>
      <c r="G18" s="131"/>
      <c r="H18" s="132"/>
      <c r="I18" s="131"/>
      <c r="J18" s="132"/>
      <c r="K18" s="128"/>
      <c r="L18" s="128"/>
      <c r="M18" s="128"/>
      <c r="N18" s="133"/>
    </row>
    <row r="19" ht="34.5" customHeight="1" hidden="1" spans="1:14" x14ac:dyDescent="0.25">
      <c r="A19" s="128"/>
      <c r="B19" s="129"/>
      <c r="C19" s="129"/>
      <c r="D19" s="111"/>
      <c r="E19" s="130"/>
      <c r="F19" s="130"/>
      <c r="G19" s="131"/>
      <c r="H19" s="132"/>
      <c r="I19" s="131"/>
      <c r="J19" s="132"/>
      <c r="K19" s="128"/>
      <c r="L19" s="128"/>
      <c r="M19" s="128"/>
      <c r="N19" s="133"/>
    </row>
    <row r="20" ht="34.5" customHeight="1" hidden="1" spans="1:14" x14ac:dyDescent="0.25">
      <c r="A20" s="128"/>
      <c r="B20" s="129"/>
      <c r="C20" s="129"/>
      <c r="D20" s="111"/>
      <c r="E20" s="130"/>
      <c r="F20" s="130"/>
      <c r="G20" s="131"/>
      <c r="H20" s="132"/>
      <c r="I20" s="131"/>
      <c r="J20" s="132"/>
      <c r="K20" s="128"/>
      <c r="L20" s="128"/>
      <c r="M20" s="128"/>
      <c r="N20" s="133"/>
    </row>
    <row r="21" ht="34.5" customHeight="1" hidden="1" spans="1:14" x14ac:dyDescent="0.25">
      <c r="A21" s="128"/>
      <c r="B21" s="129"/>
      <c r="C21" s="129"/>
      <c r="D21" s="111"/>
      <c r="E21" s="130"/>
      <c r="F21" s="130"/>
      <c r="G21" s="131"/>
      <c r="H21" s="132"/>
      <c r="I21" s="131"/>
      <c r="J21" s="132"/>
      <c r="K21" s="128"/>
      <c r="L21" s="128"/>
      <c r="M21" s="128"/>
      <c r="N21" s="133"/>
    </row>
    <row r="22" ht="34.5" customHeight="1" hidden="1" spans="1:14" x14ac:dyDescent="0.25">
      <c r="A22" s="128"/>
      <c r="B22" s="129"/>
      <c r="C22" s="129"/>
      <c r="D22" s="111"/>
      <c r="E22" s="130"/>
      <c r="F22" s="130"/>
      <c r="G22" s="131"/>
      <c r="H22" s="132"/>
      <c r="I22" s="131"/>
      <c r="J22" s="132"/>
      <c r="K22" s="128"/>
      <c r="L22" s="128"/>
      <c r="M22" s="128"/>
      <c r="N22" s="133"/>
    </row>
    <row r="23" ht="34.5" customHeight="1" hidden="1" spans="1:14" x14ac:dyDescent="0.25">
      <c r="A23" s="128"/>
      <c r="B23" s="129"/>
      <c r="C23" s="129"/>
      <c r="D23" s="111"/>
      <c r="E23" s="130"/>
      <c r="F23" s="130"/>
      <c r="G23" s="131"/>
      <c r="H23" s="132"/>
      <c r="I23" s="131"/>
      <c r="J23" s="132"/>
      <c r="K23" s="128"/>
      <c r="L23" s="128"/>
      <c r="M23" s="128"/>
      <c r="N23" s="133"/>
    </row>
    <row r="24" ht="34.5" customHeight="1" hidden="1" spans="1:14" x14ac:dyDescent="0.25">
      <c r="A24" s="128"/>
      <c r="B24" s="129"/>
      <c r="C24" s="129"/>
      <c r="D24" s="111"/>
      <c r="E24" s="130"/>
      <c r="F24" s="130"/>
      <c r="G24" s="131"/>
      <c r="H24" s="132"/>
      <c r="I24" s="131"/>
      <c r="J24" s="132"/>
      <c r="K24" s="128"/>
      <c r="L24" s="128"/>
      <c r="M24" s="128"/>
      <c r="N24" s="133"/>
    </row>
    <row r="25" ht="34.5" customHeight="1" hidden="1" spans="1:14" x14ac:dyDescent="0.25">
      <c r="A25" s="128"/>
      <c r="B25" s="129"/>
      <c r="C25" s="129"/>
      <c r="D25" s="111"/>
      <c r="E25" s="130"/>
      <c r="F25" s="130"/>
      <c r="G25" s="131"/>
      <c r="H25" s="132"/>
      <c r="I25" s="131"/>
      <c r="J25" s="132"/>
      <c r="K25" s="128"/>
      <c r="L25" s="128"/>
      <c r="M25" s="128"/>
      <c r="N25" s="133"/>
    </row>
    <row r="26" ht="34.5" customHeight="1" hidden="1" spans="1:14" x14ac:dyDescent="0.25">
      <c r="A26" s="128"/>
      <c r="B26" s="129"/>
      <c r="C26" s="129"/>
      <c r="D26" s="111"/>
      <c r="E26" s="130"/>
      <c r="F26" s="130"/>
      <c r="G26" s="131"/>
      <c r="H26" s="132"/>
      <c r="I26" s="131"/>
      <c r="J26" s="132"/>
      <c r="K26" s="128"/>
      <c r="L26" s="128"/>
      <c r="M26" s="128"/>
      <c r="N26" s="133"/>
    </row>
    <row r="27" ht="34.5" customHeight="1" hidden="1" spans="1:14" x14ac:dyDescent="0.25">
      <c r="A27" s="128"/>
      <c r="B27" s="129"/>
      <c r="C27" s="129"/>
      <c r="D27" s="111"/>
      <c r="E27" s="130"/>
      <c r="F27" s="130"/>
      <c r="G27" s="131"/>
      <c r="H27" s="132"/>
      <c r="I27" s="131"/>
      <c r="J27" s="132"/>
      <c r="K27" s="128"/>
      <c r="L27" s="128"/>
      <c r="M27" s="128"/>
      <c r="N27" s="133"/>
    </row>
    <row r="28" ht="34.5" customHeight="1" hidden="1" spans="1:14" x14ac:dyDescent="0.25">
      <c r="A28" s="128"/>
      <c r="B28" s="129"/>
      <c r="C28" s="129"/>
      <c r="D28" s="111"/>
      <c r="E28" s="130"/>
      <c r="F28" s="130"/>
      <c r="G28" s="131"/>
      <c r="H28" s="132"/>
      <c r="I28" s="131"/>
      <c r="J28" s="132"/>
      <c r="K28" s="128"/>
      <c r="L28" s="128"/>
      <c r="M28" s="128"/>
      <c r="N28" s="133"/>
    </row>
    <row r="29" ht="34.5" customHeight="1" hidden="1" spans="1:14" x14ac:dyDescent="0.25">
      <c r="A29" s="128"/>
      <c r="B29" s="129"/>
      <c r="C29" s="129"/>
      <c r="D29" s="111"/>
      <c r="E29" s="130"/>
      <c r="F29" s="130"/>
      <c r="G29" s="131"/>
      <c r="H29" s="132"/>
      <c r="I29" s="131"/>
      <c r="J29" s="132"/>
      <c r="K29" s="128"/>
      <c r="L29" s="128"/>
      <c r="M29" s="128"/>
      <c r="N29" s="133"/>
    </row>
    <row r="30" ht="34.5" customHeight="1" hidden="1" spans="1:14" x14ac:dyDescent="0.25">
      <c r="A30" s="128"/>
      <c r="B30" s="129"/>
      <c r="C30" s="129"/>
      <c r="D30" s="111"/>
      <c r="E30" s="130"/>
      <c r="F30" s="130"/>
      <c r="G30" s="131"/>
      <c r="H30" s="132"/>
      <c r="I30" s="131"/>
      <c r="J30" s="132"/>
      <c r="K30" s="128"/>
      <c r="L30" s="128"/>
      <c r="M30" s="128"/>
      <c r="N30" s="133"/>
    </row>
    <row r="31" ht="34.5" customHeight="1" hidden="1" spans="1:14" x14ac:dyDescent="0.25">
      <c r="A31" s="128"/>
      <c r="B31" s="129"/>
      <c r="C31" s="129"/>
      <c r="D31" s="111"/>
      <c r="E31" s="130"/>
      <c r="F31" s="130"/>
      <c r="G31" s="131"/>
      <c r="H31" s="132"/>
      <c r="I31" s="131"/>
      <c r="J31" s="132"/>
      <c r="K31" s="128"/>
      <c r="L31" s="128"/>
      <c r="M31" s="128"/>
      <c r="N31" s="133"/>
    </row>
    <row r="32" ht="34.5" customHeight="1" hidden="1" spans="1:14" x14ac:dyDescent="0.25">
      <c r="A32" s="128"/>
      <c r="B32" s="129"/>
      <c r="C32" s="129"/>
      <c r="D32" s="111"/>
      <c r="E32" s="130"/>
      <c r="F32" s="130"/>
      <c r="G32" s="131"/>
      <c r="H32" s="132"/>
      <c r="I32" s="131"/>
      <c r="J32" s="132"/>
      <c r="K32" s="128"/>
      <c r="L32" s="128"/>
      <c r="M32" s="128"/>
      <c r="N32" s="133"/>
    </row>
    <row r="33" ht="34.5" customHeight="1" hidden="1" spans="1:14" x14ac:dyDescent="0.25">
      <c r="A33" s="128"/>
      <c r="B33" s="129"/>
      <c r="C33" s="129"/>
      <c r="D33" s="111"/>
      <c r="E33" s="130"/>
      <c r="F33" s="130"/>
      <c r="G33" s="131"/>
      <c r="H33" s="132"/>
      <c r="I33" s="131"/>
      <c r="J33" s="132"/>
      <c r="K33" s="128"/>
      <c r="L33" s="128"/>
      <c r="M33" s="128"/>
      <c r="N33" s="133"/>
    </row>
    <row r="34" ht="34.5" customHeight="1" hidden="1" spans="1:14" x14ac:dyDescent="0.25">
      <c r="A34" s="128"/>
      <c r="B34" s="129"/>
      <c r="C34" s="129"/>
      <c r="D34" s="111"/>
      <c r="E34" s="130"/>
      <c r="F34" s="130"/>
      <c r="G34" s="131"/>
      <c r="H34" s="132"/>
      <c r="I34" s="131"/>
      <c r="J34" s="132"/>
      <c r="K34" s="128"/>
      <c r="L34" s="128"/>
      <c r="M34" s="128"/>
      <c r="N34" s="133"/>
    </row>
    <row r="35" ht="34.5" customHeight="1" hidden="1" spans="1:14" x14ac:dyDescent="0.25">
      <c r="A35" s="128"/>
      <c r="B35" s="129"/>
      <c r="C35" s="129"/>
      <c r="D35" s="111"/>
      <c r="E35" s="130"/>
      <c r="F35" s="130"/>
      <c r="G35" s="131"/>
      <c r="H35" s="132"/>
      <c r="I35" s="131"/>
      <c r="J35" s="132"/>
      <c r="K35" s="128"/>
      <c r="L35" s="128"/>
      <c r="M35" s="128"/>
      <c r="N35" s="133"/>
    </row>
    <row r="36" ht="34.5" customHeight="1" hidden="1" spans="1:14" x14ac:dyDescent="0.25">
      <c r="A36" s="128"/>
      <c r="B36" s="129"/>
      <c r="C36" s="129"/>
      <c r="D36" s="111"/>
      <c r="E36" s="130"/>
      <c r="F36" s="130"/>
      <c r="G36" s="131"/>
      <c r="H36" s="132"/>
      <c r="I36" s="131"/>
      <c r="J36" s="132"/>
      <c r="K36" s="128"/>
      <c r="L36" s="128"/>
      <c r="M36" s="128"/>
      <c r="N36" s="133"/>
    </row>
    <row r="37" ht="34.5" customHeight="1" hidden="1" spans="1:14" x14ac:dyDescent="0.25">
      <c r="A37" s="128"/>
      <c r="B37" s="129"/>
      <c r="C37" s="129"/>
      <c r="D37" s="111"/>
      <c r="E37" s="130"/>
      <c r="F37" s="130"/>
      <c r="G37" s="131"/>
      <c r="H37" s="132"/>
      <c r="I37" s="131"/>
      <c r="J37" s="132"/>
      <c r="K37" s="128"/>
      <c r="L37" s="128"/>
      <c r="M37" s="128"/>
      <c r="N37" s="133"/>
    </row>
    <row r="38" ht="34.5" customHeight="1" hidden="1" spans="1:14" x14ac:dyDescent="0.25">
      <c r="A38" s="128"/>
      <c r="B38" s="129"/>
      <c r="C38" s="129"/>
      <c r="D38" s="111"/>
      <c r="E38" s="130"/>
      <c r="F38" s="130"/>
      <c r="G38" s="131"/>
      <c r="H38" s="132"/>
      <c r="I38" s="131"/>
      <c r="J38" s="132"/>
      <c r="K38" s="128"/>
      <c r="L38" s="128"/>
      <c r="M38" s="128"/>
      <c r="N38" s="133"/>
    </row>
    <row r="39" ht="34.5" customHeight="1" hidden="1" spans="1:14" x14ac:dyDescent="0.25">
      <c r="A39" s="128"/>
      <c r="B39" s="129"/>
      <c r="C39" s="129"/>
      <c r="D39" s="111"/>
      <c r="E39" s="130"/>
      <c r="F39" s="130"/>
      <c r="G39" s="131"/>
      <c r="H39" s="132"/>
      <c r="I39" s="131"/>
      <c r="J39" s="132"/>
      <c r="K39" s="128"/>
      <c r="L39" s="128"/>
      <c r="M39" s="128"/>
      <c r="N39" s="133"/>
    </row>
    <row r="40" ht="34.5" customHeight="1" hidden="1" spans="1:14" x14ac:dyDescent="0.25">
      <c r="A40" s="128"/>
      <c r="B40" s="129"/>
      <c r="C40" s="129"/>
      <c r="D40" s="111"/>
      <c r="E40" s="130"/>
      <c r="F40" s="130"/>
      <c r="G40" s="131"/>
      <c r="H40" s="132"/>
      <c r="I40" s="131"/>
      <c r="J40" s="132"/>
      <c r="K40" s="128"/>
      <c r="L40" s="128"/>
      <c r="M40" s="128"/>
      <c r="N40" s="133"/>
    </row>
    <row r="41" ht="34.5" customHeight="1" hidden="1" spans="1:14" x14ac:dyDescent="0.25">
      <c r="A41" s="128"/>
      <c r="B41" s="129"/>
      <c r="C41" s="129"/>
      <c r="D41" s="111"/>
      <c r="E41" s="130"/>
      <c r="F41" s="130"/>
      <c r="G41" s="131"/>
      <c r="H41" s="132"/>
      <c r="I41" s="131"/>
      <c r="J41" s="132"/>
      <c r="K41" s="128"/>
      <c r="L41" s="128"/>
      <c r="M41" s="128"/>
      <c r="N41" s="133"/>
    </row>
    <row r="42" ht="34.5" customHeight="1" hidden="1" spans="1:14" x14ac:dyDescent="0.25">
      <c r="A42" s="128"/>
      <c r="B42" s="129"/>
      <c r="C42" s="129"/>
      <c r="D42" s="111"/>
      <c r="E42" s="130"/>
      <c r="F42" s="130"/>
      <c r="G42" s="131"/>
      <c r="H42" s="132"/>
      <c r="I42" s="131"/>
      <c r="J42" s="132"/>
      <c r="K42" s="128"/>
      <c r="L42" s="128"/>
      <c r="M42" s="128"/>
      <c r="N42" s="133"/>
    </row>
    <row r="43" ht="34.5" customHeight="1" hidden="1" spans="1:14" x14ac:dyDescent="0.25">
      <c r="A43" s="128"/>
      <c r="B43" s="129"/>
      <c r="C43" s="129"/>
      <c r="D43" s="111"/>
      <c r="E43" s="130"/>
      <c r="F43" s="130"/>
      <c r="G43" s="131"/>
      <c r="H43" s="132"/>
      <c r="I43" s="131"/>
      <c r="J43" s="132"/>
      <c r="K43" s="128"/>
      <c r="L43" s="128"/>
      <c r="M43" s="128"/>
      <c r="N43" s="133"/>
    </row>
    <row r="44" ht="34.5" customHeight="1" hidden="1" spans="1:14" x14ac:dyDescent="0.25">
      <c r="A44" s="128"/>
      <c r="B44" s="129"/>
      <c r="C44" s="129"/>
      <c r="D44" s="111"/>
      <c r="E44" s="130"/>
      <c r="F44" s="130"/>
      <c r="G44" s="131"/>
      <c r="H44" s="132"/>
      <c r="I44" s="131"/>
      <c r="J44" s="132"/>
      <c r="K44" s="128"/>
      <c r="L44" s="128"/>
      <c r="M44" s="128"/>
      <c r="N44" s="133"/>
    </row>
    <row r="45" ht="34.5" customHeight="1" hidden="1" spans="1:14" x14ac:dyDescent="0.25">
      <c r="A45" s="128"/>
      <c r="B45" s="129"/>
      <c r="C45" s="129"/>
      <c r="D45" s="111"/>
      <c r="E45" s="130"/>
      <c r="F45" s="130"/>
      <c r="G45" s="131"/>
      <c r="H45" s="132"/>
      <c r="I45" s="131"/>
      <c r="J45" s="132"/>
      <c r="K45" s="128"/>
      <c r="L45" s="128"/>
      <c r="M45" s="128"/>
      <c r="N45" s="133"/>
    </row>
    <row r="46" ht="34.5" customHeight="1" hidden="1" spans="1:14" x14ac:dyDescent="0.25">
      <c r="A46" s="128"/>
      <c r="B46" s="129"/>
      <c r="C46" s="129"/>
      <c r="D46" s="111"/>
      <c r="E46" s="130"/>
      <c r="F46" s="130"/>
      <c r="G46" s="131"/>
      <c r="H46" s="132"/>
      <c r="I46" s="131"/>
      <c r="J46" s="132"/>
      <c r="K46" s="128"/>
      <c r="L46" s="128"/>
      <c r="M46" s="128"/>
      <c r="N46" s="133"/>
    </row>
    <row r="47" ht="34.5" customHeight="1" hidden="1" spans="1:14" x14ac:dyDescent="0.25">
      <c r="A47" s="128"/>
      <c r="B47" s="129"/>
      <c r="C47" s="129"/>
      <c r="D47" s="111"/>
      <c r="E47" s="130"/>
      <c r="F47" s="130"/>
      <c r="G47" s="131"/>
      <c r="H47" s="132"/>
      <c r="I47" s="131"/>
      <c r="J47" s="132"/>
      <c r="K47" s="128"/>
      <c r="L47" s="128"/>
      <c r="M47" s="128"/>
      <c r="N47" s="133"/>
    </row>
    <row r="48" ht="34.5" customHeight="1" hidden="1" spans="1:14" x14ac:dyDescent="0.25">
      <c r="A48" s="128"/>
      <c r="B48" s="129"/>
      <c r="C48" s="129"/>
      <c r="D48" s="111"/>
      <c r="E48" s="130"/>
      <c r="F48" s="130"/>
      <c r="G48" s="131"/>
      <c r="H48" s="132"/>
      <c r="I48" s="131"/>
      <c r="J48" s="132"/>
      <c r="K48" s="128"/>
      <c r="L48" s="128"/>
      <c r="M48" s="128"/>
      <c r="N48" s="133"/>
    </row>
    <row r="49" ht="17.25" customHeight="1" hidden="1" spans="1:14" x14ac:dyDescent="0.25">
      <c r="A49" s="128"/>
      <c r="B49" s="129"/>
      <c r="C49" s="129"/>
      <c r="D49" s="111"/>
      <c r="E49" s="130"/>
      <c r="F49" s="130"/>
      <c r="G49" s="131"/>
      <c r="H49" s="132"/>
      <c r="I49" s="131"/>
      <c r="J49" s="132"/>
      <c r="K49" s="128"/>
      <c r="L49" s="128"/>
      <c r="M49" s="128"/>
      <c r="N49" s="133"/>
    </row>
    <row r="50" ht="17.25" customHeight="1" hidden="1" spans="1:14" x14ac:dyDescent="0.25">
      <c r="A50" s="128"/>
      <c r="B50" s="129"/>
      <c r="C50" s="129"/>
      <c r="D50" s="111"/>
      <c r="E50" s="130"/>
      <c r="F50" s="130"/>
      <c r="G50" s="131"/>
      <c r="H50" s="132"/>
      <c r="I50" s="131"/>
      <c r="J50" s="132"/>
      <c r="K50" s="128"/>
      <c r="L50" s="128"/>
      <c r="M50" s="128"/>
      <c r="N50" s="133"/>
    </row>
    <row r="51" ht="34.5" customHeight="1" hidden="1" spans="1:14" x14ac:dyDescent="0.25">
      <c r="A51" s="128"/>
      <c r="B51" s="129"/>
      <c r="C51" s="129"/>
      <c r="D51" s="111"/>
      <c r="E51" s="130"/>
      <c r="F51" s="130"/>
      <c r="G51" s="131"/>
      <c r="H51" s="132"/>
      <c r="I51" s="131"/>
      <c r="J51" s="132"/>
      <c r="K51" s="128"/>
      <c r="L51" s="128"/>
      <c r="M51" s="128"/>
      <c r="N51" s="133"/>
    </row>
    <row r="52" ht="34.5" customHeight="1" hidden="1" spans="1:14" x14ac:dyDescent="0.25">
      <c r="A52" s="128"/>
      <c r="B52" s="129"/>
      <c r="C52" s="129"/>
      <c r="D52" s="111"/>
      <c r="E52" s="130"/>
      <c r="F52" s="130"/>
      <c r="G52" s="131"/>
      <c r="H52" s="132"/>
      <c r="I52" s="131"/>
      <c r="J52" s="132"/>
      <c r="K52" s="128"/>
      <c r="L52" s="128"/>
      <c r="M52" s="128"/>
      <c r="N52" s="133"/>
    </row>
    <row r="53" ht="34.5" customHeight="1" hidden="1" spans="1:14" x14ac:dyDescent="0.25">
      <c r="A53" s="128"/>
      <c r="B53" s="129"/>
      <c r="C53" s="129"/>
      <c r="D53" s="111"/>
      <c r="E53" s="130"/>
      <c r="F53" s="130"/>
      <c r="G53" s="131"/>
      <c r="H53" s="132"/>
      <c r="I53" s="131"/>
      <c r="J53" s="132"/>
      <c r="K53" s="128"/>
      <c r="L53" s="128"/>
      <c r="M53" s="128"/>
      <c r="N53" s="133"/>
    </row>
    <row r="54" ht="34.5" customHeight="1" hidden="1" spans="1:14" x14ac:dyDescent="0.25">
      <c r="A54" s="128"/>
      <c r="B54" s="129"/>
      <c r="C54" s="129"/>
      <c r="D54" s="111"/>
      <c r="E54" s="130"/>
      <c r="F54" s="130"/>
      <c r="G54" s="131"/>
      <c r="H54" s="132"/>
      <c r="I54" s="131"/>
      <c r="J54" s="132"/>
      <c r="K54" s="128"/>
      <c r="L54" s="128"/>
      <c r="M54" s="128"/>
      <c r="N54" s="133"/>
    </row>
    <row r="55" ht="34.5" customHeight="1" hidden="1" spans="1:14" x14ac:dyDescent="0.25">
      <c r="A55" s="128"/>
      <c r="B55" s="129"/>
      <c r="C55" s="129"/>
      <c r="D55" s="111"/>
      <c r="E55" s="130"/>
      <c r="F55" s="130"/>
      <c r="G55" s="131"/>
      <c r="H55" s="132"/>
      <c r="I55" s="131"/>
      <c r="J55" s="132"/>
      <c r="K55" s="128"/>
      <c r="L55" s="128"/>
      <c r="M55" s="128"/>
      <c r="N55" s="133"/>
    </row>
    <row r="56" ht="34.5" customHeight="1" hidden="1" spans="1:14" x14ac:dyDescent="0.25">
      <c r="A56" s="128"/>
      <c r="B56" s="129"/>
      <c r="C56" s="129"/>
      <c r="D56" s="111"/>
      <c r="E56" s="130"/>
      <c r="F56" s="130"/>
      <c r="G56" s="131"/>
      <c r="H56" s="132"/>
      <c r="I56" s="131"/>
      <c r="J56" s="132"/>
      <c r="K56" s="128"/>
      <c r="L56" s="128"/>
      <c r="M56" s="128"/>
      <c r="N56" s="133"/>
    </row>
    <row r="57" ht="34.5" customHeight="1" hidden="1" spans="1:14" x14ac:dyDescent="0.25">
      <c r="A57" s="128"/>
      <c r="B57" s="129"/>
      <c r="C57" s="129"/>
      <c r="D57" s="111"/>
      <c r="E57" s="130"/>
      <c r="F57" s="130"/>
      <c r="G57" s="131"/>
      <c r="H57" s="132"/>
      <c r="I57" s="131"/>
      <c r="J57" s="132"/>
      <c r="K57" s="128"/>
      <c r="L57" s="128"/>
      <c r="M57" s="128"/>
      <c r="N57" s="133"/>
    </row>
    <row r="58" ht="17.25" customHeight="1" hidden="1" spans="1:14" x14ac:dyDescent="0.25">
      <c r="A58" s="128"/>
      <c r="B58" s="129"/>
      <c r="C58" s="129"/>
      <c r="D58" s="111"/>
      <c r="E58" s="130"/>
      <c r="F58" s="130"/>
      <c r="G58" s="131"/>
      <c r="H58" s="132"/>
      <c r="I58" s="131"/>
      <c r="J58" s="132"/>
      <c r="K58" s="128"/>
      <c r="L58" s="128"/>
      <c r="M58" s="128"/>
      <c r="N58" s="133"/>
    </row>
    <row r="59" ht="17.25" customHeight="1" hidden="1" spans="1:14" x14ac:dyDescent="0.25">
      <c r="A59" s="128"/>
      <c r="B59" s="129"/>
      <c r="C59" s="129"/>
      <c r="D59" s="111"/>
      <c r="E59" s="130"/>
      <c r="F59" s="130"/>
      <c r="G59" s="131"/>
      <c r="H59" s="132"/>
      <c r="I59" s="131"/>
      <c r="J59" s="132"/>
      <c r="K59" s="128"/>
      <c r="L59" s="128"/>
      <c r="M59" s="128"/>
      <c r="N59" s="133"/>
    </row>
    <row r="60" ht="17.25" customHeight="1" hidden="1" spans="1:14" x14ac:dyDescent="0.25">
      <c r="A60" s="128"/>
      <c r="B60" s="129"/>
      <c r="C60" s="129"/>
      <c r="D60" s="111"/>
      <c r="E60" s="130"/>
      <c r="F60" s="130"/>
      <c r="G60" s="131"/>
      <c r="H60" s="132"/>
      <c r="I60" s="131"/>
      <c r="J60" s="132"/>
      <c r="K60" s="128"/>
      <c r="L60" s="128"/>
      <c r="M60" s="128"/>
      <c r="N60" s="133"/>
    </row>
    <row r="61" ht="34.5" customHeight="1" hidden="1" spans="1:14" x14ac:dyDescent="0.25">
      <c r="A61" s="128"/>
      <c r="B61" s="129"/>
      <c r="C61" s="129"/>
      <c r="D61" s="111"/>
      <c r="E61" s="130"/>
      <c r="F61" s="130"/>
      <c r="G61" s="131"/>
      <c r="H61" s="132"/>
      <c r="I61" s="131"/>
      <c r="J61" s="132"/>
      <c r="K61" s="128"/>
      <c r="L61" s="128"/>
      <c r="M61" s="128"/>
      <c r="N61" s="133"/>
    </row>
    <row r="62" ht="34.5" customHeight="1" hidden="1" spans="1:14" x14ac:dyDescent="0.25">
      <c r="A62" s="128"/>
      <c r="B62" s="129"/>
      <c r="C62" s="129"/>
      <c r="D62" s="111"/>
      <c r="E62" s="130"/>
      <c r="F62" s="130"/>
      <c r="G62" s="131"/>
      <c r="H62" s="132"/>
      <c r="I62" s="131"/>
      <c r="J62" s="132"/>
      <c r="K62" s="128"/>
      <c r="L62" s="128"/>
      <c r="M62" s="128"/>
      <c r="N62" s="133"/>
    </row>
    <row r="63" ht="34.5" customHeight="1" hidden="1" spans="1:14" x14ac:dyDescent="0.25">
      <c r="A63" s="128"/>
      <c r="B63" s="129"/>
      <c r="C63" s="129"/>
      <c r="D63" s="111"/>
      <c r="E63" s="130"/>
      <c r="F63" s="130"/>
      <c r="G63" s="131"/>
      <c r="H63" s="132"/>
      <c r="I63" s="131"/>
      <c r="J63" s="132"/>
      <c r="K63" s="128"/>
      <c r="L63" s="128"/>
      <c r="M63" s="128"/>
      <c r="N63" s="133"/>
    </row>
    <row r="64" ht="34.5" customHeight="1" hidden="1" spans="1:14" x14ac:dyDescent="0.25">
      <c r="A64" s="128"/>
      <c r="B64" s="129"/>
      <c r="C64" s="129"/>
      <c r="D64" s="111"/>
      <c r="E64" s="130"/>
      <c r="F64" s="130"/>
      <c r="G64" s="131"/>
      <c r="H64" s="132"/>
      <c r="I64" s="131"/>
      <c r="J64" s="132"/>
      <c r="K64" s="128"/>
      <c r="L64" s="128"/>
      <c r="M64" s="128"/>
      <c r="N64" s="133"/>
    </row>
    <row r="65" ht="34.5" customHeight="1" hidden="1" spans="1:14" x14ac:dyDescent="0.25">
      <c r="A65" s="128"/>
      <c r="B65" s="129"/>
      <c r="C65" s="129"/>
      <c r="D65" s="111"/>
      <c r="E65" s="130"/>
      <c r="F65" s="130"/>
      <c r="G65" s="131"/>
      <c r="H65" s="132"/>
      <c r="I65" s="131"/>
      <c r="J65" s="132"/>
      <c r="K65" s="128"/>
      <c r="L65" s="128"/>
      <c r="M65" s="128"/>
      <c r="N65" s="133"/>
    </row>
    <row r="66" ht="34.5" customHeight="1" hidden="1" spans="1:14" x14ac:dyDescent="0.25">
      <c r="A66" s="128"/>
      <c r="B66" s="129"/>
      <c r="C66" s="129"/>
      <c r="D66" s="111"/>
      <c r="E66" s="130"/>
      <c r="F66" s="130"/>
      <c r="G66" s="131"/>
      <c r="H66" s="132"/>
      <c r="I66" s="131"/>
      <c r="J66" s="132"/>
      <c r="K66" s="128"/>
      <c r="L66" s="128"/>
      <c r="M66" s="128"/>
      <c r="N66" s="133"/>
    </row>
    <row r="67" ht="34.5" customHeight="1" hidden="1" spans="1:14" x14ac:dyDescent="0.25">
      <c r="A67" s="128"/>
      <c r="B67" s="129"/>
      <c r="C67" s="129"/>
      <c r="D67" s="111"/>
      <c r="E67" s="130"/>
      <c r="F67" s="130"/>
      <c r="G67" s="131"/>
      <c r="H67" s="132"/>
      <c r="I67" s="131"/>
      <c r="J67" s="132"/>
      <c r="K67" s="128"/>
      <c r="L67" s="128"/>
      <c r="M67" s="128"/>
      <c r="N67" s="133"/>
    </row>
    <row r="68" ht="34.5" customHeight="1" hidden="1" spans="1:14" x14ac:dyDescent="0.25">
      <c r="A68" s="128"/>
      <c r="B68" s="129"/>
      <c r="C68" s="129"/>
      <c r="D68" s="111"/>
      <c r="E68" s="130"/>
      <c r="F68" s="130"/>
      <c r="G68" s="131"/>
      <c r="H68" s="132"/>
      <c r="I68" s="131"/>
      <c r="J68" s="132"/>
      <c r="K68" s="128"/>
      <c r="L68" s="128"/>
      <c r="M68" s="128"/>
      <c r="N68" s="133"/>
    </row>
    <row r="69" ht="34.5" customHeight="1" hidden="1" spans="1:14" x14ac:dyDescent="0.25">
      <c r="A69" s="128"/>
      <c r="B69" s="129"/>
      <c r="C69" s="129"/>
      <c r="D69" s="111"/>
      <c r="E69" s="130"/>
      <c r="F69" s="130"/>
      <c r="G69" s="131"/>
      <c r="H69" s="132"/>
      <c r="I69" s="131"/>
      <c r="J69" s="132"/>
      <c r="K69" s="128"/>
      <c r="L69" s="128"/>
      <c r="M69" s="128"/>
      <c r="N69" s="133"/>
    </row>
    <row r="70" ht="34.5" customHeight="1" hidden="1" spans="1:14" x14ac:dyDescent="0.25">
      <c r="A70" s="128"/>
      <c r="B70" s="129"/>
      <c r="C70" s="129"/>
      <c r="D70" s="111"/>
      <c r="E70" s="130"/>
      <c r="F70" s="130"/>
      <c r="G70" s="131"/>
      <c r="H70" s="132"/>
      <c r="I70" s="131"/>
      <c r="J70" s="132"/>
      <c r="K70" s="128"/>
      <c r="L70" s="128"/>
      <c r="M70" s="128"/>
      <c r="N70" s="133"/>
    </row>
    <row r="71" ht="34.5" customHeight="1" hidden="1" spans="1:14" x14ac:dyDescent="0.25">
      <c r="A71" s="128"/>
      <c r="B71" s="129"/>
      <c r="C71" s="129"/>
      <c r="D71" s="111"/>
      <c r="E71" s="130"/>
      <c r="F71" s="130"/>
      <c r="G71" s="131"/>
      <c r="H71" s="132"/>
      <c r="I71" s="131"/>
      <c r="J71" s="132"/>
      <c r="K71" s="128"/>
      <c r="L71" s="128"/>
      <c r="M71" s="128"/>
      <c r="N71" s="133"/>
    </row>
    <row r="72" ht="34.5" customHeight="1" hidden="1" spans="1:14" x14ac:dyDescent="0.25">
      <c r="A72" s="128"/>
      <c r="B72" s="129"/>
      <c r="C72" s="129"/>
      <c r="D72" s="111"/>
      <c r="E72" s="130"/>
      <c r="F72" s="130"/>
      <c r="G72" s="131"/>
      <c r="H72" s="132"/>
      <c r="I72" s="131"/>
      <c r="J72" s="132"/>
      <c r="K72" s="128"/>
      <c r="L72" s="128"/>
      <c r="M72" s="128"/>
      <c r="N72" s="133"/>
    </row>
    <row r="73" ht="34.5" customHeight="1" hidden="1" spans="1:14" x14ac:dyDescent="0.25">
      <c r="A73" s="128"/>
      <c r="B73" s="129"/>
      <c r="C73" s="129"/>
      <c r="D73" s="111"/>
      <c r="E73" s="130"/>
      <c r="F73" s="130"/>
      <c r="G73" s="131"/>
      <c r="H73" s="132"/>
      <c r="I73" s="131"/>
      <c r="J73" s="132"/>
      <c r="K73" s="128"/>
      <c r="L73" s="128"/>
      <c r="M73" s="128"/>
      <c r="N73" s="133"/>
    </row>
    <row r="74" ht="34.5" customHeight="1" hidden="1" spans="1:14" x14ac:dyDescent="0.25">
      <c r="A74" s="128"/>
      <c r="B74" s="129"/>
      <c r="C74" s="129"/>
      <c r="D74" s="111"/>
      <c r="E74" s="130"/>
      <c r="F74" s="130"/>
      <c r="G74" s="131"/>
      <c r="H74" s="132"/>
      <c r="I74" s="131"/>
      <c r="J74" s="132"/>
      <c r="K74" s="128"/>
      <c r="L74" s="128"/>
      <c r="M74" s="128"/>
      <c r="N74" s="133"/>
    </row>
    <row r="75" ht="34.5" customHeight="1" hidden="1" spans="1:14" x14ac:dyDescent="0.25">
      <c r="A75" s="128"/>
      <c r="B75" s="129"/>
      <c r="C75" s="129"/>
      <c r="D75" s="111"/>
      <c r="E75" s="130"/>
      <c r="F75" s="130"/>
      <c r="G75" s="131"/>
      <c r="H75" s="132"/>
      <c r="I75" s="131"/>
      <c r="J75" s="132"/>
      <c r="K75" s="128"/>
      <c r="L75" s="128"/>
      <c r="M75" s="128"/>
      <c r="N75" s="133"/>
    </row>
    <row r="76" ht="34.5" customHeight="1" hidden="1" spans="1:14" x14ac:dyDescent="0.25">
      <c r="A76" s="128"/>
      <c r="B76" s="129"/>
      <c r="C76" s="129"/>
      <c r="D76" s="111"/>
      <c r="E76" s="130"/>
      <c r="F76" s="130"/>
      <c r="G76" s="131"/>
      <c r="H76" s="132"/>
      <c r="I76" s="131"/>
      <c r="J76" s="132"/>
      <c r="K76" s="128"/>
      <c r="L76" s="128"/>
      <c r="M76" s="128"/>
      <c r="N76" s="133"/>
    </row>
    <row r="77" ht="34.5" customHeight="1" hidden="1" spans="1:14" x14ac:dyDescent="0.25">
      <c r="A77" s="128"/>
      <c r="B77" s="129"/>
      <c r="C77" s="129"/>
      <c r="D77" s="111"/>
      <c r="E77" s="130"/>
      <c r="F77" s="130"/>
      <c r="G77" s="131"/>
      <c r="H77" s="132"/>
      <c r="I77" s="131"/>
      <c r="J77" s="132"/>
      <c r="K77" s="128"/>
      <c r="L77" s="128"/>
      <c r="M77" s="128"/>
      <c r="N77" s="133"/>
    </row>
    <row r="78" ht="34.5" customHeight="1" hidden="1" spans="1:14" x14ac:dyDescent="0.25">
      <c r="A78" s="128"/>
      <c r="B78" s="129"/>
      <c r="C78" s="129"/>
      <c r="D78" s="111"/>
      <c r="E78" s="130"/>
      <c r="F78" s="130"/>
      <c r="G78" s="131"/>
      <c r="H78" s="132"/>
      <c r="I78" s="131"/>
      <c r="J78" s="132"/>
      <c r="K78" s="128"/>
      <c r="L78" s="128"/>
      <c r="M78" s="128"/>
      <c r="N78" s="133"/>
    </row>
    <row r="79" ht="34.5" customHeight="1" hidden="1" spans="1:14" x14ac:dyDescent="0.25">
      <c r="A79" s="128"/>
      <c r="B79" s="129"/>
      <c r="C79" s="129"/>
      <c r="D79" s="111"/>
      <c r="E79" s="130"/>
      <c r="F79" s="130"/>
      <c r="G79" s="131"/>
      <c r="H79" s="132"/>
      <c r="I79" s="131"/>
      <c r="J79" s="132"/>
      <c r="K79" s="128"/>
      <c r="L79" s="128"/>
      <c r="M79" s="128"/>
      <c r="N79" s="133"/>
    </row>
    <row r="80" ht="34.5" customHeight="1" hidden="1" spans="1:14" x14ac:dyDescent="0.25">
      <c r="A80" s="128"/>
      <c r="B80" s="129"/>
      <c r="C80" s="129"/>
      <c r="D80" s="111"/>
      <c r="E80" s="130"/>
      <c r="F80" s="130"/>
      <c r="G80" s="131"/>
      <c r="H80" s="132"/>
      <c r="I80" s="131"/>
      <c r="J80" s="132"/>
      <c r="K80" s="128"/>
      <c r="L80" s="128"/>
      <c r="M80" s="128"/>
      <c r="N80" s="133"/>
    </row>
    <row r="81" ht="34.5" customHeight="1" hidden="1" spans="1:14" x14ac:dyDescent="0.25">
      <c r="A81" s="128"/>
      <c r="B81" s="129"/>
      <c r="C81" s="129"/>
      <c r="D81" s="111"/>
      <c r="E81" s="130"/>
      <c r="F81" s="130"/>
      <c r="G81" s="131"/>
      <c r="H81" s="132"/>
      <c r="I81" s="131"/>
      <c r="J81" s="132"/>
      <c r="K81" s="128"/>
      <c r="L81" s="128"/>
      <c r="M81" s="128"/>
      <c r="N81" s="133"/>
    </row>
    <row r="82" ht="34.5" customHeight="1" hidden="1" spans="1:14" x14ac:dyDescent="0.25">
      <c r="A82" s="128"/>
      <c r="B82" s="129"/>
      <c r="C82" s="129"/>
      <c r="D82" s="111"/>
      <c r="E82" s="130"/>
      <c r="F82" s="130"/>
      <c r="G82" s="131"/>
      <c r="H82" s="132"/>
      <c r="I82" s="131"/>
      <c r="J82" s="132"/>
      <c r="K82" s="128"/>
      <c r="L82" s="128"/>
      <c r="M82" s="128"/>
      <c r="N82" s="133"/>
    </row>
    <row r="83" ht="34.5" customHeight="1" hidden="1" spans="1:14" x14ac:dyDescent="0.25">
      <c r="A83" s="128"/>
      <c r="B83" s="129"/>
      <c r="C83" s="129"/>
      <c r="D83" s="111"/>
      <c r="E83" s="130"/>
      <c r="F83" s="130"/>
      <c r="G83" s="131"/>
      <c r="H83" s="132"/>
      <c r="I83" s="131"/>
      <c r="J83" s="132"/>
      <c r="K83" s="128"/>
      <c r="L83" s="128"/>
      <c r="M83" s="128"/>
      <c r="N83" s="133"/>
    </row>
    <row r="84" ht="34.5" customHeight="1" hidden="1" spans="1:14" x14ac:dyDescent="0.25">
      <c r="A84" s="128"/>
      <c r="B84" s="129"/>
      <c r="C84" s="129"/>
      <c r="D84" s="111"/>
      <c r="E84" s="130"/>
      <c r="F84" s="130"/>
      <c r="G84" s="131"/>
      <c r="H84" s="132"/>
      <c r="I84" s="131"/>
      <c r="J84" s="132"/>
      <c r="K84" s="128"/>
      <c r="L84" s="128"/>
      <c r="M84" s="128"/>
      <c r="N84" s="133"/>
    </row>
    <row r="85" ht="34.5" customHeight="1" hidden="1" spans="1:14" x14ac:dyDescent="0.25">
      <c r="A85" s="128"/>
      <c r="B85" s="129"/>
      <c r="C85" s="129"/>
      <c r="D85" s="111"/>
      <c r="E85" s="130"/>
      <c r="F85" s="130"/>
      <c r="G85" s="131"/>
      <c r="H85" s="132"/>
      <c r="I85" s="131"/>
      <c r="J85" s="132"/>
      <c r="K85" s="128"/>
      <c r="L85" s="128"/>
      <c r="M85" s="128"/>
      <c r="N85" s="133"/>
    </row>
    <row r="86" ht="34.5" customHeight="1" hidden="1" spans="1:14" x14ac:dyDescent="0.25">
      <c r="A86" s="128"/>
      <c r="B86" s="129"/>
      <c r="C86" s="129"/>
      <c r="D86" s="111"/>
      <c r="E86" s="130"/>
      <c r="F86" s="130"/>
      <c r="G86" s="131"/>
      <c r="H86" s="132"/>
      <c r="I86" s="131"/>
      <c r="J86" s="132"/>
      <c r="K86" s="128"/>
      <c r="L86" s="128"/>
      <c r="M86" s="128"/>
      <c r="N86" s="133"/>
    </row>
    <row r="87" ht="34.5" customHeight="1" spans="1:14" x14ac:dyDescent="0.25">
      <c r="A87" s="128"/>
      <c r="B87" s="129"/>
      <c r="C87" s="129"/>
      <c r="D87" s="111"/>
      <c r="E87" s="130"/>
      <c r="F87" s="130"/>
      <c r="G87" s="131"/>
      <c r="H87" s="132"/>
      <c r="I87" s="131"/>
      <c r="J87" s="132"/>
      <c r="K87" s="128"/>
      <c r="L87" s="128"/>
      <c r="M87" s="128"/>
      <c r="N87" s="133"/>
    </row>
    <row r="88" ht="34.5" customHeight="1" spans="1:14" x14ac:dyDescent="0.25">
      <c r="A88" s="128"/>
      <c r="B88" s="129"/>
      <c r="C88" s="129"/>
      <c r="D88" s="111"/>
      <c r="E88" s="130"/>
      <c r="F88" s="130"/>
      <c r="G88" s="131"/>
      <c r="H88" s="132"/>
      <c r="I88" s="131"/>
      <c r="J88" s="132"/>
      <c r="K88" s="128"/>
      <c r="L88" s="128"/>
      <c r="M88" s="128"/>
      <c r="N88" s="133"/>
    </row>
  </sheetData>
  <autoFilter ref="A2:N88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70"/>
  <sheetViews>
    <sheetView workbookViewId="0" zoomScale="110" zoomScaleNormal="110">
      <selection activeCell="E25" sqref="E25"/>
    </sheetView>
  </sheetViews>
  <sheetFormatPr defaultRowHeight="16.5" outlineLevelRow="0" outlineLevelCol="0" x14ac:dyDescent="0" defaultColWidth="9" customHeight="1"/>
  <cols>
    <col min="1" max="1" width="0.75" style="76" customWidth="1"/>
    <col min="2" max="2" width="24.125" style="76" customWidth="1"/>
    <col min="3" max="3" width="11.875" style="76" customWidth="1"/>
    <col min="4" max="4" width="14.125" style="76" customWidth="1"/>
    <col min="5" max="5" width="16.75" style="76" customWidth="1"/>
    <col min="6" max="6" width="13.25" style="76" customWidth="1"/>
    <col min="7" max="7" width="15.375" style="76" customWidth="1"/>
    <col min="8" max="8" width="16.125" style="76" customWidth="1"/>
    <col min="9" max="9" width="11.375" style="76" customWidth="1"/>
    <col min="10" max="10" width="12.125" style="76" customWidth="1"/>
    <col min="11" max="11" width="13.875" style="76" customWidth="1"/>
    <col min="12" max="12" width="16.125" style="76" customWidth="1"/>
    <col min="13" max="13" width="15.625" style="76" customWidth="1"/>
    <col min="14" max="15" width="18.375" style="76" customWidth="1"/>
    <col min="16" max="16" width="16.125" style="76" customWidth="1"/>
    <col min="17" max="17" width="10.875" style="76" customWidth="1"/>
    <col min="18" max="20" width="9" style="76" customWidth="1"/>
    <col min="21" max="21" width="5.125" style="76" customWidth="1"/>
    <col min="22" max="22" width="10" style="76" customWidth="1"/>
    <col min="23" max="16384" width="9" style="76" customWidth="1"/>
  </cols>
  <sheetData>
    <row r="1" ht="17.25" customHeight="1" x14ac:dyDescent="0.25"/>
    <row r="2" ht="26.25" customHeight="1" spans="2:17" x14ac:dyDescent="0.25">
      <c r="B2" s="152" t="s">
        <v>195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4"/>
      <c r="O2" s="155"/>
      <c r="P2" s="156"/>
      <c r="Q2" s="156"/>
    </row>
    <row r="3" ht="26.25" customHeight="1" spans="2:17" x14ac:dyDescent="0.25"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5"/>
      <c r="O3" s="155"/>
      <c r="P3" s="156"/>
      <c r="Q3" s="156"/>
    </row>
    <row r="4" ht="20.1" customHeight="1" spans="2:17" x14ac:dyDescent="0.25">
      <c r="B4" s="158" t="s">
        <v>196</v>
      </c>
      <c r="C4" s="159"/>
      <c r="D4" s="160">
        <f>'주차별 매출이익 보고서'!R8</f>
        <v>1548.52</v>
      </c>
      <c r="E4" s="155"/>
      <c r="F4" s="155"/>
      <c r="G4" s="161" t="s">
        <v>146</v>
      </c>
      <c r="H4" s="161" t="s">
        <v>142</v>
      </c>
      <c r="I4" s="161" t="s">
        <v>197</v>
      </c>
      <c r="J4" s="162"/>
      <c r="K4" s="155"/>
      <c r="L4" s="155"/>
      <c r="M4" s="155"/>
      <c r="N4" s="155"/>
      <c r="O4" s="155"/>
      <c r="P4" s="156"/>
      <c r="Q4" s="156"/>
    </row>
    <row r="5" ht="20.1" customHeight="1" spans="2:17" x14ac:dyDescent="0.25">
      <c r="B5" s="163"/>
      <c r="C5" s="164"/>
      <c r="D5" s="165"/>
      <c r="E5" s="166"/>
      <c r="F5" s="155"/>
      <c r="G5" s="161" t="s">
        <v>147</v>
      </c>
      <c r="H5" s="161">
        <v>99000</v>
      </c>
      <c r="I5" s="167"/>
      <c r="J5" s="162"/>
      <c r="K5" s="155"/>
      <c r="L5" s="155"/>
      <c r="M5" s="155"/>
      <c r="N5" s="155"/>
      <c r="O5" s="155"/>
      <c r="P5" s="156"/>
      <c r="Q5" s="156"/>
    </row>
    <row r="6" ht="20.1" customHeight="1" spans="2:17" x14ac:dyDescent="0.25">
      <c r="B6" s="158" t="s">
        <v>198</v>
      </c>
      <c r="C6" s="159"/>
      <c r="D6" s="168">
        <v>20472.84</v>
      </c>
      <c r="E6" s="169"/>
      <c r="F6" s="155"/>
      <c r="G6" s="170" t="s">
        <v>148</v>
      </c>
      <c r="H6" s="161">
        <v>187000</v>
      </c>
      <c r="I6" s="167"/>
      <c r="J6" s="162"/>
      <c r="K6" s="155"/>
      <c r="L6" s="155"/>
      <c r="M6" s="155"/>
      <c r="N6" s="166"/>
      <c r="O6" s="155"/>
      <c r="P6" s="156"/>
      <c r="Q6" s="156"/>
    </row>
    <row r="7" ht="20.1" customHeight="1" spans="2:17" x14ac:dyDescent="0.25">
      <c r="B7" s="171"/>
      <c r="C7" s="171"/>
      <c r="D7" s="172"/>
      <c r="E7" s="173"/>
      <c r="F7" s="166"/>
      <c r="G7" s="170" t="s">
        <v>149</v>
      </c>
      <c r="H7" s="161">
        <v>275000</v>
      </c>
      <c r="I7" s="167">
        <v>1</v>
      </c>
      <c r="J7" s="162"/>
      <c r="K7" s="155"/>
      <c r="L7" s="155"/>
      <c r="M7" s="155"/>
      <c r="N7" s="155"/>
      <c r="O7" s="155"/>
      <c r="P7" s="156"/>
      <c r="Q7" s="156"/>
    </row>
    <row r="8" ht="20.1" customHeight="1" spans="2:17" x14ac:dyDescent="0.25">
      <c r="B8" s="174"/>
      <c r="C8" s="175"/>
      <c r="D8" s="175"/>
      <c r="E8" s="155"/>
      <c r="F8" s="155"/>
      <c r="G8" s="162"/>
      <c r="H8" s="162"/>
      <c r="I8" s="162"/>
      <c r="J8" s="162"/>
      <c r="K8" s="155"/>
      <c r="L8" s="155"/>
      <c r="M8" s="155"/>
      <c r="N8" s="155"/>
      <c r="O8" s="155"/>
      <c r="P8" s="156"/>
      <c r="Q8" s="156"/>
    </row>
    <row r="9" ht="20.1" customHeight="1" spans="2:17" x14ac:dyDescent="0.25">
      <c r="B9" s="176" t="s">
        <v>199</v>
      </c>
      <c r="C9" s="155"/>
      <c r="D9" s="155"/>
      <c r="E9" s="155"/>
      <c r="F9" s="155"/>
      <c r="G9" s="162"/>
      <c r="H9" s="162"/>
      <c r="I9" s="162"/>
      <c r="J9" s="162"/>
      <c r="K9" s="155"/>
      <c r="L9" s="155"/>
      <c r="M9" s="155"/>
      <c r="N9" s="155"/>
      <c r="O9" s="155"/>
      <c r="P9" s="156"/>
      <c r="Q9" s="156"/>
    </row>
    <row r="10" ht="20.1" customHeight="1" spans="2:17" x14ac:dyDescent="0.25">
      <c r="B10" s="177" t="s">
        <v>200</v>
      </c>
      <c r="C10" s="170">
        <f>E10*460</f>
        <v>3501980</v>
      </c>
      <c r="D10" s="178" t="s">
        <v>201</v>
      </c>
      <c r="E10" s="179">
        <v>7613</v>
      </c>
      <c r="F10" s="155"/>
      <c r="G10" s="161" t="s">
        <v>45</v>
      </c>
      <c r="H10" s="180" t="s">
        <v>202</v>
      </c>
      <c r="I10" s="180" t="s">
        <v>203</v>
      </c>
      <c r="J10" s="162"/>
      <c r="K10" s="155"/>
      <c r="L10" s="155"/>
      <c r="M10" s="155"/>
      <c r="N10" s="155"/>
      <c r="O10" s="155"/>
      <c r="P10" s="156"/>
      <c r="Q10" s="156"/>
    </row>
    <row r="11" ht="20.1" customHeight="1" spans="2:17" x14ac:dyDescent="0.25">
      <c r="B11" s="177" t="s">
        <v>204</v>
      </c>
      <c r="C11" s="170">
        <v>33000</v>
      </c>
      <c r="D11" s="155"/>
      <c r="E11" s="155"/>
      <c r="F11" s="155"/>
      <c r="G11" s="181" t="s">
        <v>205</v>
      </c>
      <c r="H11" s="182"/>
      <c r="I11" s="183"/>
      <c r="J11" s="162"/>
      <c r="K11" s="155"/>
      <c r="L11" s="155"/>
      <c r="M11" s="155"/>
      <c r="N11" s="155"/>
      <c r="O11" s="155"/>
      <c r="P11" s="156"/>
      <c r="Q11" s="156"/>
    </row>
    <row r="12" ht="20.1" customHeight="1" spans="2:17" x14ac:dyDescent="0.25">
      <c r="B12" s="177" t="s">
        <v>206</v>
      </c>
      <c r="C12" s="170">
        <f>E12*10000</f>
        <v>40000</v>
      </c>
      <c r="D12" s="178" t="s">
        <v>207</v>
      </c>
      <c r="E12" s="179">
        <v>4</v>
      </c>
      <c r="F12" s="155"/>
      <c r="G12" s="184" t="s">
        <v>92</v>
      </c>
      <c r="H12" s="182"/>
      <c r="I12" s="183"/>
      <c r="J12" s="162"/>
      <c r="K12" s="155"/>
      <c r="L12" s="155"/>
      <c r="M12" s="155"/>
      <c r="N12" s="155"/>
      <c r="O12" s="155"/>
      <c r="P12" s="156"/>
      <c r="Q12" s="156"/>
    </row>
    <row r="13" ht="20.1" customHeight="1" spans="2:17" x14ac:dyDescent="0.25">
      <c r="B13" s="177" t="s">
        <v>208</v>
      </c>
      <c r="C13" s="170">
        <f>(I5*H5)+(I6*H6)+(I7*H7)</f>
        <v>275000</v>
      </c>
      <c r="D13" s="155"/>
      <c r="E13" s="155"/>
      <c r="F13" s="155"/>
      <c r="G13" s="184" t="s">
        <v>70</v>
      </c>
      <c r="H13" s="182"/>
      <c r="I13" s="183"/>
      <c r="J13" s="162"/>
      <c r="K13" s="155"/>
      <c r="L13" s="155"/>
      <c r="M13" s="155"/>
      <c r="N13" s="155"/>
      <c r="O13" s="155"/>
      <c r="P13" s="156"/>
      <c r="Q13" s="156"/>
    </row>
    <row r="14" ht="20.1" customHeight="1" spans="2:17" x14ac:dyDescent="0.25">
      <c r="B14" s="177" t="s">
        <v>209</v>
      </c>
      <c r="C14" s="170"/>
      <c r="D14" s="155"/>
      <c r="E14" s="155"/>
      <c r="F14" s="155"/>
      <c r="G14" s="184" t="s">
        <v>72</v>
      </c>
      <c r="H14" s="182"/>
      <c r="I14" s="183"/>
      <c r="J14" s="162"/>
      <c r="K14" s="155"/>
      <c r="L14" s="155"/>
      <c r="M14" s="155"/>
      <c r="N14" s="155"/>
      <c r="O14" s="155"/>
      <c r="P14" s="156"/>
      <c r="Q14" s="156"/>
    </row>
    <row r="15" ht="20.1" customHeight="1" spans="2:17" x14ac:dyDescent="0.25">
      <c r="B15" s="177" t="s">
        <v>210</v>
      </c>
      <c r="C15" s="170"/>
      <c r="D15" s="155"/>
      <c r="E15" s="155"/>
      <c r="F15" s="185"/>
      <c r="G15" s="184" t="s">
        <v>211</v>
      </c>
      <c r="H15" s="182"/>
      <c r="I15" s="183"/>
      <c r="J15" s="162"/>
      <c r="K15" s="155"/>
      <c r="L15" s="155"/>
      <c r="M15" s="155"/>
      <c r="N15" s="155"/>
      <c r="O15" s="155"/>
      <c r="P15" s="156"/>
      <c r="Q15" s="156"/>
    </row>
    <row r="16" ht="20.1" customHeight="1" spans="2:17" x14ac:dyDescent="0.25">
      <c r="B16" s="177" t="s">
        <v>212</v>
      </c>
      <c r="C16" s="170">
        <f>(H11*I11)+(H12*I12)+(H13*I13)+(H14*I14)+(H15*I15)+(H16*I16)</f>
        <v>0</v>
      </c>
      <c r="D16" s="155"/>
      <c r="E16" s="155"/>
      <c r="F16" s="155"/>
      <c r="G16" s="184" t="s">
        <v>213</v>
      </c>
      <c r="H16" s="182"/>
      <c r="I16" s="183"/>
      <c r="J16" s="162"/>
      <c r="K16" s="155"/>
      <c r="L16" s="155"/>
      <c r="M16" s="155"/>
      <c r="N16" s="155"/>
      <c r="O16" s="155"/>
      <c r="P16" s="156"/>
      <c r="Q16" s="156"/>
    </row>
    <row r="17" ht="20.1" customHeight="1" spans="2:17" x14ac:dyDescent="0.25">
      <c r="B17" s="177" t="s">
        <v>214</v>
      </c>
      <c r="C17" s="170">
        <f>SUBTOTAL(9,C10:C16)</f>
        <v>3849980</v>
      </c>
      <c r="D17" s="155"/>
      <c r="E17" s="155"/>
      <c r="F17" s="155"/>
      <c r="G17" s="162"/>
      <c r="H17" s="162"/>
      <c r="I17" s="162"/>
      <c r="J17" s="162"/>
      <c r="K17" s="155"/>
      <c r="L17" s="155"/>
      <c r="M17" s="155"/>
      <c r="N17" s="155"/>
      <c r="O17" s="155"/>
      <c r="P17" s="156"/>
      <c r="Q17" s="156"/>
    </row>
    <row r="18" spans="2:17" x14ac:dyDescent="0.25">
      <c r="B18" s="186"/>
      <c r="C18" s="175"/>
      <c r="D18" s="155"/>
      <c r="E18" s="155"/>
      <c r="F18" s="155"/>
      <c r="G18" s="162"/>
      <c r="H18" s="162"/>
      <c r="I18" s="162"/>
      <c r="J18" s="162"/>
      <c r="K18" s="155"/>
      <c r="L18" s="155"/>
      <c r="M18" s="155"/>
      <c r="N18" s="155"/>
      <c r="O18" s="155"/>
      <c r="P18" s="156"/>
      <c r="Q18" s="156"/>
    </row>
    <row r="19" spans="2:17" x14ac:dyDescent="0.25">
      <c r="B19" s="187"/>
      <c r="C19" s="155"/>
      <c r="D19" s="155"/>
      <c r="E19" s="155"/>
      <c r="F19" s="155"/>
      <c r="G19" s="162"/>
      <c r="H19" s="162"/>
      <c r="I19" s="162"/>
      <c r="J19" s="162"/>
      <c r="K19" s="155"/>
      <c r="L19" s="155"/>
      <c r="M19" s="155"/>
      <c r="N19" s="155"/>
      <c r="O19" s="155"/>
      <c r="P19" s="156"/>
      <c r="Q19" s="156"/>
    </row>
    <row r="20" ht="23.25" customHeight="1" spans="2:18" x14ac:dyDescent="0.25">
      <c r="B20" s="188" t="s">
        <v>215</v>
      </c>
      <c r="C20" s="189"/>
      <c r="D20" s="189"/>
      <c r="E20" s="190" t="s">
        <v>216</v>
      </c>
      <c r="F20" s="188" t="s">
        <v>217</v>
      </c>
      <c r="G20" s="189" t="s">
        <v>218</v>
      </c>
      <c r="H20" s="158" t="s">
        <v>219</v>
      </c>
      <c r="I20" s="191"/>
      <c r="J20" s="192"/>
      <c r="K20" s="193" t="s">
        <v>220</v>
      </c>
      <c r="L20" s="190" t="s">
        <v>221</v>
      </c>
      <c r="M20" s="188" t="s">
        <v>222</v>
      </c>
      <c r="N20" s="188" t="s">
        <v>223</v>
      </c>
      <c r="O20" s="194"/>
      <c r="P20" s="194"/>
      <c r="Q20" s="194"/>
      <c r="R20" s="195"/>
    </row>
    <row r="21" ht="33" customHeight="1" spans="2:18" x14ac:dyDescent="0.25">
      <c r="B21" s="196" t="s">
        <v>205</v>
      </c>
      <c r="C21" s="197"/>
      <c r="D21" s="197"/>
      <c r="E21" s="198">
        <f>C31</f>
        <v>0</v>
      </c>
      <c r="F21" s="198">
        <f>IF($L$29=$L$30,$D$6*M37,$D$6*R37)</f>
        <v>3627.3249140756134</v>
      </c>
      <c r="G21" s="199"/>
      <c r="H21" s="200">
        <f>$C$17*M37</f>
        <v>682129.5126954946</v>
      </c>
      <c r="I21" s="201"/>
      <c r="J21" s="202"/>
      <c r="K21" s="203"/>
      <c r="L21" s="204"/>
      <c r="M21" s="205">
        <f>+L21-K21</f>
        <v>0</v>
      </c>
      <c r="N21" s="206" t="e">
        <f>+M21/L21</f>
        <v>#DIV/0!</v>
      </c>
      <c r="O21" s="194"/>
      <c r="P21" s="194"/>
      <c r="Q21" s="194"/>
      <c r="R21" s="195"/>
    </row>
    <row r="22" ht="33" customHeight="1" spans="2:18" x14ac:dyDescent="0.25">
      <c r="B22" s="196" t="s">
        <v>70</v>
      </c>
      <c r="C22" s="197"/>
      <c r="D22" s="197"/>
      <c r="E22" s="198">
        <f>D31</f>
        <v>0</v>
      </c>
      <c r="F22" s="198">
        <f>IF($L$29=$L$30,$D$6*M38,$D$6*R38)</f>
        <v>14730.211925505555</v>
      </c>
      <c r="G22" s="199"/>
      <c r="H22" s="200">
        <f>$C$17*M38</f>
        <v>2770061.2767431326</v>
      </c>
      <c r="I22" s="201"/>
      <c r="J22" s="202"/>
      <c r="K22" s="203"/>
      <c r="L22" s="204"/>
      <c r="M22" s="205">
        <f>+L22-K22</f>
        <v>0</v>
      </c>
      <c r="N22" s="206" t="e">
        <f>+M22/L22</f>
        <v>#DIV/0!</v>
      </c>
      <c r="O22" s="194"/>
      <c r="P22" s="194"/>
      <c r="Q22" s="194"/>
      <c r="R22" s="195"/>
    </row>
    <row r="23" ht="33" customHeight="1" spans="2:18" x14ac:dyDescent="0.25">
      <c r="B23" s="196" t="s">
        <v>92</v>
      </c>
      <c r="C23" s="197"/>
      <c r="D23" s="197"/>
      <c r="E23" s="198">
        <f>E31</f>
        <v>0</v>
      </c>
      <c r="F23" s="198">
        <f>IF($L$29=$L$30,$D$6*M39,$D$6*R39)</f>
        <v>740.7379298217567</v>
      </c>
      <c r="G23" s="199"/>
      <c r="H23" s="200">
        <f>$C$17*M39</f>
        <v>139298.02680307993</v>
      </c>
      <c r="I23" s="201"/>
      <c r="J23" s="202"/>
      <c r="K23" s="203"/>
      <c r="L23" s="204"/>
      <c r="M23" s="205">
        <f>+L23-K23</f>
        <v>0</v>
      </c>
      <c r="N23" s="206" t="e">
        <f>+M23/L23</f>
        <v>#DIV/0!</v>
      </c>
      <c r="O23" s="194"/>
      <c r="P23" s="194"/>
      <c r="Q23" s="194"/>
      <c r="R23" s="195"/>
    </row>
    <row r="24" ht="33" customHeight="1" spans="2:18" x14ac:dyDescent="0.25">
      <c r="B24" s="196" t="s">
        <v>91</v>
      </c>
      <c r="C24" s="197"/>
      <c r="D24" s="197"/>
      <c r="E24" s="198">
        <f>F31</f>
        <v>0</v>
      </c>
      <c r="F24" s="198">
        <f>IF($L$29=$L$30,$D$6*M40,$D$6*R40)</f>
        <v>1374.5652305970746</v>
      </c>
      <c r="G24" s="199"/>
      <c r="H24" s="200">
        <f>$C$17*M40</f>
        <v>258491.18375829267</v>
      </c>
      <c r="I24" s="201"/>
      <c r="J24" s="202"/>
      <c r="K24" s="203"/>
      <c r="L24" s="204"/>
      <c r="M24" s="205">
        <f>+L24-K24</f>
        <v>0</v>
      </c>
      <c r="N24" s="206" t="e">
        <f>+M24/L24</f>
        <v>#DIV/0!</v>
      </c>
      <c r="O24" s="194"/>
      <c r="P24" s="194"/>
      <c r="Q24" s="194"/>
      <c r="R24" s="195"/>
    </row>
    <row r="25" spans="2:17" x14ac:dyDescent="0.25">
      <c r="B25" s="162"/>
      <c r="C25" s="155"/>
      <c r="D25" s="155"/>
      <c r="E25" s="155"/>
      <c r="F25" s="155"/>
      <c r="G25" s="162"/>
      <c r="H25" s="162"/>
      <c r="I25" s="162"/>
      <c r="J25" s="162"/>
      <c r="K25" s="155"/>
      <c r="L25" s="155"/>
      <c r="M25" s="155"/>
      <c r="N25" s="155"/>
      <c r="O25" s="155"/>
      <c r="P25" s="156"/>
      <c r="Q25" s="156"/>
    </row>
    <row r="26" spans="2:17" x14ac:dyDescent="0.25">
      <c r="B26" s="162"/>
      <c r="C26" s="155"/>
      <c r="D26" s="155"/>
      <c r="E26" s="155"/>
      <c r="F26" s="155"/>
      <c r="G26" s="162"/>
      <c r="H26" s="162"/>
      <c r="I26" s="162"/>
      <c r="J26" s="162"/>
      <c r="K26" s="155"/>
      <c r="L26" s="155"/>
      <c r="M26" s="155"/>
      <c r="N26" s="155"/>
      <c r="O26" s="155"/>
      <c r="P26" s="156"/>
      <c r="Q26" s="156"/>
    </row>
    <row r="27" spans="2:17" x14ac:dyDescent="0.25">
      <c r="B27" s="162"/>
      <c r="C27" s="155"/>
      <c r="D27" s="155"/>
      <c r="E27" s="155"/>
      <c r="F27" s="155"/>
      <c r="G27" s="162"/>
      <c r="H27" s="162"/>
      <c r="I27" s="162"/>
      <c r="J27" s="162"/>
      <c r="K27" s="155"/>
      <c r="L27" s="155"/>
      <c r="M27" s="155"/>
      <c r="N27" s="155"/>
      <c r="O27" s="155"/>
      <c r="P27" s="156"/>
      <c r="Q27" s="156"/>
    </row>
    <row r="28" spans="2:17" x14ac:dyDescent="0.25">
      <c r="B28" s="162"/>
      <c r="C28" s="155"/>
      <c r="D28" s="155"/>
      <c r="E28" s="155"/>
      <c r="F28" s="155"/>
      <c r="G28" s="162"/>
      <c r="H28" s="162"/>
      <c r="I28" s="162"/>
      <c r="J28" s="162"/>
      <c r="K28" s="155"/>
      <c r="L28" s="155"/>
      <c r="M28" s="155"/>
      <c r="N28" s="155"/>
      <c r="O28" s="155"/>
      <c r="P28" s="156"/>
      <c r="Q28" s="156"/>
    </row>
    <row r="29" spans="2:18" x14ac:dyDescent="0.25">
      <c r="B29" s="162"/>
      <c r="C29" s="155"/>
      <c r="D29" s="155"/>
      <c r="E29" s="155"/>
      <c r="F29" s="155"/>
      <c r="G29" s="162"/>
      <c r="H29" s="162"/>
      <c r="I29" s="162"/>
      <c r="J29" s="162"/>
      <c r="K29" s="207" t="s">
        <v>224</v>
      </c>
      <c r="L29" s="179">
        <v>7613</v>
      </c>
      <c r="M29" s="155"/>
      <c r="N29" s="155"/>
      <c r="O29" s="155"/>
      <c r="P29" s="155"/>
      <c r="Q29" s="155"/>
      <c r="R29" s="162"/>
    </row>
    <row r="30" spans="2:18" x14ac:dyDescent="0.25">
      <c r="B30" s="162"/>
      <c r="C30" s="179" t="s">
        <v>205</v>
      </c>
      <c r="D30" s="179" t="s">
        <v>70</v>
      </c>
      <c r="E30" s="179" t="s">
        <v>225</v>
      </c>
      <c r="F30" s="179" t="s">
        <v>226</v>
      </c>
      <c r="G30" s="162"/>
      <c r="H30" s="162"/>
      <c r="I30" s="162"/>
      <c r="J30" s="162"/>
      <c r="K30" s="207" t="s">
        <v>227</v>
      </c>
      <c r="L30" s="179">
        <v>7613</v>
      </c>
      <c r="M30" s="155"/>
      <c r="N30" s="155"/>
      <c r="O30" s="155"/>
      <c r="P30" s="155"/>
      <c r="Q30" s="155"/>
      <c r="R30" s="162"/>
    </row>
    <row r="31" ht="17.25" customHeight="1" spans="2:18" x14ac:dyDescent="0.25">
      <c r="B31" s="208" t="s">
        <v>228</v>
      </c>
      <c r="C31" s="179">
        <f>SUM(C32:C70)</f>
        <v>0</v>
      </c>
      <c r="D31" s="179">
        <f>SUM(D32:D70)</f>
        <v>0</v>
      </c>
      <c r="E31" s="179">
        <f>SUM(E32:E70)</f>
        <v>0</v>
      </c>
      <c r="F31" s="179">
        <f>SUM(F32:F70)</f>
        <v>0</v>
      </c>
      <c r="G31" s="162"/>
      <c r="H31" s="162"/>
      <c r="I31" s="162"/>
      <c r="J31" s="162"/>
      <c r="K31" s="155"/>
      <c r="L31" s="155"/>
      <c r="M31" s="155"/>
      <c r="N31" s="155"/>
      <c r="O31" s="155"/>
      <c r="P31" s="155"/>
      <c r="Q31" s="155"/>
      <c r="R31" s="162"/>
    </row>
    <row r="32" ht="17.25" customHeight="1" spans="2:18" x14ac:dyDescent="0.25">
      <c r="B32" s="209" t="s">
        <v>229</v>
      </c>
      <c r="C32" s="179"/>
      <c r="D32" s="179"/>
      <c r="E32" s="179"/>
      <c r="F32" s="179"/>
      <c r="G32" s="162"/>
      <c r="H32" s="162"/>
      <c r="I32" s="162"/>
      <c r="J32" s="210" t="s">
        <v>230</v>
      </c>
      <c r="K32" s="211"/>
      <c r="L32" s="211"/>
      <c r="M32" s="211"/>
      <c r="N32" s="211"/>
      <c r="O32" s="211"/>
      <c r="P32" s="211"/>
      <c r="Q32" s="211"/>
      <c r="R32" s="212"/>
    </row>
    <row r="33" spans="2:18" x14ac:dyDescent="0.25">
      <c r="B33" s="209" t="s">
        <v>231</v>
      </c>
      <c r="C33" s="179"/>
      <c r="D33" s="179"/>
      <c r="E33" s="179"/>
      <c r="F33" s="179"/>
      <c r="G33" s="162"/>
      <c r="H33" s="162"/>
      <c r="I33" s="162"/>
      <c r="J33" s="162" t="s">
        <v>232</v>
      </c>
      <c r="K33" s="155" t="s">
        <v>233</v>
      </c>
      <c r="L33" s="155"/>
      <c r="M33" s="155"/>
      <c r="N33" s="155"/>
      <c r="O33" s="155" t="s">
        <v>234</v>
      </c>
      <c r="P33" s="155" t="s">
        <v>235</v>
      </c>
      <c r="Q33" s="155"/>
      <c r="R33" s="155"/>
    </row>
    <row r="34" spans="2:18" x14ac:dyDescent="0.25">
      <c r="B34" s="209" t="s">
        <v>236</v>
      </c>
      <c r="C34" s="179"/>
      <c r="D34" s="179"/>
      <c r="E34" s="179"/>
      <c r="F34" s="179"/>
      <c r="G34" s="162"/>
      <c r="H34" s="162"/>
      <c r="I34" s="162"/>
      <c r="J34" s="162"/>
      <c r="K34" s="155"/>
      <c r="L34" s="155"/>
      <c r="M34" s="155"/>
      <c r="N34" s="155"/>
      <c r="O34" s="155"/>
      <c r="P34" s="155"/>
      <c r="Q34" s="155"/>
      <c r="R34" s="162"/>
    </row>
    <row r="35" spans="2:18" x14ac:dyDescent="0.25">
      <c r="B35" s="209" t="s">
        <v>237</v>
      </c>
      <c r="C35" s="179"/>
      <c r="D35" s="179"/>
      <c r="E35" s="179"/>
      <c r="F35" s="179"/>
      <c r="G35" s="162"/>
      <c r="H35" s="162"/>
      <c r="I35" s="162"/>
      <c r="J35" s="155" t="s">
        <v>238</v>
      </c>
      <c r="K35" s="155"/>
      <c r="L35" s="213"/>
      <c r="M35" s="155"/>
      <c r="N35" s="155"/>
      <c r="O35" s="155" t="s">
        <v>238</v>
      </c>
      <c r="P35" s="155"/>
      <c r="Q35" s="155"/>
      <c r="R35" s="162"/>
    </row>
    <row r="36" spans="2:18" x14ac:dyDescent="0.25">
      <c r="B36" s="209" t="s">
        <v>239</v>
      </c>
      <c r="C36" s="179"/>
      <c r="D36" s="179"/>
      <c r="E36" s="179"/>
      <c r="F36" s="179"/>
      <c r="G36" s="162"/>
      <c r="H36" s="162"/>
      <c r="I36" s="162"/>
      <c r="J36" s="162"/>
      <c r="K36" s="155" t="s">
        <v>240</v>
      </c>
      <c r="L36" s="155" t="s">
        <v>241</v>
      </c>
      <c r="M36" s="155" t="s">
        <v>242</v>
      </c>
      <c r="N36" s="155"/>
      <c r="O36" s="155"/>
      <c r="P36" s="155" t="s">
        <v>243</v>
      </c>
      <c r="Q36" s="155" t="s">
        <v>241</v>
      </c>
      <c r="R36" s="162" t="s">
        <v>242</v>
      </c>
    </row>
    <row r="37" spans="2:18" x14ac:dyDescent="0.25">
      <c r="B37" s="209" t="s">
        <v>244</v>
      </c>
      <c r="C37" s="179"/>
      <c r="D37" s="179"/>
      <c r="E37" s="179"/>
      <c r="F37" s="179"/>
      <c r="G37" s="162"/>
      <c r="H37" s="162"/>
      <c r="I37" s="162"/>
      <c r="J37" s="162" t="s">
        <v>205</v>
      </c>
      <c r="K37" s="155">
        <v>7</v>
      </c>
      <c r="L37" s="214">
        <v>190</v>
      </c>
      <c r="M37" s="155">
        <f>K37*L37/($K$37*$L$37+$K$38*$L$38+$K$39*$L$39+$K$40*$L$40)</f>
        <v>0.17717741720619187</v>
      </c>
      <c r="N37" s="155"/>
      <c r="O37" s="155" t="s">
        <v>205</v>
      </c>
      <c r="P37" s="155">
        <v>10</v>
      </c>
      <c r="Q37" s="214">
        <v>190</v>
      </c>
      <c r="R37" s="162">
        <f>(P37*Q37)/($P$37*$Q$37+$P$38*$Q$38+$P$39*$Q$39+$P$40*$Q$40)</f>
        <v>0.23451578661532005</v>
      </c>
    </row>
    <row r="38" spans="2:18" x14ac:dyDescent="0.25">
      <c r="B38" s="209" t="s">
        <v>245</v>
      </c>
      <c r="C38" s="179"/>
      <c r="D38" s="179"/>
      <c r="E38" s="179"/>
      <c r="F38" s="179"/>
      <c r="G38" s="162"/>
      <c r="H38" s="162"/>
      <c r="I38" s="162"/>
      <c r="J38" s="162" t="s">
        <v>70</v>
      </c>
      <c r="K38" s="155">
        <v>11</v>
      </c>
      <c r="L38" s="214">
        <v>491</v>
      </c>
      <c r="M38" s="155">
        <f>K38*L38/($K$37*$L$37+$K$38*$L$38+$K$39*$L$39+$K$40*$L$40)</f>
        <v>0.7195001731809341</v>
      </c>
      <c r="N38" s="155"/>
      <c r="O38" s="155" t="s">
        <v>70</v>
      </c>
      <c r="P38" s="155">
        <v>11</v>
      </c>
      <c r="Q38" s="214">
        <v>491</v>
      </c>
      <c r="R38" s="162">
        <f>(P38*Q38)/($P$37*$Q$37+$P$38*$Q$38+$P$39*$Q$39+$P$40*$Q$40)</f>
        <v>0.6666419807943914</v>
      </c>
    </row>
    <row r="39" spans="2:18" x14ac:dyDescent="0.25">
      <c r="B39" s="209" t="s">
        <v>246</v>
      </c>
      <c r="C39" s="179"/>
      <c r="D39" s="179"/>
      <c r="E39" s="179"/>
      <c r="F39" s="179"/>
      <c r="G39" s="162"/>
      <c r="H39" s="162"/>
      <c r="I39" s="162"/>
      <c r="J39" s="162" t="s">
        <v>92</v>
      </c>
      <c r="K39" s="155">
        <v>9.7</v>
      </c>
      <c r="L39" s="214">
        <v>28</v>
      </c>
      <c r="M39" s="155">
        <f>K39*L39/($K$37*$L$37+$K$38*$L$38+$K$39*$L$39+$K$40*$L$40)</f>
        <v>0.03618149361894865</v>
      </c>
      <c r="N39" s="155"/>
      <c r="O39" s="155" t="s">
        <v>92</v>
      </c>
      <c r="P39" s="155">
        <v>7</v>
      </c>
      <c r="Q39" s="214">
        <v>28</v>
      </c>
      <c r="R39" s="162">
        <f>(P39*Q39)/($P$37*$Q$37+$P$38*$Q$38+$P$39*$Q$39+$P$40*$Q$40)</f>
        <v>0.02419215482979091</v>
      </c>
    </row>
    <row r="40" spans="2:18" x14ac:dyDescent="0.25">
      <c r="B40" s="209" t="s">
        <v>247</v>
      </c>
      <c r="C40" s="179"/>
      <c r="D40" s="179"/>
      <c r="E40" s="179"/>
      <c r="F40" s="179"/>
      <c r="G40" s="162"/>
      <c r="H40" s="162"/>
      <c r="I40" s="162"/>
      <c r="J40" s="162" t="s">
        <v>248</v>
      </c>
      <c r="K40" s="155">
        <v>8</v>
      </c>
      <c r="L40" s="214">
        <v>63</v>
      </c>
      <c r="M40" s="155">
        <f>K40*L40/($K$37*$L$37+$K$38*$L$38+$K$39*$L$39+$K$40*$L$40)</f>
        <v>0.06714091599392534</v>
      </c>
      <c r="N40" s="155"/>
      <c r="O40" s="155" t="s">
        <v>248</v>
      </c>
      <c r="P40" s="155">
        <v>9.6</v>
      </c>
      <c r="Q40" s="214">
        <v>63</v>
      </c>
      <c r="R40" s="162">
        <f>(P40*Q40)/($P$37*$Q$37+$P$38*$Q$38+$P$39*$Q$39+$P$40*$Q$40)</f>
        <v>0.07465007776049766</v>
      </c>
    </row>
    <row r="41" spans="2:18" x14ac:dyDescent="0.25">
      <c r="B41" s="209" t="s">
        <v>249</v>
      </c>
      <c r="C41" s="179"/>
      <c r="D41" s="179"/>
      <c r="E41" s="179"/>
      <c r="F41" s="179"/>
      <c r="G41" s="162"/>
      <c r="H41" s="162"/>
      <c r="I41" s="162"/>
      <c r="J41" s="162"/>
      <c r="K41" s="155"/>
      <c r="L41" s="155"/>
      <c r="M41" s="155">
        <f>SUM(M37:M40)</f>
        <v>0.9999999999999999</v>
      </c>
      <c r="N41" s="155"/>
      <c r="O41" s="155"/>
      <c r="P41" s="155"/>
      <c r="Q41" s="155"/>
      <c r="R41" s="162">
        <f>SUM(R37:R40)</f>
        <v>1</v>
      </c>
    </row>
    <row r="42" spans="2:18" x14ac:dyDescent="0.25">
      <c r="B42" s="209" t="s">
        <v>250</v>
      </c>
      <c r="C42" s="179"/>
      <c r="D42" s="179"/>
      <c r="E42" s="179"/>
      <c r="F42" s="179"/>
      <c r="G42" s="162"/>
      <c r="H42" s="162"/>
      <c r="I42" s="162"/>
      <c r="J42" s="162"/>
      <c r="K42" s="155"/>
      <c r="L42" s="155"/>
      <c r="M42" s="155"/>
      <c r="N42" s="155"/>
      <c r="O42" s="155"/>
      <c r="P42" s="155"/>
      <c r="Q42" s="155"/>
      <c r="R42" s="162"/>
    </row>
    <row r="43" spans="2:18" x14ac:dyDescent="0.25">
      <c r="B43" s="209" t="s">
        <v>251</v>
      </c>
      <c r="C43" s="179"/>
      <c r="D43" s="179"/>
      <c r="E43" s="179"/>
      <c r="F43" s="179"/>
      <c r="G43" s="162"/>
      <c r="H43" s="162"/>
      <c r="I43" s="162"/>
      <c r="J43" s="162"/>
      <c r="K43" s="155"/>
      <c r="L43" s="155"/>
      <c r="M43" s="155"/>
      <c r="N43" s="155"/>
      <c r="O43" s="155"/>
      <c r="P43" s="155"/>
      <c r="Q43" s="155"/>
      <c r="R43" s="162"/>
    </row>
    <row r="44" spans="2:18" x14ac:dyDescent="0.25">
      <c r="B44" s="209" t="s">
        <v>252</v>
      </c>
      <c r="C44" s="179"/>
      <c r="D44" s="179"/>
      <c r="E44" s="179"/>
      <c r="F44" s="179"/>
      <c r="G44" s="162"/>
      <c r="H44" s="162"/>
      <c r="I44" s="162"/>
      <c r="J44" s="162"/>
      <c r="K44" s="155"/>
      <c r="L44" s="155"/>
      <c r="M44" s="155"/>
      <c r="N44" s="155"/>
      <c r="O44" s="155"/>
      <c r="P44" s="155"/>
      <c r="Q44" s="155"/>
      <c r="R44" s="162"/>
    </row>
    <row r="45" spans="2:18" x14ac:dyDescent="0.25">
      <c r="B45" s="209" t="s">
        <v>253</v>
      </c>
      <c r="C45" s="179"/>
      <c r="D45" s="179"/>
      <c r="E45" s="179"/>
      <c r="F45" s="179"/>
      <c r="G45" s="162"/>
      <c r="H45" s="162"/>
      <c r="I45" s="162"/>
      <c r="J45" s="162"/>
      <c r="K45" s="155"/>
      <c r="L45" s="155"/>
      <c r="M45" s="155"/>
      <c r="N45" s="155"/>
      <c r="O45" s="155"/>
      <c r="P45" s="155"/>
      <c r="Q45" s="155"/>
      <c r="R45" s="162"/>
    </row>
    <row r="46" spans="2:17" x14ac:dyDescent="0.25">
      <c r="B46" s="209" t="s">
        <v>254</v>
      </c>
      <c r="C46" s="179"/>
      <c r="D46" s="179"/>
      <c r="E46" s="179"/>
      <c r="F46" s="179"/>
      <c r="G46" s="162"/>
      <c r="H46" s="162"/>
      <c r="I46" s="162"/>
      <c r="J46" s="162"/>
      <c r="K46" s="155"/>
      <c r="L46" s="155"/>
      <c r="M46" s="155"/>
      <c r="N46" s="155"/>
      <c r="O46" s="155"/>
      <c r="P46" s="156"/>
      <c r="Q46" s="156"/>
    </row>
    <row r="47" spans="2:17" x14ac:dyDescent="0.25">
      <c r="B47" s="209" t="s">
        <v>255</v>
      </c>
      <c r="C47" s="179"/>
      <c r="D47" s="179"/>
      <c r="E47" s="179"/>
      <c r="F47" s="179"/>
      <c r="G47" s="162"/>
      <c r="H47" s="162"/>
      <c r="I47" s="162"/>
      <c r="J47" s="162"/>
      <c r="K47" s="155"/>
      <c r="L47" s="155"/>
      <c r="M47" s="155"/>
      <c r="N47" s="155"/>
      <c r="O47" s="155"/>
      <c r="P47" s="156"/>
      <c r="Q47" s="156"/>
    </row>
    <row r="48" spans="2:17" x14ac:dyDescent="0.25">
      <c r="B48" s="209" t="s">
        <v>256</v>
      </c>
      <c r="C48" s="179"/>
      <c r="D48" s="179"/>
      <c r="E48" s="179"/>
      <c r="F48" s="179"/>
      <c r="G48" s="162"/>
      <c r="H48" s="162"/>
      <c r="I48" s="162"/>
      <c r="J48" s="162"/>
      <c r="K48" s="155"/>
      <c r="L48" s="155"/>
      <c r="M48" s="155"/>
      <c r="N48" s="155"/>
      <c r="O48" s="155"/>
      <c r="P48" s="156"/>
      <c r="Q48" s="156"/>
    </row>
    <row r="49" spans="2:17" x14ac:dyDescent="0.25">
      <c r="B49" s="209" t="s">
        <v>257</v>
      </c>
      <c r="C49" s="179"/>
      <c r="D49" s="179"/>
      <c r="E49" s="179"/>
      <c r="F49" s="179"/>
      <c r="G49" s="162"/>
      <c r="H49" s="162"/>
      <c r="I49" s="162"/>
      <c r="J49" s="162"/>
      <c r="K49" s="155"/>
      <c r="L49" s="155"/>
      <c r="M49" s="155"/>
      <c r="N49" s="155"/>
      <c r="O49" s="155"/>
      <c r="P49" s="156"/>
      <c r="Q49" s="156"/>
    </row>
    <row r="50" spans="2:17" x14ac:dyDescent="0.25">
      <c r="B50" s="209" t="s">
        <v>258</v>
      </c>
      <c r="C50" s="179"/>
      <c r="D50" s="179"/>
      <c r="E50" s="179"/>
      <c r="F50" s="179"/>
      <c r="G50" s="162"/>
      <c r="H50" s="162"/>
      <c r="I50" s="162"/>
      <c r="J50" s="162"/>
      <c r="K50" s="155"/>
      <c r="L50" s="155"/>
      <c r="M50" s="155"/>
      <c r="N50" s="155"/>
      <c r="O50" s="155"/>
      <c r="P50" s="156"/>
      <c r="Q50" s="156"/>
    </row>
    <row r="51" spans="2:17" x14ac:dyDescent="0.25">
      <c r="B51" s="209" t="s">
        <v>259</v>
      </c>
      <c r="C51" s="179"/>
      <c r="D51" s="179"/>
      <c r="E51" s="179"/>
      <c r="F51" s="179"/>
      <c r="G51" s="162"/>
      <c r="H51" s="162"/>
      <c r="I51" s="162"/>
      <c r="J51" s="162"/>
      <c r="K51" s="155"/>
      <c r="L51" s="155"/>
      <c r="M51" s="155"/>
      <c r="N51" s="155"/>
      <c r="O51" s="155"/>
      <c r="P51" s="156"/>
      <c r="Q51" s="156"/>
    </row>
    <row r="52" spans="2:17" x14ac:dyDescent="0.25">
      <c r="B52" s="209" t="s">
        <v>260</v>
      </c>
      <c r="C52" s="179"/>
      <c r="D52" s="179"/>
      <c r="E52" s="179"/>
      <c r="F52" s="179"/>
      <c r="G52" s="162"/>
      <c r="H52" s="162"/>
      <c r="I52" s="162"/>
      <c r="J52" s="162"/>
      <c r="K52" s="155"/>
      <c r="L52" s="155"/>
      <c r="M52" s="155"/>
      <c r="N52" s="155"/>
      <c r="O52" s="155"/>
      <c r="P52" s="156"/>
      <c r="Q52" s="156"/>
    </row>
    <row r="53" spans="2:17" x14ac:dyDescent="0.25">
      <c r="B53" s="209" t="s">
        <v>261</v>
      </c>
      <c r="C53" s="179"/>
      <c r="D53" s="179"/>
      <c r="E53" s="179"/>
      <c r="F53" s="179"/>
      <c r="G53" s="162"/>
      <c r="H53" s="162"/>
      <c r="I53" s="162"/>
      <c r="J53" s="162"/>
      <c r="K53" s="155"/>
      <c r="L53" s="155"/>
      <c r="M53" s="155"/>
      <c r="N53" s="155"/>
      <c r="O53" s="155"/>
      <c r="P53" s="156"/>
      <c r="Q53" s="156"/>
    </row>
    <row r="54" spans="2:17" x14ac:dyDescent="0.25">
      <c r="B54" s="209" t="s">
        <v>262</v>
      </c>
      <c r="C54" s="179"/>
      <c r="D54" s="179"/>
      <c r="E54" s="179"/>
      <c r="F54" s="179"/>
      <c r="G54" s="162"/>
      <c r="H54" s="162"/>
      <c r="I54" s="162"/>
      <c r="J54" s="162"/>
      <c r="K54" s="155"/>
      <c r="L54" s="155"/>
      <c r="M54" s="155"/>
      <c r="N54" s="155"/>
      <c r="O54" s="155"/>
      <c r="P54" s="156"/>
      <c r="Q54" s="156"/>
    </row>
    <row r="55" spans="2:17" x14ac:dyDescent="0.25">
      <c r="B55" s="209" t="s">
        <v>263</v>
      </c>
      <c r="C55" s="179"/>
      <c r="D55" s="179"/>
      <c r="E55" s="179"/>
      <c r="F55" s="179"/>
      <c r="G55" s="162"/>
      <c r="H55" s="162"/>
      <c r="I55" s="162"/>
      <c r="J55" s="162"/>
      <c r="K55" s="155"/>
      <c r="L55" s="155"/>
      <c r="M55" s="155"/>
      <c r="N55" s="155"/>
      <c r="O55" s="155"/>
      <c r="P55" s="156"/>
      <c r="Q55" s="156"/>
    </row>
    <row r="56" spans="2:17" x14ac:dyDescent="0.25">
      <c r="B56" s="209" t="s">
        <v>264</v>
      </c>
      <c r="C56" s="179"/>
      <c r="D56" s="179"/>
      <c r="E56" s="179"/>
      <c r="F56" s="179"/>
      <c r="G56" s="162"/>
      <c r="H56" s="162"/>
      <c r="I56" s="162"/>
      <c r="J56" s="162"/>
      <c r="K56" s="155"/>
      <c r="L56" s="155"/>
      <c r="M56" s="155"/>
      <c r="N56" s="155"/>
      <c r="O56" s="155"/>
      <c r="P56" s="156"/>
      <c r="Q56" s="156"/>
    </row>
    <row r="57" spans="2:17" x14ac:dyDescent="0.25">
      <c r="B57" s="209" t="s">
        <v>265</v>
      </c>
      <c r="C57" s="179"/>
      <c r="D57" s="179"/>
      <c r="E57" s="179"/>
      <c r="F57" s="179"/>
      <c r="G57" s="162"/>
      <c r="H57" s="162"/>
      <c r="I57" s="162"/>
      <c r="J57" s="162"/>
      <c r="K57" s="155"/>
      <c r="L57" s="155"/>
      <c r="M57" s="155"/>
      <c r="N57" s="155"/>
      <c r="O57" s="155"/>
      <c r="P57" s="156"/>
      <c r="Q57" s="156"/>
    </row>
    <row r="58" spans="2:17" x14ac:dyDescent="0.25">
      <c r="B58" s="209" t="s">
        <v>266</v>
      </c>
      <c r="C58" s="179"/>
      <c r="D58" s="179"/>
      <c r="E58" s="179"/>
      <c r="F58" s="179"/>
      <c r="G58" s="162"/>
      <c r="H58" s="162"/>
      <c r="I58" s="162"/>
      <c r="J58" s="162"/>
      <c r="K58" s="155"/>
      <c r="L58" s="155"/>
      <c r="M58" s="155"/>
      <c r="N58" s="155"/>
      <c r="O58" s="155"/>
      <c r="P58" s="156"/>
      <c r="Q58" s="156"/>
    </row>
    <row r="59" spans="2:17" x14ac:dyDescent="0.25">
      <c r="B59" s="209" t="s">
        <v>267</v>
      </c>
      <c r="C59" s="179"/>
      <c r="D59" s="179"/>
      <c r="E59" s="179"/>
      <c r="F59" s="179"/>
      <c r="G59" s="162"/>
      <c r="H59" s="162"/>
      <c r="I59" s="162"/>
      <c r="J59" s="162"/>
      <c r="K59" s="155"/>
      <c r="L59" s="155"/>
      <c r="M59" s="155"/>
      <c r="N59" s="155"/>
      <c r="O59" s="155"/>
      <c r="P59" s="156"/>
      <c r="Q59" s="156"/>
    </row>
    <row r="60" spans="2:17" x14ac:dyDescent="0.25">
      <c r="B60" s="209" t="s">
        <v>268</v>
      </c>
      <c r="C60" s="179"/>
      <c r="D60" s="179"/>
      <c r="E60" s="179"/>
      <c r="F60" s="179"/>
      <c r="G60" s="162"/>
      <c r="H60" s="162"/>
      <c r="I60" s="162"/>
      <c r="J60" s="162"/>
      <c r="K60" s="155"/>
      <c r="L60" s="155"/>
      <c r="M60" s="155"/>
      <c r="N60" s="155"/>
      <c r="O60" s="155"/>
      <c r="P60" s="156"/>
      <c r="Q60" s="156"/>
    </row>
    <row r="61" spans="2:17" x14ac:dyDescent="0.25">
      <c r="B61" s="209" t="s">
        <v>269</v>
      </c>
      <c r="C61" s="179"/>
      <c r="D61" s="179"/>
      <c r="E61" s="179"/>
      <c r="F61" s="179"/>
      <c r="G61" s="162"/>
      <c r="H61" s="162"/>
      <c r="I61" s="162"/>
      <c r="J61" s="162"/>
      <c r="K61" s="155"/>
      <c r="L61" s="155"/>
      <c r="M61" s="155"/>
      <c r="N61" s="155"/>
      <c r="O61" s="155"/>
      <c r="P61" s="156"/>
      <c r="Q61" s="156"/>
    </row>
    <row r="62" spans="2:17" x14ac:dyDescent="0.25">
      <c r="B62" s="209" t="s">
        <v>270</v>
      </c>
      <c r="C62" s="179"/>
      <c r="D62" s="179"/>
      <c r="E62" s="179"/>
      <c r="F62" s="179"/>
      <c r="G62" s="162"/>
      <c r="H62" s="162"/>
      <c r="I62" s="162"/>
      <c r="J62" s="162"/>
      <c r="K62" s="155"/>
      <c r="L62" s="155"/>
      <c r="M62" s="155"/>
      <c r="N62" s="155"/>
      <c r="O62" s="155"/>
      <c r="P62" s="156"/>
      <c r="Q62" s="156"/>
    </row>
    <row r="63" spans="2:17" x14ac:dyDescent="0.25">
      <c r="B63" s="209" t="s">
        <v>271</v>
      </c>
      <c r="C63" s="179"/>
      <c r="D63" s="179"/>
      <c r="E63" s="179"/>
      <c r="F63" s="179"/>
      <c r="G63" s="162"/>
      <c r="H63" s="162"/>
      <c r="I63" s="162"/>
      <c r="J63" s="162"/>
      <c r="K63" s="155"/>
      <c r="L63" s="155"/>
      <c r="M63" s="155"/>
      <c r="N63" s="155"/>
      <c r="O63" s="155"/>
      <c r="P63" s="156"/>
      <c r="Q63" s="156"/>
    </row>
    <row r="64" spans="2:17" x14ac:dyDescent="0.25">
      <c r="B64" s="209" t="s">
        <v>272</v>
      </c>
      <c r="C64" s="179"/>
      <c r="D64" s="179"/>
      <c r="E64" s="179"/>
      <c r="F64" s="179"/>
      <c r="G64" s="162"/>
      <c r="H64" s="162"/>
      <c r="I64" s="162"/>
      <c r="J64" s="162"/>
      <c r="K64" s="155"/>
      <c r="L64" s="155"/>
      <c r="M64" s="155"/>
      <c r="N64" s="155"/>
      <c r="O64" s="155"/>
      <c r="P64" s="156"/>
      <c r="Q64" s="156"/>
    </row>
    <row r="65" spans="2:17" x14ac:dyDescent="0.25">
      <c r="B65" s="209" t="s">
        <v>273</v>
      </c>
      <c r="C65" s="179"/>
      <c r="D65" s="179"/>
      <c r="E65" s="179"/>
      <c r="F65" s="179"/>
      <c r="G65" s="162"/>
      <c r="H65" s="162"/>
      <c r="I65" s="162"/>
      <c r="J65" s="162"/>
      <c r="K65" s="155"/>
      <c r="L65" s="155"/>
      <c r="M65" s="155"/>
      <c r="N65" s="155"/>
      <c r="O65" s="155"/>
      <c r="P65" s="156"/>
      <c r="Q65" s="156"/>
    </row>
    <row r="66" spans="2:17" x14ac:dyDescent="0.25">
      <c r="B66" s="209" t="s">
        <v>274</v>
      </c>
      <c r="C66" s="179"/>
      <c r="D66" s="179"/>
      <c r="E66" s="179"/>
      <c r="F66" s="179"/>
      <c r="G66" s="162"/>
      <c r="H66" s="162"/>
      <c r="I66" s="162"/>
      <c r="J66" s="162"/>
      <c r="K66" s="155"/>
      <c r="L66" s="155"/>
      <c r="M66" s="155"/>
      <c r="N66" s="155"/>
      <c r="O66" s="155"/>
      <c r="P66" s="156"/>
      <c r="Q66" s="156"/>
    </row>
    <row r="67" spans="2:17" x14ac:dyDescent="0.25">
      <c r="B67" s="209" t="s">
        <v>275</v>
      </c>
      <c r="C67" s="179"/>
      <c r="D67" s="179"/>
      <c r="E67" s="179"/>
      <c r="F67" s="179"/>
      <c r="G67" s="162"/>
      <c r="H67" s="162"/>
      <c r="I67" s="162"/>
      <c r="J67" s="162"/>
      <c r="K67" s="155"/>
      <c r="L67" s="155"/>
      <c r="M67" s="155"/>
      <c r="N67" s="155"/>
      <c r="O67" s="155"/>
      <c r="P67" s="156"/>
      <c r="Q67" s="156"/>
    </row>
    <row r="68" spans="2:17" x14ac:dyDescent="0.25">
      <c r="B68" s="209" t="s">
        <v>276</v>
      </c>
      <c r="C68" s="179"/>
      <c r="D68" s="179"/>
      <c r="E68" s="179"/>
      <c r="F68" s="179"/>
      <c r="G68" s="162"/>
      <c r="H68" s="162"/>
      <c r="I68" s="162"/>
      <c r="J68" s="162"/>
      <c r="K68" s="155"/>
      <c r="L68" s="155"/>
      <c r="M68" s="155"/>
      <c r="N68" s="155"/>
      <c r="O68" s="155"/>
      <c r="P68" s="156"/>
      <c r="Q68" s="156"/>
    </row>
    <row r="69" spans="2:6" x14ac:dyDescent="0.25">
      <c r="B69" s="209" t="s">
        <v>277</v>
      </c>
      <c r="C69" s="179"/>
      <c r="D69" s="179"/>
      <c r="E69" s="179"/>
      <c r="F69" s="179"/>
    </row>
    <row r="70" spans="2:6" x14ac:dyDescent="0.25">
      <c r="B70" s="209" t="s">
        <v>278</v>
      </c>
      <c r="C70" s="179"/>
      <c r="D70" s="179"/>
      <c r="E70" s="179"/>
      <c r="F70" s="179"/>
    </row>
  </sheetData>
  <mergeCells count="14">
    <mergeCell ref="B2:N2"/>
    <mergeCell ref="B4:C4"/>
    <mergeCell ref="L4:M4"/>
    <mergeCell ref="B5:C5"/>
    <mergeCell ref="B6:C6"/>
    <mergeCell ref="B7:C7"/>
    <mergeCell ref="B20:D20"/>
    <mergeCell ref="H20:J20"/>
    <mergeCell ref="B21:D21"/>
    <mergeCell ref="B22:D22"/>
    <mergeCell ref="B23:D23"/>
    <mergeCell ref="B24:D24"/>
    <mergeCell ref="J32:R32"/>
    <mergeCell ref="P33:R33"/>
  </mergeCells>
  <pageMargins left="0.708661417322835" right="0.708661417322835" top="0.748031496062992" bottom="0.748031496062992" header="0.31496062992126" footer="0.31496062992126"/>
  <pageSetup paperSize="9" orientation="landscape" horizontalDpi="4294967295" verticalDpi="4294967295" scale="36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73"/>
  <sheetViews>
    <sheetView workbookViewId="0" zoomScale="110" zoomScaleNormal="110">
      <selection activeCell="P41" sqref="P41"/>
    </sheetView>
  </sheetViews>
  <sheetFormatPr defaultRowHeight="16.5" outlineLevelRow="0" outlineLevelCol="0" x14ac:dyDescent="0" defaultColWidth="9" customHeight="1"/>
  <cols>
    <col min="1" max="1" width="0.75" customWidth="1"/>
    <col min="2" max="2" width="20.375" style="162" customWidth="1"/>
    <col min="3" max="6" width="12.75" style="155" customWidth="1"/>
    <col min="7" max="7" width="15.375" style="162" customWidth="1"/>
    <col min="8" max="8" width="16.125" style="162" customWidth="1"/>
    <col min="9" max="9" width="11.375" style="162" customWidth="1"/>
    <col min="10" max="10" width="12.125" style="162" customWidth="1"/>
    <col min="11" max="11" width="13.875" style="155" customWidth="1"/>
    <col min="12" max="12" width="16.125" style="155" customWidth="1"/>
    <col min="13" max="13" width="15.625" style="155" customWidth="1"/>
    <col min="14" max="15" width="18.375" style="155" customWidth="1"/>
    <col min="16" max="16" width="16.125" style="156" customWidth="1"/>
    <col min="17" max="17" width="10.875" style="156" customWidth="1"/>
    <col min="21" max="21" width="5.125" customWidth="1"/>
    <col min="22" max="22" width="10" customWidth="1"/>
  </cols>
  <sheetData>
    <row r="1" ht="17.25" customHeight="1" x14ac:dyDescent="0.25"/>
    <row r="2" ht="26.25" customHeight="1" spans="2:14" x14ac:dyDescent="0.25">
      <c r="B2" s="152" t="s">
        <v>279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4"/>
    </row>
    <row r="3" ht="26.25" customHeight="1" spans="2:13" x14ac:dyDescent="0.25"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</row>
    <row r="4" ht="20.1" customHeight="1" spans="2:13" x14ac:dyDescent="0.25">
      <c r="B4" s="158" t="s">
        <v>196</v>
      </c>
      <c r="C4" s="159"/>
      <c r="D4" s="160">
        <f>'주차별 매출이익 보고서'!R8</f>
        <v>1548.52</v>
      </c>
      <c r="G4" s="161" t="s">
        <v>146</v>
      </c>
      <c r="H4" s="161" t="s">
        <v>142</v>
      </c>
      <c r="I4" s="161" t="s">
        <v>197</v>
      </c>
      <c r="L4" s="155"/>
      <c r="M4" s="155"/>
    </row>
    <row r="5" ht="20.1" customHeight="1" spans="2:9" x14ac:dyDescent="0.25">
      <c r="B5" s="163"/>
      <c r="C5" s="164"/>
      <c r="D5" s="165"/>
      <c r="E5" s="166"/>
      <c r="G5" s="161" t="s">
        <v>147</v>
      </c>
      <c r="H5" s="161">
        <v>99000</v>
      </c>
      <c r="I5" s="167"/>
    </row>
    <row r="6" ht="20.1" customHeight="1" spans="2:14" x14ac:dyDescent="0.25">
      <c r="B6" s="158" t="s">
        <v>198</v>
      </c>
      <c r="C6" s="159"/>
      <c r="D6" s="168">
        <v>5687.39</v>
      </c>
      <c r="E6" s="169"/>
      <c r="G6" s="170" t="s">
        <v>148</v>
      </c>
      <c r="H6" s="161">
        <v>187000</v>
      </c>
      <c r="I6" s="167">
        <v>1</v>
      </c>
      <c r="N6" s="166"/>
    </row>
    <row r="7" ht="20.1" customHeight="1" spans="2:9" x14ac:dyDescent="0.25">
      <c r="B7" s="171"/>
      <c r="C7" s="171"/>
      <c r="D7" s="172"/>
      <c r="E7" s="173"/>
      <c r="F7" s="166"/>
      <c r="G7" s="170" t="s">
        <v>149</v>
      </c>
      <c r="H7" s="161">
        <v>275000</v>
      </c>
      <c r="I7" s="167"/>
    </row>
    <row r="8" ht="20.1" customHeight="1" spans="2:4" x14ac:dyDescent="0.25">
      <c r="B8" s="174"/>
      <c r="C8" s="175"/>
      <c r="D8" s="175"/>
    </row>
    <row r="9" ht="20.1" customHeight="1" spans="2:2" x14ac:dyDescent="0.25">
      <c r="B9" s="176" t="s">
        <v>199</v>
      </c>
    </row>
    <row r="10" ht="20.1" customHeight="1" spans="2:9" x14ac:dyDescent="0.25">
      <c r="B10" s="177" t="s">
        <v>200</v>
      </c>
      <c r="C10" s="170">
        <f>E10*460</f>
        <v>939780</v>
      </c>
      <c r="D10" s="178" t="s">
        <v>201</v>
      </c>
      <c r="E10" s="179">
        <v>2043</v>
      </c>
      <c r="G10" s="161" t="s">
        <v>45</v>
      </c>
      <c r="H10" s="180" t="s">
        <v>202</v>
      </c>
      <c r="I10" s="180" t="s">
        <v>203</v>
      </c>
    </row>
    <row r="11" ht="20.1" customHeight="1" spans="2:9" x14ac:dyDescent="0.25">
      <c r="B11" s="177" t="s">
        <v>204</v>
      </c>
      <c r="C11" s="170">
        <v>33000</v>
      </c>
      <c r="G11" s="181" t="s">
        <v>205</v>
      </c>
      <c r="H11" s="182"/>
      <c r="I11" s="183"/>
    </row>
    <row r="12" ht="20.1" customHeight="1" spans="2:9" x14ac:dyDescent="0.25">
      <c r="B12" s="177" t="s">
        <v>206</v>
      </c>
      <c r="C12" s="170">
        <f>E12*10000</f>
        <v>40000</v>
      </c>
      <c r="D12" s="178" t="s">
        <v>207</v>
      </c>
      <c r="E12" s="179">
        <v>4</v>
      </c>
      <c r="G12" s="184" t="s">
        <v>92</v>
      </c>
      <c r="H12" s="182"/>
      <c r="I12" s="183"/>
    </row>
    <row r="13" ht="20.1" customHeight="1" spans="2:9" x14ac:dyDescent="0.25">
      <c r="B13" s="177" t="s">
        <v>208</v>
      </c>
      <c r="C13" s="170">
        <f>(I5*H5)+(I6*H6)+(I7*H7)</f>
        <v>187000</v>
      </c>
      <c r="G13" s="184" t="s">
        <v>70</v>
      </c>
      <c r="H13" s="182"/>
      <c r="I13" s="183"/>
    </row>
    <row r="14" ht="20.1" customHeight="1" spans="2:9" x14ac:dyDescent="0.25">
      <c r="B14" s="177" t="s">
        <v>209</v>
      </c>
      <c r="C14" s="170"/>
      <c r="G14" s="184" t="s">
        <v>72</v>
      </c>
      <c r="H14" s="182"/>
      <c r="I14" s="183"/>
    </row>
    <row r="15" ht="20.1" customHeight="1" spans="2:9" x14ac:dyDescent="0.25">
      <c r="B15" s="177" t="s">
        <v>210</v>
      </c>
      <c r="C15" s="170"/>
      <c r="F15" s="185"/>
      <c r="G15" s="184" t="s">
        <v>211</v>
      </c>
      <c r="H15" s="182"/>
      <c r="I15" s="183"/>
    </row>
    <row r="16" ht="20.1" customHeight="1" spans="2:9" x14ac:dyDescent="0.25">
      <c r="B16" s="177" t="s">
        <v>212</v>
      </c>
      <c r="C16" s="170">
        <f>(H11*I11)+(H12*I12)+(H13*I13)+(H14*I14)+(H15*I15)+(H16*I16)</f>
        <v>0</v>
      </c>
      <c r="G16" s="184" t="s">
        <v>213</v>
      </c>
      <c r="H16" s="182"/>
      <c r="I16" s="183"/>
    </row>
    <row r="17" ht="20.1" customHeight="1" spans="2:3" x14ac:dyDescent="0.25">
      <c r="B17" s="177" t="s">
        <v>214</v>
      </c>
      <c r="C17" s="170">
        <f>SUBTOTAL(9,C10:C16)</f>
        <v>1199780</v>
      </c>
    </row>
    <row r="18" spans="2:3" x14ac:dyDescent="0.25">
      <c r="B18" s="186"/>
      <c r="C18" s="175"/>
    </row>
    <row r="19" spans="2:2" x14ac:dyDescent="0.25">
      <c r="B19" s="187"/>
    </row>
    <row r="20" ht="30" customHeight="1" spans="2:17" s="195" customFormat="1" x14ac:dyDescent="0.25">
      <c r="B20" s="188" t="s">
        <v>215</v>
      </c>
      <c r="C20" s="189"/>
      <c r="D20" s="189"/>
      <c r="E20" s="190" t="s">
        <v>216</v>
      </c>
      <c r="F20" s="188" t="s">
        <v>217</v>
      </c>
      <c r="G20" s="189" t="s">
        <v>218</v>
      </c>
      <c r="H20" s="158" t="s">
        <v>219</v>
      </c>
      <c r="I20" s="191"/>
      <c r="J20" s="192"/>
      <c r="K20" s="193" t="s">
        <v>220</v>
      </c>
      <c r="L20" s="190" t="s">
        <v>221</v>
      </c>
      <c r="M20" s="188" t="s">
        <v>222</v>
      </c>
      <c r="N20" s="188" t="s">
        <v>223</v>
      </c>
      <c r="O20" s="194"/>
      <c r="P20" s="194"/>
      <c r="Q20" s="194"/>
    </row>
    <row r="21" ht="29.1" customHeight="1" spans="2:17" s="195" customFormat="1" x14ac:dyDescent="0.25">
      <c r="B21" s="196" t="s">
        <v>205</v>
      </c>
      <c r="C21" s="197"/>
      <c r="D21" s="197"/>
      <c r="E21" s="198">
        <f>C31</f>
        <v>0</v>
      </c>
      <c r="F21" s="198">
        <f>IF($L$29=$L$30,$D$6*M37,$D$6*R37)</f>
        <v>1815.3643735130852</v>
      </c>
      <c r="G21" s="199">
        <f>SUM(E21:F21)*$D$4</f>
        <v>2811128.0396724828</v>
      </c>
      <c r="H21" s="200">
        <f>$C$17*M37</f>
        <v>382959.11974623316</v>
      </c>
      <c r="I21" s="201"/>
      <c r="J21" s="202"/>
      <c r="K21" s="203">
        <f>G21+H21+I21+J21</f>
        <v>3194087.159418716</v>
      </c>
      <c r="L21" s="204"/>
      <c r="M21" s="205">
        <f>+L21-K21</f>
        <v>-3194087.159418716</v>
      </c>
      <c r="N21" s="215" t="e">
        <f>+M21/L21</f>
        <v>#DIV/0!</v>
      </c>
      <c r="O21" s="194"/>
      <c r="P21" s="194"/>
      <c r="Q21" s="194"/>
    </row>
    <row r="22" ht="29.1" customHeight="1" spans="2:17" s="195" customFormat="1" x14ac:dyDescent="0.25">
      <c r="B22" s="196" t="s">
        <v>70</v>
      </c>
      <c r="C22" s="197"/>
      <c r="D22" s="197"/>
      <c r="E22" s="198">
        <f>D31</f>
        <v>0</v>
      </c>
      <c r="F22" s="198">
        <f>IF($L$29=$L$30,$D$6*M38,$D$6*R38)</f>
        <v>3379.8476457176844</v>
      </c>
      <c r="G22" s="199">
        <f>SUM(E22:F22)*$D$4</f>
        <v>5233761.676346748</v>
      </c>
      <c r="H22" s="200">
        <f>$C$17*M38</f>
        <v>712993.7648691515</v>
      </c>
      <c r="I22" s="201"/>
      <c r="J22" s="202"/>
      <c r="K22" s="203">
        <f>G22+H22+I22+J22</f>
        <v>5946755.4412159</v>
      </c>
      <c r="L22" s="204"/>
      <c r="M22" s="205">
        <f>+L22-K22</f>
        <v>-5946755.4412159</v>
      </c>
      <c r="N22" s="215" t="e">
        <f>+M22/L22</f>
        <v>#DIV/0!</v>
      </c>
      <c r="O22" s="194"/>
      <c r="P22" s="194"/>
      <c r="Q22" s="194"/>
    </row>
    <row r="23" ht="29.1" customHeight="1" spans="2:17" s="195" customFormat="1" x14ac:dyDescent="0.25">
      <c r="B23" s="196" t="s">
        <v>92</v>
      </c>
      <c r="C23" s="197"/>
      <c r="D23" s="197"/>
      <c r="E23" s="198">
        <f>E31</f>
        <v>0</v>
      </c>
      <c r="F23" s="198">
        <f>IF($L$29=$L$30,$D$6*M39,$D$6*R39)</f>
        <v>492.17798076923077</v>
      </c>
      <c r="G23" s="199">
        <f>SUM(E23:F23)*$D$4</f>
        <v>762147.4467807693</v>
      </c>
      <c r="H23" s="200">
        <f>$C$17*M39</f>
        <v>103827.11538461538</v>
      </c>
      <c r="I23" s="201"/>
      <c r="J23" s="202"/>
      <c r="K23" s="203">
        <f>G23+H23+I23+J23</f>
        <v>865974.5621653846</v>
      </c>
      <c r="L23" s="204"/>
      <c r="M23" s="205">
        <f>+L23-K23</f>
        <v>-865974.5621653846</v>
      </c>
      <c r="N23" s="215" t="e">
        <f>+M23/L23</f>
        <v>#DIV/0!</v>
      </c>
      <c r="O23" s="194"/>
      <c r="P23" s="194"/>
      <c r="Q23" s="194"/>
    </row>
    <row r="24" ht="29.1" customHeight="1" spans="2:17" s="195" customFormat="1" x14ac:dyDescent="0.25">
      <c r="B24" s="196" t="s">
        <v>91</v>
      </c>
      <c r="C24" s="197"/>
      <c r="D24" s="197"/>
      <c r="E24" s="198">
        <f>F31</f>
        <v>0</v>
      </c>
      <c r="F24" s="198">
        <f>IF($L$29=$L$30,$D$6*M40,$D$6*R40)</f>
        <v>0</v>
      </c>
      <c r="G24" s="199">
        <f>SUM(E24:F24)*$D$4</f>
        <v>0</v>
      </c>
      <c r="H24" s="200">
        <f>$C$17*M40</f>
        <v>0</v>
      </c>
      <c r="I24" s="201"/>
      <c r="J24" s="202"/>
      <c r="K24" s="203">
        <f>G24+H24+I24+J24</f>
        <v>0</v>
      </c>
      <c r="L24" s="204"/>
      <c r="M24" s="205">
        <f>+L24-K24</f>
        <v>0</v>
      </c>
      <c r="N24" s="215" t="e">
        <f>+M24/L24</f>
        <v>#DIV/0!</v>
      </c>
      <c r="O24" s="194"/>
      <c r="P24" s="194"/>
      <c r="Q24" s="194"/>
    </row>
    <row r="27" spans="19:19" x14ac:dyDescent="0.25">
      <c r="S27" s="162"/>
    </row>
    <row r="28" spans="19:19" x14ac:dyDescent="0.25">
      <c r="S28" s="162"/>
    </row>
    <row r="29" spans="11:19" x14ac:dyDescent="0.25">
      <c r="K29" s="207" t="s">
        <v>224</v>
      </c>
      <c r="L29" s="179">
        <v>2043</v>
      </c>
      <c r="S29" s="162"/>
    </row>
    <row r="30" spans="2:19" x14ac:dyDescent="0.25">
      <c r="B30" s="208"/>
      <c r="C30" s="179" t="s">
        <v>205</v>
      </c>
      <c r="D30" s="179" t="s">
        <v>70</v>
      </c>
      <c r="E30" s="179" t="s">
        <v>225</v>
      </c>
      <c r="F30" s="179" t="s">
        <v>226</v>
      </c>
      <c r="K30" s="207" t="s">
        <v>227</v>
      </c>
      <c r="L30" s="179">
        <v>2043</v>
      </c>
      <c r="S30" s="162"/>
    </row>
    <row r="31" ht="17.25" customHeight="1" spans="2:19" x14ac:dyDescent="0.25">
      <c r="B31" s="208" t="s">
        <v>228</v>
      </c>
      <c r="C31" s="179">
        <f>SUM(C32:C73)</f>
        <v>0</v>
      </c>
      <c r="D31" s="179">
        <f>SUM(D32:D73)</f>
        <v>0</v>
      </c>
      <c r="E31" s="179">
        <f>SUM(E32:E73)</f>
        <v>0</v>
      </c>
      <c r="F31" s="179">
        <f>SUM(F32:F73)</f>
        <v>0</v>
      </c>
      <c r="S31" s="162"/>
    </row>
    <row r="32" ht="17.25" customHeight="1" spans="2:19" x14ac:dyDescent="0.25">
      <c r="B32" s="209" t="s">
        <v>229</v>
      </c>
      <c r="C32" s="179"/>
      <c r="D32" s="179"/>
      <c r="E32" s="179"/>
      <c r="F32" s="179"/>
      <c r="J32" s="210" t="s">
        <v>230</v>
      </c>
      <c r="K32" s="211"/>
      <c r="L32" s="211"/>
      <c r="M32" s="211"/>
      <c r="N32" s="211"/>
      <c r="O32" s="211"/>
      <c r="P32" s="216"/>
      <c r="Q32" s="216"/>
      <c r="R32" s="217"/>
      <c r="S32" s="162"/>
    </row>
    <row r="33" spans="2:19" x14ac:dyDescent="0.25">
      <c r="B33" s="209" t="s">
        <v>231</v>
      </c>
      <c r="C33" s="179"/>
      <c r="D33" s="179"/>
      <c r="E33" s="179"/>
      <c r="F33" s="179"/>
      <c r="J33" s="162" t="s">
        <v>232</v>
      </c>
      <c r="K33" s="155" t="s">
        <v>233</v>
      </c>
      <c r="O33" s="155" t="s">
        <v>234</v>
      </c>
      <c r="P33" s="156" t="s">
        <v>235</v>
      </c>
      <c r="Q33" s="156"/>
      <c r="R33" s="156"/>
      <c r="S33" s="162"/>
    </row>
    <row r="34" spans="2:19" x14ac:dyDescent="0.25">
      <c r="B34" s="209" t="s">
        <v>280</v>
      </c>
      <c r="C34" s="179"/>
      <c r="D34" s="179"/>
      <c r="E34" s="179"/>
      <c r="F34" s="179"/>
      <c r="S34" s="162"/>
    </row>
    <row r="35" spans="2:19" x14ac:dyDescent="0.25">
      <c r="B35" s="209" t="s">
        <v>236</v>
      </c>
      <c r="C35" s="179"/>
      <c r="D35" s="179"/>
      <c r="E35" s="179"/>
      <c r="F35" s="179"/>
      <c r="J35" s="155" t="s">
        <v>238</v>
      </c>
      <c r="L35" s="213"/>
      <c r="O35" s="155" t="s">
        <v>238</v>
      </c>
      <c r="S35" s="162"/>
    </row>
    <row r="36" spans="2:19" x14ac:dyDescent="0.25">
      <c r="B36" s="209" t="s">
        <v>237</v>
      </c>
      <c r="C36" s="179"/>
      <c r="D36" s="179"/>
      <c r="E36" s="179"/>
      <c r="F36" s="179"/>
      <c r="K36" s="155" t="s">
        <v>240</v>
      </c>
      <c r="L36" s="155" t="s">
        <v>241</v>
      </c>
      <c r="M36" s="155" t="s">
        <v>242</v>
      </c>
      <c r="P36" s="156" t="s">
        <v>243</v>
      </c>
      <c r="Q36" s="156" t="s">
        <v>241</v>
      </c>
      <c r="R36" t="s">
        <v>242</v>
      </c>
      <c r="S36" s="162"/>
    </row>
    <row r="37" spans="2:19" x14ac:dyDescent="0.25">
      <c r="B37" s="209" t="s">
        <v>239</v>
      </c>
      <c r="C37" s="179"/>
      <c r="D37" s="179"/>
      <c r="E37" s="179"/>
      <c r="F37" s="179"/>
      <c r="J37" s="162" t="s">
        <v>205</v>
      </c>
      <c r="K37" s="155">
        <v>7</v>
      </c>
      <c r="L37" s="214">
        <v>92</v>
      </c>
      <c r="M37" s="155">
        <f>K37*L37/($K$37*$L$37+$K$38*$L$38+$K$39*$L$39+$K$40*$L$40)</f>
        <v>0.31919111816019036</v>
      </c>
      <c r="O37" s="155" t="s">
        <v>205</v>
      </c>
      <c r="P37" s="156">
        <v>10</v>
      </c>
      <c r="Q37" s="214">
        <v>92</v>
      </c>
      <c r="R37">
        <f>(P37*Q37)/($P$37*$Q$37+$P$38*$Q$38+$P$39*$Q$39+$P$40*$Q$40)</f>
        <v>0.40979955456570155</v>
      </c>
      <c r="S37" s="162"/>
    </row>
    <row r="38" spans="2:19" x14ac:dyDescent="0.25">
      <c r="B38" s="209" t="s">
        <v>244</v>
      </c>
      <c r="C38" s="179"/>
      <c r="D38" s="179"/>
      <c r="E38" s="179"/>
      <c r="F38" s="179"/>
      <c r="J38" s="162" t="s">
        <v>70</v>
      </c>
      <c r="K38" s="155">
        <v>11</v>
      </c>
      <c r="L38" s="214">
        <v>109</v>
      </c>
      <c r="M38" s="155">
        <f>K38*L38/($K$37*$L$37+$K$38*$L$38+$K$39*$L$39+$K$40*$L$40)</f>
        <v>0.5942704203013481</v>
      </c>
      <c r="O38" s="155" t="s">
        <v>70</v>
      </c>
      <c r="P38" s="156">
        <v>11</v>
      </c>
      <c r="Q38" s="214">
        <v>109</v>
      </c>
      <c r="R38">
        <f>(P38*Q38)/($P$37*$Q$37+$P$38*$Q$38+$P$39*$Q$39+$P$40*$Q$40)</f>
        <v>0.534075723830735</v>
      </c>
      <c r="S38" s="162"/>
    </row>
    <row r="39" spans="2:19" x14ac:dyDescent="0.25">
      <c r="B39" s="209" t="s">
        <v>245</v>
      </c>
      <c r="C39" s="179"/>
      <c r="D39" s="179"/>
      <c r="E39" s="179"/>
      <c r="F39" s="179"/>
      <c r="J39" s="162" t="s">
        <v>92</v>
      </c>
      <c r="K39" s="155">
        <v>9.7</v>
      </c>
      <c r="L39" s="214">
        <v>18</v>
      </c>
      <c r="M39" s="155">
        <f>K39*L39/($K$37*$L$37+$K$38*$L$38+$K$39*$L$39+$K$40*$L$40)</f>
        <v>0.08653846153846154</v>
      </c>
      <c r="O39" s="155" t="s">
        <v>92</v>
      </c>
      <c r="P39" s="156">
        <v>7</v>
      </c>
      <c r="Q39" s="214">
        <v>18</v>
      </c>
      <c r="R39">
        <f>(P39*Q39)/($P$37*$Q$37+$P$38*$Q$38+$P$39*$Q$39+$P$40*$Q$40)</f>
        <v>0.05612472160356347</v>
      </c>
      <c r="S39" s="162"/>
    </row>
    <row r="40" spans="2:19" x14ac:dyDescent="0.25">
      <c r="B40" s="209" t="s">
        <v>281</v>
      </c>
      <c r="C40" s="179"/>
      <c r="D40" s="179"/>
      <c r="E40" s="179"/>
      <c r="F40" s="179"/>
      <c r="J40" s="162" t="s">
        <v>248</v>
      </c>
      <c r="K40" s="155">
        <v>8</v>
      </c>
      <c r="L40" s="214"/>
      <c r="M40" s="155">
        <f>K40*L40/($K$37*$L$37+$K$38*$L$38+$K$39*$L$39+$K$40*$L$40)</f>
        <v>0</v>
      </c>
      <c r="O40" s="155" t="s">
        <v>248</v>
      </c>
      <c r="P40" s="156">
        <v>9.6</v>
      </c>
      <c r="Q40" s="214"/>
      <c r="R40">
        <f>(P40*Q40)/($P$37*$Q$37+$P$38*$Q$38+$P$39*$Q$39+$P$40*$Q$40)</f>
        <v>0</v>
      </c>
      <c r="S40" s="162"/>
    </row>
    <row r="41" spans="2:19" x14ac:dyDescent="0.25">
      <c r="B41" s="209" t="s">
        <v>246</v>
      </c>
      <c r="C41" s="179"/>
      <c r="D41" s="179"/>
      <c r="E41" s="179"/>
      <c r="F41" s="179"/>
      <c r="M41" s="155">
        <f>SUM(M37:M40)</f>
        <v>1</v>
      </c>
      <c r="Q41" s="155"/>
      <c r="R41">
        <f>SUM(R37:R40)</f>
        <v>1</v>
      </c>
      <c r="S41" s="162"/>
    </row>
    <row r="42" spans="2:19" x14ac:dyDescent="0.25">
      <c r="B42" s="209" t="s">
        <v>247</v>
      </c>
      <c r="C42" s="179"/>
      <c r="D42" s="179"/>
      <c r="E42" s="179"/>
      <c r="F42" s="179"/>
      <c r="Q42" s="155"/>
      <c r="S42" s="162"/>
    </row>
    <row r="43" spans="2:19" x14ac:dyDescent="0.25">
      <c r="B43" s="209" t="s">
        <v>249</v>
      </c>
      <c r="C43" s="179"/>
      <c r="D43" s="179"/>
      <c r="E43" s="179"/>
      <c r="F43" s="179"/>
      <c r="S43" s="162"/>
    </row>
    <row r="44" spans="2:19" x14ac:dyDescent="0.25">
      <c r="B44" s="209" t="s">
        <v>250</v>
      </c>
      <c r="C44" s="179"/>
      <c r="D44" s="179"/>
      <c r="E44" s="179"/>
      <c r="F44" s="179"/>
      <c r="S44" s="162"/>
    </row>
    <row r="45" spans="2:19" x14ac:dyDescent="0.25">
      <c r="B45" s="209" t="s">
        <v>251</v>
      </c>
      <c r="C45" s="179"/>
      <c r="D45" s="179"/>
      <c r="E45" s="179"/>
      <c r="F45" s="179"/>
      <c r="S45" s="162"/>
    </row>
    <row r="46" spans="2:19" x14ac:dyDescent="0.25">
      <c r="B46" s="209" t="s">
        <v>252</v>
      </c>
      <c r="C46" s="179"/>
      <c r="D46" s="179"/>
      <c r="E46" s="179"/>
      <c r="F46" s="179"/>
      <c r="S46" s="162"/>
    </row>
    <row r="47" spans="2:19" x14ac:dyDescent="0.25">
      <c r="B47" s="209" t="s">
        <v>253</v>
      </c>
      <c r="C47" s="179"/>
      <c r="D47" s="179"/>
      <c r="E47" s="179"/>
      <c r="F47" s="179"/>
      <c r="S47" s="162"/>
    </row>
    <row r="48" spans="2:19" x14ac:dyDescent="0.25">
      <c r="B48" s="209" t="s">
        <v>254</v>
      </c>
      <c r="C48" s="179"/>
      <c r="D48" s="179"/>
      <c r="E48" s="179"/>
      <c r="F48" s="179"/>
      <c r="S48" s="162"/>
    </row>
    <row r="49" spans="2:6" x14ac:dyDescent="0.25">
      <c r="B49" s="209" t="s">
        <v>255</v>
      </c>
      <c r="C49" s="179"/>
      <c r="D49" s="179"/>
      <c r="E49" s="179"/>
      <c r="F49" s="179"/>
    </row>
    <row r="50" spans="2:6" x14ac:dyDescent="0.25">
      <c r="B50" s="209" t="s">
        <v>256</v>
      </c>
      <c r="C50" s="179"/>
      <c r="D50" s="179"/>
      <c r="E50" s="179"/>
      <c r="F50" s="179"/>
    </row>
    <row r="51" spans="2:6" x14ac:dyDescent="0.25">
      <c r="B51" s="209" t="s">
        <v>257</v>
      </c>
      <c r="C51" s="179"/>
      <c r="D51" s="179"/>
      <c r="E51" s="179"/>
      <c r="F51" s="179"/>
    </row>
    <row r="52" spans="2:6" x14ac:dyDescent="0.25">
      <c r="B52" s="209" t="s">
        <v>258</v>
      </c>
      <c r="C52" s="179"/>
      <c r="D52" s="179"/>
      <c r="E52" s="179"/>
      <c r="F52" s="179"/>
    </row>
    <row r="53" spans="2:6" x14ac:dyDescent="0.25">
      <c r="B53" s="209" t="s">
        <v>259</v>
      </c>
      <c r="C53" s="179"/>
      <c r="D53" s="179"/>
      <c r="E53" s="179"/>
      <c r="F53" s="179"/>
    </row>
    <row r="54" spans="2:6" x14ac:dyDescent="0.25">
      <c r="B54" s="209" t="s">
        <v>260</v>
      </c>
      <c r="C54" s="179"/>
      <c r="D54" s="179"/>
      <c r="E54" s="179"/>
      <c r="F54" s="179"/>
    </row>
    <row r="55" spans="2:6" x14ac:dyDescent="0.25">
      <c r="B55" s="209" t="s">
        <v>262</v>
      </c>
      <c r="C55" s="179"/>
      <c r="D55" s="179"/>
      <c r="E55" s="179"/>
      <c r="F55" s="179"/>
    </row>
    <row r="56" spans="2:6" x14ac:dyDescent="0.25">
      <c r="B56" s="209" t="s">
        <v>263</v>
      </c>
      <c r="C56" s="179"/>
      <c r="D56" s="179"/>
      <c r="E56" s="179"/>
      <c r="F56" s="179"/>
    </row>
    <row r="57" spans="2:6" x14ac:dyDescent="0.25">
      <c r="B57" s="209" t="s">
        <v>264</v>
      </c>
      <c r="C57" s="179"/>
      <c r="D57" s="179"/>
      <c r="E57" s="179"/>
      <c r="F57" s="179"/>
    </row>
    <row r="58" spans="2:6" x14ac:dyDescent="0.25">
      <c r="B58" s="209" t="s">
        <v>265</v>
      </c>
      <c r="C58" s="179"/>
      <c r="D58" s="179"/>
      <c r="E58" s="179"/>
      <c r="F58" s="179"/>
    </row>
    <row r="59" spans="2:6" x14ac:dyDescent="0.25">
      <c r="B59" s="209" t="s">
        <v>266</v>
      </c>
      <c r="C59" s="179"/>
      <c r="D59" s="179"/>
      <c r="E59" s="179"/>
      <c r="F59" s="179"/>
    </row>
    <row r="60" spans="2:6" x14ac:dyDescent="0.25">
      <c r="B60" s="209" t="s">
        <v>267</v>
      </c>
      <c r="C60" s="179"/>
      <c r="D60" s="179"/>
      <c r="E60" s="179"/>
      <c r="F60" s="179"/>
    </row>
    <row r="61" spans="2:6" x14ac:dyDescent="0.25">
      <c r="B61" s="209" t="s">
        <v>282</v>
      </c>
      <c r="C61" s="179"/>
      <c r="D61" s="179"/>
      <c r="E61" s="179"/>
      <c r="F61" s="179"/>
    </row>
    <row r="62" spans="2:6" x14ac:dyDescent="0.25">
      <c r="B62" s="209" t="s">
        <v>268</v>
      </c>
      <c r="C62" s="179"/>
      <c r="D62" s="179"/>
      <c r="E62" s="179"/>
      <c r="F62" s="179"/>
    </row>
    <row r="63" spans="2:6" x14ac:dyDescent="0.25">
      <c r="B63" s="209" t="s">
        <v>269</v>
      </c>
      <c r="C63" s="179"/>
      <c r="D63" s="179"/>
      <c r="E63" s="179"/>
      <c r="F63" s="179"/>
    </row>
    <row r="64" spans="2:6" x14ac:dyDescent="0.25">
      <c r="B64" s="209" t="s">
        <v>270</v>
      </c>
      <c r="C64" s="179"/>
      <c r="D64" s="179"/>
      <c r="E64" s="179"/>
      <c r="F64" s="179"/>
    </row>
    <row r="65" spans="2:6" x14ac:dyDescent="0.25">
      <c r="B65" s="209" t="s">
        <v>271</v>
      </c>
      <c r="C65" s="179"/>
      <c r="D65" s="179"/>
      <c r="E65" s="179"/>
      <c r="F65" s="179"/>
    </row>
    <row r="66" spans="2:6" x14ac:dyDescent="0.25">
      <c r="B66" s="209" t="s">
        <v>272</v>
      </c>
      <c r="C66" s="179"/>
      <c r="D66" s="179"/>
      <c r="E66" s="179"/>
      <c r="F66" s="179"/>
    </row>
    <row r="67" spans="2:6" x14ac:dyDescent="0.25">
      <c r="B67" s="209" t="s">
        <v>273</v>
      </c>
      <c r="C67" s="179"/>
      <c r="D67" s="179"/>
      <c r="E67" s="179"/>
      <c r="F67" s="179"/>
    </row>
    <row r="68" spans="2:6" x14ac:dyDescent="0.25">
      <c r="B68" s="209" t="s">
        <v>274</v>
      </c>
      <c r="C68" s="179"/>
      <c r="D68" s="179"/>
      <c r="E68" s="179"/>
      <c r="F68" s="179"/>
    </row>
    <row r="69" spans="2:6" x14ac:dyDescent="0.25">
      <c r="B69" s="209" t="s">
        <v>283</v>
      </c>
      <c r="C69" s="179"/>
      <c r="D69" s="179"/>
      <c r="E69" s="179"/>
      <c r="F69" s="179"/>
    </row>
    <row r="70" spans="2:6" x14ac:dyDescent="0.25">
      <c r="B70" s="209" t="s">
        <v>275</v>
      </c>
      <c r="C70" s="179"/>
      <c r="D70" s="179"/>
      <c r="E70" s="179"/>
      <c r="F70" s="179"/>
    </row>
    <row r="71" spans="2:6" x14ac:dyDescent="0.25">
      <c r="B71" s="209" t="s">
        <v>276</v>
      </c>
      <c r="C71" s="179"/>
      <c r="D71" s="179"/>
      <c r="E71" s="179"/>
      <c r="F71" s="179"/>
    </row>
    <row r="72" spans="2:6" x14ac:dyDescent="0.25">
      <c r="B72" s="209" t="s">
        <v>277</v>
      </c>
      <c r="C72" s="179"/>
      <c r="D72" s="179"/>
      <c r="E72" s="179"/>
      <c r="F72" s="179"/>
    </row>
    <row r="73" spans="2:6" x14ac:dyDescent="0.25">
      <c r="B73" s="209" t="s">
        <v>278</v>
      </c>
      <c r="C73" s="179"/>
      <c r="D73" s="179"/>
      <c r="E73" s="179"/>
      <c r="F73" s="179"/>
    </row>
  </sheetData>
  <mergeCells count="14">
    <mergeCell ref="B2:N2"/>
    <mergeCell ref="B4:C4"/>
    <mergeCell ref="L4:M4"/>
    <mergeCell ref="B5:C5"/>
    <mergeCell ref="B6:C6"/>
    <mergeCell ref="B7:C7"/>
    <mergeCell ref="B20:D20"/>
    <mergeCell ref="H20:J20"/>
    <mergeCell ref="B21:D21"/>
    <mergeCell ref="B22:D22"/>
    <mergeCell ref="B23:D23"/>
    <mergeCell ref="B24:D24"/>
    <mergeCell ref="J32:R32"/>
    <mergeCell ref="P33:R33"/>
  </mergeCells>
  <pageMargins left="0.708661417322835" right="0.708661417322835" top="0.748031496062992" bottom="0.748031496062992" header="0.31496062992126" footer="0.31496062992126"/>
  <pageSetup paperSize="9" orientation="landscape" horizontalDpi="4294967295" verticalDpi="4294967295" scale="35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 zoomScaleNormal="100">
      <selection activeCell="H74" sqref="H74"/>
    </sheetView>
  </sheetViews>
  <sheetFormatPr defaultRowHeight="16.5" outlineLevelRow="0" outlineLevelCol="0" x14ac:dyDescent="0" customHeight="1"/>
  <cols>
    <col min="1" max="1" width="17.125" style="123" customWidth="1"/>
    <col min="2" max="2" width="20.125" style="123" customWidth="1"/>
    <col min="3" max="7" width="14.625" style="123" customWidth="1"/>
    <col min="8" max="8" width="12.5" style="123" customWidth="1"/>
    <col min="9" max="9" width="30.125" style="123" customWidth="1"/>
    <col min="10" max="16384" width="9" style="123" customWidth="1"/>
  </cols>
  <sheetData>
    <row r="1" spans="1:10" x14ac:dyDescent="0.25">
      <c r="A1" s="125"/>
      <c r="J1" s="149"/>
    </row>
    <row r="2" ht="17.25" customHeight="1" spans="1:9" x14ac:dyDescent="0.25">
      <c r="A2" s="126" t="s">
        <v>152</v>
      </c>
      <c r="B2" s="127" t="s">
        <v>153</v>
      </c>
      <c r="C2" s="127" t="s">
        <v>192</v>
      </c>
      <c r="D2" s="127" t="s">
        <v>155</v>
      </c>
      <c r="E2" s="127" t="s">
        <v>193</v>
      </c>
      <c r="F2" s="127" t="s">
        <v>143</v>
      </c>
      <c r="G2" s="127" t="s">
        <v>184</v>
      </c>
      <c r="H2" s="126" t="s">
        <v>151</v>
      </c>
      <c r="I2" s="127" t="s">
        <v>194</v>
      </c>
    </row>
    <row r="3" ht="17.25" customHeight="1" spans="1:10" x14ac:dyDescent="0.25">
      <c r="A3" s="128"/>
      <c r="B3" s="150"/>
      <c r="C3" s="150"/>
      <c r="D3" s="130"/>
      <c r="E3" s="130"/>
      <c r="F3" s="131"/>
      <c r="G3" s="131"/>
      <c r="H3" s="111"/>
      <c r="I3" s="150"/>
      <c r="J3" s="123">
        <f>IFERROR(IF(INDEX(품목리스트!$E$2:$E$3000,MATCH(TRIM(SUBSTITUTE(SUBSTITUTE(SUBSTITUTE(CLEAN(I3)," 계",""),"계",""),CHAR(160)," "))&amp;"*",TRIM(SUBSTITUTE(SUBSTITUTE(CLEAN(품목리스트!$C$2:$C$3000),CHAR(160)," "),CHAR(9)," ")),0))="콜롬비아",IF(ISNUMBER(SEARCH("Hydrangea",I3)),"콜롬비아 수국",IF(ISNUMBER(SEARCH("carnation",I3)),"콜롬비아 카네이션",IF(ISNUMBER(SEARCH("Rose",I3)),"콜롬비아 장미",IF(ISNUMBER(SEARCH("ruscus",I3)),"콜롬비아 루스커스",IF(ISNUMBER(SEARCH("ALSTROMERIA",I3)),"콜롬비아 알스트로","콜롬비아"))))),INDEX(품목리스트!$E$2:$E$3000,MATCH(TRIM(SUBSTITUTE(SUBSTITUTE(SUBSTITUTE(CLEAN(I3)," 계",""),"계",""),CHAR(160)," "))&amp;"*",TRIM(SUBSTITUTE(SUBSTITUTE(CLEAN(품목리스트!$C$2:$C$3000),CHAR(160)," "),CHAR(9)," ")),0))),IF(ISNUMBER(SEARCH("ALSTROMERIA",I3)),"콜롬비아 알스트로",IF(ISNUMBER(SEARCH("Den.",I3)),"태국",IF(ISNUMBER(SEARCH("CHINA",I3)),"중국",IF(AND(ISNUMBER(SEARCH("rose",I3)),NOT(ISNUMBER(SEARCH("CHINA",I3)))),"콜롬비아 장미",IF(AND(ISNUMBER(SEARCH("carnation",I3)),NOT(ISNUMBER(SEARCH("CHINA",I3)))),"콜롬비아 카네이션",IF(ISNUMBER(SEARCH("Peony",I3)),"뉴질랜드",IF(ISNUMBER(SEARCH("Amaryllis",I3)),"네덜란드",IF(ISNUMBER(SEARCH("Sweet pea",I3)),"일본","")))))))))</f>
      </c>
    </row>
    <row r="4" ht="17.25" customHeight="1" spans="1:10" x14ac:dyDescent="0.25">
      <c r="A4" s="128"/>
      <c r="B4" s="150"/>
      <c r="C4" s="150"/>
      <c r="D4" s="130"/>
      <c r="E4" s="130"/>
      <c r="F4" s="131"/>
      <c r="G4" s="131"/>
      <c r="H4" s="111"/>
      <c r="I4" s="150"/>
      <c r="J4" s="123"/>
    </row>
    <row r="5" ht="17.25" customHeight="1" spans="1:10" x14ac:dyDescent="0.25">
      <c r="A5" s="128"/>
      <c r="B5" s="150"/>
      <c r="C5" s="150"/>
      <c r="D5" s="130"/>
      <c r="E5" s="130"/>
      <c r="F5" s="131"/>
      <c r="G5" s="131"/>
      <c r="H5" s="111"/>
      <c r="I5" s="150"/>
      <c r="J5" s="123"/>
    </row>
    <row r="6" ht="17.25" customHeight="1" spans="1:10" x14ac:dyDescent="0.25">
      <c r="A6" s="128"/>
      <c r="B6" s="150"/>
      <c r="C6" s="150"/>
      <c r="D6" s="130"/>
      <c r="E6" s="130"/>
      <c r="F6" s="131"/>
      <c r="G6" s="131"/>
      <c r="H6" s="111"/>
      <c r="I6" s="150"/>
      <c r="J6" s="123"/>
    </row>
    <row r="7" ht="17.25" customHeight="1" spans="1:10" x14ac:dyDescent="0.25">
      <c r="A7" s="128"/>
      <c r="B7" s="150"/>
      <c r="C7" s="150"/>
      <c r="D7" s="130"/>
      <c r="E7" s="130"/>
      <c r="F7" s="131"/>
      <c r="G7" s="131"/>
      <c r="H7" s="111"/>
      <c r="I7" s="150"/>
      <c r="J7" s="123"/>
    </row>
    <row r="8" ht="17.25" customHeight="1" spans="1:10" x14ac:dyDescent="0.25">
      <c r="A8" s="128"/>
      <c r="B8" s="150"/>
      <c r="C8" s="150"/>
      <c r="D8" s="130"/>
      <c r="E8" s="130"/>
      <c r="F8" s="131"/>
      <c r="G8" s="131"/>
      <c r="H8" s="111"/>
      <c r="I8" s="150"/>
      <c r="J8" s="123"/>
    </row>
    <row r="9" ht="17.25" customHeight="1" spans="1:10" x14ac:dyDescent="0.25">
      <c r="A9" s="128"/>
      <c r="B9" s="150"/>
      <c r="C9" s="150"/>
      <c r="D9" s="130"/>
      <c r="E9" s="130"/>
      <c r="F9" s="131"/>
      <c r="G9" s="131"/>
      <c r="H9" s="111"/>
      <c r="I9" s="150"/>
      <c r="J9" s="123"/>
    </row>
    <row r="10" ht="17.25" customHeight="1" spans="1:10" x14ac:dyDescent="0.25">
      <c r="A10" s="128"/>
      <c r="B10" s="150"/>
      <c r="C10" s="150"/>
      <c r="D10" s="130"/>
      <c r="E10" s="130"/>
      <c r="F10" s="131"/>
      <c r="G10" s="131"/>
      <c r="H10" s="111"/>
      <c r="I10" s="150"/>
      <c r="J10" s="123"/>
    </row>
    <row r="11" ht="17.25" customHeight="1" spans="1:10" x14ac:dyDescent="0.25">
      <c r="A11" s="128"/>
      <c r="B11" s="150"/>
      <c r="C11" s="150"/>
      <c r="D11" s="130"/>
      <c r="E11" s="130"/>
      <c r="F11" s="131"/>
      <c r="G11" s="131"/>
      <c r="H11" s="111"/>
      <c r="I11" s="150"/>
      <c r="J11" s="123"/>
    </row>
    <row r="12" ht="17.25" customHeight="1" spans="1:10" x14ac:dyDescent="0.25">
      <c r="A12" s="128"/>
      <c r="B12" s="150"/>
      <c r="C12" s="150"/>
      <c r="D12" s="130"/>
      <c r="E12" s="130"/>
      <c r="F12" s="131"/>
      <c r="G12" s="131"/>
      <c r="H12" s="111"/>
      <c r="I12" s="150"/>
      <c r="J12" s="123"/>
    </row>
    <row r="13" ht="17.25" customHeight="1" spans="1:10" x14ac:dyDescent="0.25">
      <c r="A13" s="128"/>
      <c r="B13" s="150"/>
      <c r="C13" s="150"/>
      <c r="D13" s="130"/>
      <c r="E13" s="130"/>
      <c r="F13" s="131"/>
      <c r="G13" s="131"/>
      <c r="H13" s="111"/>
      <c r="I13" s="150"/>
      <c r="J13" s="123"/>
    </row>
    <row r="14" ht="17.25" customHeight="1" spans="1:10" x14ac:dyDescent="0.25">
      <c r="A14" s="128"/>
      <c r="B14" s="150"/>
      <c r="C14" s="150"/>
      <c r="D14" s="130"/>
      <c r="E14" s="130"/>
      <c r="F14" s="131"/>
      <c r="G14" s="131"/>
      <c r="H14" s="111"/>
      <c r="I14" s="150"/>
      <c r="J14" s="123"/>
    </row>
    <row r="15" ht="17.25" customHeight="1" spans="1:10" x14ac:dyDescent="0.25">
      <c r="A15" s="128"/>
      <c r="B15" s="150"/>
      <c r="C15" s="150"/>
      <c r="D15" s="130"/>
      <c r="E15" s="130"/>
      <c r="F15" s="131"/>
      <c r="G15" s="131"/>
      <c r="H15" s="111"/>
      <c r="I15" s="150"/>
      <c r="J15" s="123"/>
    </row>
    <row r="16" ht="17.25" customHeight="1" spans="1:10" x14ac:dyDescent="0.25">
      <c r="A16" s="128"/>
      <c r="B16" s="150"/>
      <c r="C16" s="150"/>
      <c r="D16" s="130"/>
      <c r="E16" s="130"/>
      <c r="F16" s="131"/>
      <c r="G16" s="131"/>
      <c r="H16" s="111"/>
      <c r="I16" s="150"/>
      <c r="J16" s="123"/>
    </row>
    <row r="17" ht="17.25" customHeight="1" spans="1:10" x14ac:dyDescent="0.25">
      <c r="A17" s="128"/>
      <c r="B17" s="150"/>
      <c r="C17" s="150"/>
      <c r="D17" s="130"/>
      <c r="E17" s="130"/>
      <c r="F17" s="131"/>
      <c r="G17" s="131"/>
      <c r="H17" s="111"/>
      <c r="I17" s="150"/>
      <c r="J17" s="123"/>
    </row>
    <row r="18" ht="17.25" customHeight="1" spans="1:10" x14ac:dyDescent="0.25">
      <c r="A18" s="128"/>
      <c r="B18" s="150"/>
      <c r="C18" s="150"/>
      <c r="D18" s="130"/>
      <c r="E18" s="130"/>
      <c r="F18" s="131"/>
      <c r="G18" s="131"/>
      <c r="H18" s="111"/>
      <c r="I18" s="150"/>
      <c r="J18" s="123"/>
    </row>
    <row r="19" ht="17.25" customHeight="1" spans="1:10" x14ac:dyDescent="0.25">
      <c r="A19" s="128"/>
      <c r="B19" s="150"/>
      <c r="C19" s="150"/>
      <c r="D19" s="130"/>
      <c r="E19" s="130"/>
      <c r="F19" s="131"/>
      <c r="G19" s="131"/>
      <c r="H19" s="111"/>
      <c r="I19" s="150"/>
      <c r="J19" s="123"/>
    </row>
    <row r="20" ht="17.25" customHeight="1" spans="1:10" x14ac:dyDescent="0.25">
      <c r="A20" s="128"/>
      <c r="B20" s="150"/>
      <c r="C20" s="150"/>
      <c r="D20" s="130"/>
      <c r="E20" s="130"/>
      <c r="F20" s="131"/>
      <c r="G20" s="131"/>
      <c r="H20" s="111"/>
      <c r="I20" s="150"/>
      <c r="J20" s="123"/>
    </row>
    <row r="21" ht="17.25" customHeight="1" spans="1:10" x14ac:dyDescent="0.25">
      <c r="A21" s="128"/>
      <c r="B21" s="150"/>
      <c r="C21" s="150"/>
      <c r="D21" s="130"/>
      <c r="E21" s="130"/>
      <c r="F21" s="131"/>
      <c r="G21" s="131"/>
      <c r="H21" s="111"/>
      <c r="I21" s="150"/>
      <c r="J21" s="123"/>
    </row>
    <row r="22" ht="17.25" customHeight="1" spans="1:10" x14ac:dyDescent="0.25">
      <c r="A22" s="128"/>
      <c r="B22" s="150"/>
      <c r="C22" s="150"/>
      <c r="D22" s="130"/>
      <c r="E22" s="130"/>
      <c r="F22" s="131"/>
      <c r="G22" s="131"/>
      <c r="H22" s="111"/>
      <c r="I22" s="150"/>
      <c r="J22" s="123"/>
    </row>
    <row r="23" ht="17.25" customHeight="1" spans="1:10" x14ac:dyDescent="0.25">
      <c r="A23" s="128"/>
      <c r="B23" s="150"/>
      <c r="C23" s="150"/>
      <c r="D23" s="130"/>
      <c r="E23" s="130"/>
      <c r="F23" s="131"/>
      <c r="G23" s="131"/>
      <c r="H23" s="111"/>
      <c r="I23" s="150"/>
      <c r="J23" s="123"/>
    </row>
    <row r="24" ht="17.25" customHeight="1" spans="1:10" x14ac:dyDescent="0.25">
      <c r="A24" s="128"/>
      <c r="B24" s="150"/>
      <c r="C24" s="150"/>
      <c r="D24" s="130"/>
      <c r="E24" s="130"/>
      <c r="F24" s="131"/>
      <c r="G24" s="131"/>
      <c r="H24" s="111"/>
      <c r="I24" s="150"/>
      <c r="J24" s="123"/>
    </row>
    <row r="25" ht="17.25" customHeight="1" spans="1:10" x14ac:dyDescent="0.25">
      <c r="A25" s="128"/>
      <c r="B25" s="150"/>
      <c r="C25" s="150"/>
      <c r="D25" s="130"/>
      <c r="E25" s="130"/>
      <c r="F25" s="131"/>
      <c r="G25" s="131"/>
      <c r="H25" s="111"/>
      <c r="I25" s="150"/>
      <c r="J25" s="123"/>
    </row>
    <row r="26" ht="17.25" customHeight="1" spans="1:10" x14ac:dyDescent="0.25">
      <c r="A26" s="128"/>
      <c r="B26" s="150"/>
      <c r="C26" s="150"/>
      <c r="D26" s="130"/>
      <c r="E26" s="130"/>
      <c r="F26" s="131"/>
      <c r="G26" s="131"/>
      <c r="H26" s="111"/>
      <c r="I26" s="150"/>
      <c r="J26" s="123"/>
    </row>
    <row r="27" ht="17.25" customHeight="1" spans="1:10" x14ac:dyDescent="0.25">
      <c r="A27" s="128"/>
      <c r="B27" s="150"/>
      <c r="C27" s="150"/>
      <c r="D27" s="130"/>
      <c r="E27" s="130"/>
      <c r="F27" s="131"/>
      <c r="G27" s="131"/>
      <c r="H27" s="111"/>
      <c r="I27" s="150"/>
      <c r="J27" s="123"/>
    </row>
    <row r="28" ht="17.25" customHeight="1" spans="1:10" x14ac:dyDescent="0.25">
      <c r="A28" s="128"/>
      <c r="B28" s="150"/>
      <c r="C28" s="150"/>
      <c r="D28" s="130"/>
      <c r="E28" s="130"/>
      <c r="F28" s="131"/>
      <c r="G28" s="131"/>
      <c r="H28" s="111"/>
      <c r="I28" s="150"/>
      <c r="J28" s="123"/>
    </row>
    <row r="29" ht="17.25" customHeight="1" spans="1:10" x14ac:dyDescent="0.25">
      <c r="A29" s="128"/>
      <c r="B29" s="150"/>
      <c r="C29" s="150"/>
      <c r="D29" s="130"/>
      <c r="E29" s="130"/>
      <c r="F29" s="131"/>
      <c r="G29" s="131"/>
      <c r="H29" s="111"/>
      <c r="I29" s="150"/>
      <c r="J29" s="123"/>
    </row>
    <row r="30" ht="17.25" customHeight="1" spans="1:10" x14ac:dyDescent="0.25">
      <c r="A30" s="128"/>
      <c r="B30" s="150"/>
      <c r="C30" s="150"/>
      <c r="D30" s="130"/>
      <c r="E30" s="130"/>
      <c r="F30" s="131"/>
      <c r="G30" s="131"/>
      <c r="H30" s="111"/>
      <c r="I30" s="150"/>
      <c r="J30" s="123"/>
    </row>
    <row r="31" ht="17.25" customHeight="1" spans="1:10" x14ac:dyDescent="0.25">
      <c r="A31" s="128"/>
      <c r="B31" s="150"/>
      <c r="C31" s="150"/>
      <c r="D31" s="130"/>
      <c r="E31" s="130"/>
      <c r="F31" s="131"/>
      <c r="G31" s="131"/>
      <c r="H31" s="111"/>
      <c r="I31" s="150"/>
      <c r="J31" s="123"/>
    </row>
    <row r="32" ht="17.25" customHeight="1" spans="1:10" x14ac:dyDescent="0.25">
      <c r="A32" s="128"/>
      <c r="B32" s="150"/>
      <c r="C32" s="150"/>
      <c r="D32" s="130"/>
      <c r="E32" s="130"/>
      <c r="F32" s="131"/>
      <c r="G32" s="131"/>
      <c r="H32" s="111"/>
      <c r="I32" s="150"/>
      <c r="J32" s="123"/>
    </row>
    <row r="33" ht="17.25" customHeight="1" spans="1:10" x14ac:dyDescent="0.25">
      <c r="A33" s="128"/>
      <c r="B33" s="150"/>
      <c r="C33" s="150"/>
      <c r="D33" s="130"/>
      <c r="E33" s="130"/>
      <c r="F33" s="131"/>
      <c r="G33" s="131"/>
      <c r="H33" s="111"/>
      <c r="I33" s="150"/>
      <c r="J33" s="123"/>
    </row>
    <row r="34" ht="17.25" customHeight="1" spans="1:10" x14ac:dyDescent="0.25">
      <c r="A34" s="128"/>
      <c r="B34" s="150"/>
      <c r="C34" s="150"/>
      <c r="D34" s="130"/>
      <c r="E34" s="130"/>
      <c r="F34" s="131"/>
      <c r="G34" s="131"/>
      <c r="H34" s="111"/>
      <c r="I34" s="150"/>
      <c r="J34" s="123"/>
    </row>
    <row r="35" ht="17.25" customHeight="1" spans="1:10" x14ac:dyDescent="0.25">
      <c r="A35" s="128"/>
      <c r="B35" s="150"/>
      <c r="C35" s="150"/>
      <c r="D35" s="130"/>
      <c r="E35" s="130"/>
      <c r="F35" s="131"/>
      <c r="G35" s="131"/>
      <c r="H35" s="111"/>
      <c r="I35" s="150"/>
      <c r="J35" s="123"/>
    </row>
    <row r="36" ht="17.25" customHeight="1" spans="1:10" x14ac:dyDescent="0.25">
      <c r="A36" s="128"/>
      <c r="B36" s="150"/>
      <c r="C36" s="150"/>
      <c r="D36" s="130"/>
      <c r="E36" s="130"/>
      <c r="F36" s="131"/>
      <c r="G36" s="131"/>
      <c r="H36" s="111"/>
      <c r="I36" s="150"/>
      <c r="J36" s="123"/>
    </row>
    <row r="37" ht="17.25" customHeight="1" spans="1:10" x14ac:dyDescent="0.25">
      <c r="A37" s="128"/>
      <c r="B37" s="150"/>
      <c r="C37" s="150"/>
      <c r="D37" s="130"/>
      <c r="E37" s="130"/>
      <c r="F37" s="131"/>
      <c r="G37" s="131"/>
      <c r="H37" s="111"/>
      <c r="I37" s="150"/>
      <c r="J37" s="123"/>
    </row>
    <row r="38" ht="17.25" customHeight="1" spans="1:10" x14ac:dyDescent="0.25">
      <c r="A38" s="128"/>
      <c r="B38" s="150"/>
      <c r="C38" s="150"/>
      <c r="D38" s="130"/>
      <c r="E38" s="130"/>
      <c r="F38" s="131"/>
      <c r="G38" s="131"/>
      <c r="H38" s="111"/>
      <c r="I38" s="150"/>
      <c r="J38" s="123"/>
    </row>
    <row r="39" ht="17.25" customHeight="1" spans="1:10" x14ac:dyDescent="0.25">
      <c r="A39" s="128"/>
      <c r="B39" s="150"/>
      <c r="C39" s="150"/>
      <c r="D39" s="130"/>
      <c r="E39" s="130"/>
      <c r="F39" s="131"/>
      <c r="G39" s="131"/>
      <c r="H39" s="111"/>
      <c r="I39" s="150"/>
      <c r="J39" s="123"/>
    </row>
    <row r="40" ht="17.25" customHeight="1" spans="1:10" x14ac:dyDescent="0.25">
      <c r="A40" s="128"/>
      <c r="B40" s="150"/>
      <c r="C40" s="150"/>
      <c r="D40" s="130"/>
      <c r="E40" s="130"/>
      <c r="F40" s="131"/>
      <c r="G40" s="131"/>
      <c r="H40" s="111"/>
      <c r="I40" s="150"/>
      <c r="J40" s="123"/>
    </row>
    <row r="41" ht="17.25" customHeight="1" spans="1:10" x14ac:dyDescent="0.25">
      <c r="A41" s="128"/>
      <c r="B41" s="150"/>
      <c r="C41" s="150"/>
      <c r="D41" s="130"/>
      <c r="E41" s="130"/>
      <c r="F41" s="131"/>
      <c r="G41" s="131"/>
      <c r="H41" s="111"/>
      <c r="I41" s="150"/>
      <c r="J41" s="123"/>
    </row>
    <row r="42" ht="17.25" customHeight="1" spans="1:10" x14ac:dyDescent="0.25">
      <c r="A42" s="128"/>
      <c r="B42" s="150"/>
      <c r="C42" s="150"/>
      <c r="D42" s="130"/>
      <c r="E42" s="130"/>
      <c r="F42" s="131"/>
      <c r="G42" s="131"/>
      <c r="H42" s="111"/>
      <c r="I42" s="150"/>
      <c r="J42" s="123"/>
    </row>
    <row r="43" ht="17.25" customHeight="1" spans="1:10" x14ac:dyDescent="0.25">
      <c r="A43" s="128"/>
      <c r="B43" s="150"/>
      <c r="C43" s="150"/>
      <c r="D43" s="130"/>
      <c r="E43" s="130"/>
      <c r="F43" s="131"/>
      <c r="G43" s="131"/>
      <c r="H43" s="111"/>
      <c r="I43" s="150"/>
      <c r="J43" s="123"/>
    </row>
    <row r="44" ht="17.25" customHeight="1" spans="1:10" x14ac:dyDescent="0.25">
      <c r="A44" s="128"/>
      <c r="B44" s="150"/>
      <c r="C44" s="150"/>
      <c r="D44" s="130"/>
      <c r="E44" s="130"/>
      <c r="F44" s="131"/>
      <c r="G44" s="131"/>
      <c r="H44" s="111"/>
      <c r="I44" s="150"/>
      <c r="J44" s="123"/>
    </row>
    <row r="45" ht="17.25" customHeight="1" spans="1:10" x14ac:dyDescent="0.25">
      <c r="A45" s="128"/>
      <c r="B45" s="150"/>
      <c r="C45" s="150"/>
      <c r="D45" s="130"/>
      <c r="E45" s="130"/>
      <c r="F45" s="131"/>
      <c r="G45" s="131"/>
      <c r="H45" s="111"/>
      <c r="I45" s="150"/>
      <c r="J45" s="123"/>
    </row>
    <row r="46" ht="17.25" customHeight="1" spans="1:10" x14ac:dyDescent="0.25">
      <c r="A46" s="128"/>
      <c r="B46" s="150"/>
      <c r="C46" s="150"/>
      <c r="D46" s="130"/>
      <c r="E46" s="130"/>
      <c r="F46" s="131"/>
      <c r="G46" s="131"/>
      <c r="H46" s="111"/>
      <c r="I46" s="150"/>
      <c r="J46" s="123"/>
    </row>
    <row r="47" ht="17.25" customHeight="1" spans="1:10" x14ac:dyDescent="0.25">
      <c r="A47" s="128"/>
      <c r="B47" s="150"/>
      <c r="C47" s="150"/>
      <c r="D47" s="130"/>
      <c r="E47" s="130"/>
      <c r="F47" s="131"/>
      <c r="G47" s="131"/>
      <c r="H47" s="111"/>
      <c r="I47" s="150"/>
      <c r="J47" s="123"/>
    </row>
    <row r="48" ht="17.25" customHeight="1" spans="1:10" x14ac:dyDescent="0.25">
      <c r="A48" s="128"/>
      <c r="B48" s="150"/>
      <c r="C48" s="150"/>
      <c r="D48" s="130"/>
      <c r="E48" s="130"/>
      <c r="F48" s="131"/>
      <c r="G48" s="131"/>
      <c r="H48" s="111"/>
      <c r="I48" s="150"/>
      <c r="J48" s="123"/>
    </row>
    <row r="49" ht="17.25" customHeight="1" spans="1:10" x14ac:dyDescent="0.25">
      <c r="A49" s="128"/>
      <c r="B49" s="150"/>
      <c r="C49" s="150"/>
      <c r="D49" s="130"/>
      <c r="E49" s="130"/>
      <c r="F49" s="131"/>
      <c r="G49" s="131"/>
      <c r="H49" s="111"/>
      <c r="I49" s="150"/>
      <c r="J49" s="123"/>
    </row>
    <row r="50" ht="17.25" customHeight="1" spans="1:10" x14ac:dyDescent="0.25">
      <c r="A50" s="128"/>
      <c r="B50" s="150"/>
      <c r="C50" s="150"/>
      <c r="D50" s="130"/>
      <c r="E50" s="130"/>
      <c r="F50" s="131"/>
      <c r="G50" s="131"/>
      <c r="H50" s="111"/>
      <c r="I50" s="150"/>
      <c r="J50" s="123"/>
    </row>
    <row r="51" ht="17.25" customHeight="1" spans="1:10" x14ac:dyDescent="0.25">
      <c r="A51" s="128"/>
      <c r="B51" s="150"/>
      <c r="C51" s="150"/>
      <c r="D51" s="130"/>
      <c r="E51" s="130"/>
      <c r="F51" s="131"/>
      <c r="G51" s="131"/>
      <c r="H51" s="111"/>
      <c r="I51" s="150"/>
      <c r="J51" s="123"/>
    </row>
    <row r="52" ht="17.25" customHeight="1" spans="1:10" x14ac:dyDescent="0.25">
      <c r="A52" s="128"/>
      <c r="B52" s="150"/>
      <c r="C52" s="150"/>
      <c r="D52" s="130"/>
      <c r="E52" s="130"/>
      <c r="F52" s="131"/>
      <c r="G52" s="131"/>
      <c r="H52" s="111"/>
      <c r="I52" s="150"/>
      <c r="J52" s="123"/>
    </row>
    <row r="53" ht="17.25" customHeight="1" spans="1:10" x14ac:dyDescent="0.25">
      <c r="A53" s="128"/>
      <c r="B53" s="150"/>
      <c r="C53" s="150"/>
      <c r="D53" s="130"/>
      <c r="E53" s="130"/>
      <c r="F53" s="131"/>
      <c r="G53" s="131"/>
      <c r="H53" s="111"/>
      <c r="I53" s="150"/>
      <c r="J53" s="123"/>
    </row>
    <row r="54" ht="17.25" customHeight="1" spans="1:10" x14ac:dyDescent="0.25">
      <c r="A54" s="128"/>
      <c r="B54" s="150"/>
      <c r="C54" s="150"/>
      <c r="D54" s="130"/>
      <c r="E54" s="130"/>
      <c r="F54" s="131"/>
      <c r="G54" s="131"/>
      <c r="H54" s="111"/>
      <c r="I54" s="150"/>
      <c r="J54" s="123"/>
    </row>
    <row r="55" ht="17.25" customHeight="1" spans="1:10" x14ac:dyDescent="0.25">
      <c r="A55" s="128"/>
      <c r="B55" s="150"/>
      <c r="C55" s="150"/>
      <c r="D55" s="130"/>
      <c r="E55" s="130"/>
      <c r="F55" s="131"/>
      <c r="G55" s="131"/>
      <c r="H55" s="111"/>
      <c r="I55" s="150"/>
      <c r="J55" s="123"/>
    </row>
    <row r="56" ht="17.25" customHeight="1" spans="1:10" x14ac:dyDescent="0.25">
      <c r="A56" s="128"/>
      <c r="B56" s="150"/>
      <c r="C56" s="150"/>
      <c r="D56" s="130"/>
      <c r="E56" s="130"/>
      <c r="F56" s="131"/>
      <c r="G56" s="131"/>
      <c r="H56" s="111"/>
      <c r="I56" s="150"/>
      <c r="J56" s="123"/>
    </row>
    <row r="57" ht="17.25" customHeight="1" spans="1:10" x14ac:dyDescent="0.25">
      <c r="A57" s="128"/>
      <c r="B57" s="150"/>
      <c r="C57" s="150"/>
      <c r="D57" s="130"/>
      <c r="E57" s="130"/>
      <c r="F57" s="131"/>
      <c r="G57" s="131"/>
      <c r="H57" s="111"/>
      <c r="I57" s="150"/>
      <c r="J57" s="123"/>
    </row>
    <row r="58" ht="17.25" customHeight="1" spans="1:10" x14ac:dyDescent="0.25">
      <c r="A58" s="128"/>
      <c r="B58" s="150"/>
      <c r="C58" s="150"/>
      <c r="D58" s="130"/>
      <c r="E58" s="130"/>
      <c r="F58" s="131"/>
      <c r="G58" s="131"/>
      <c r="H58" s="111"/>
      <c r="I58" s="150"/>
      <c r="J58" s="123"/>
    </row>
    <row r="59" ht="17.25" customHeight="1" spans="1:10" x14ac:dyDescent="0.25">
      <c r="A59" s="128"/>
      <c r="B59" s="150"/>
      <c r="C59" s="150"/>
      <c r="D59" s="130"/>
      <c r="E59" s="130"/>
      <c r="F59" s="131"/>
      <c r="G59" s="131"/>
      <c r="H59" s="111"/>
      <c r="I59" s="150"/>
      <c r="J59" s="123"/>
    </row>
    <row r="60" ht="17.25" customHeight="1" spans="1:10" x14ac:dyDescent="0.25">
      <c r="A60" s="128"/>
      <c r="B60" s="150"/>
      <c r="C60" s="150"/>
      <c r="D60" s="130"/>
      <c r="E60" s="130"/>
      <c r="F60" s="131"/>
      <c r="G60" s="131"/>
      <c r="H60" s="111"/>
      <c r="I60" s="150"/>
      <c r="J60" s="123"/>
    </row>
    <row r="61" ht="17.25" customHeight="1" spans="1:10" x14ac:dyDescent="0.25">
      <c r="A61" s="128"/>
      <c r="B61" s="150"/>
      <c r="C61" s="150"/>
      <c r="D61" s="130"/>
      <c r="E61" s="130"/>
      <c r="F61" s="131"/>
      <c r="G61" s="131"/>
      <c r="H61" s="111"/>
      <c r="I61" s="150"/>
      <c r="J61" s="123"/>
    </row>
    <row r="62" ht="17.25" customHeight="1" spans="1:10" x14ac:dyDescent="0.25">
      <c r="A62" s="128"/>
      <c r="B62" s="150"/>
      <c r="C62" s="150"/>
      <c r="D62" s="130"/>
      <c r="E62" s="130"/>
      <c r="F62" s="131"/>
      <c r="G62" s="131"/>
      <c r="H62" s="111"/>
      <c r="I62" s="150"/>
      <c r="J62" s="123"/>
    </row>
    <row r="63" ht="17.25" customHeight="1" spans="1:10" x14ac:dyDescent="0.25">
      <c r="A63" s="128"/>
      <c r="B63" s="150"/>
      <c r="C63" s="150"/>
      <c r="D63" s="130"/>
      <c r="E63" s="130"/>
      <c r="F63" s="131"/>
      <c r="G63" s="131"/>
      <c r="H63" s="111"/>
      <c r="I63" s="150"/>
      <c r="J63" s="123"/>
    </row>
    <row r="64" ht="17.25" customHeight="1" spans="1:10" x14ac:dyDescent="0.25">
      <c r="A64" s="128"/>
      <c r="B64" s="150"/>
      <c r="C64" s="150"/>
      <c r="D64" s="130"/>
      <c r="E64" s="130"/>
      <c r="F64" s="131"/>
      <c r="G64" s="131"/>
      <c r="H64" s="111"/>
      <c r="I64" s="150"/>
      <c r="J64" s="123"/>
    </row>
    <row r="65" ht="17.25" customHeight="1" spans="1:10" x14ac:dyDescent="0.25">
      <c r="A65" s="128"/>
      <c r="B65" s="150"/>
      <c r="C65" s="150"/>
      <c r="D65" s="130"/>
      <c r="E65" s="130"/>
      <c r="F65" s="131"/>
      <c r="G65" s="131"/>
      <c r="H65" s="111"/>
      <c r="I65" s="150"/>
      <c r="J65" s="123"/>
    </row>
  </sheetData>
  <autoFilter ref="A2:J65"/>
  <pageMargins left="0.7" right="0.7" top="0.75" bottom="0.75" header="0.3" footer="0.3"/>
  <pageSetup paperSize="9" orientation="portrait" horizontalDpi="4294967295" verticalDpi="4294967295" scale="44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85" zoomScaleNormal="85">
      <selection activeCell="G10" sqref="G10"/>
    </sheetView>
  </sheetViews>
  <sheetFormatPr defaultRowHeight="16.5" outlineLevelRow="0" outlineLevelCol="0" x14ac:dyDescent="0" customHeight="1"/>
  <cols>
    <col min="1" max="1" width="14.625" style="123" customWidth="1"/>
    <col min="2" max="2" width="14" style="123" customWidth="1"/>
    <col min="3" max="3" width="21" style="123" customWidth="1"/>
    <col min="4" max="4" width="11.875" style="123" customWidth="1"/>
    <col min="5" max="7" width="14.625" style="123" customWidth="1"/>
    <col min="8" max="8" width="18.375" style="123" customWidth="1"/>
    <col min="9" max="9" width="14.625" style="123" customWidth="1"/>
    <col min="10" max="10" width="15.875" style="123" customWidth="1"/>
    <col min="11" max="13" width="14.625" style="123" customWidth="1"/>
    <col min="14" max="16384" width="9" style="123" customWidth="1"/>
  </cols>
  <sheetData>
    <row r="1" spans="1:1" x14ac:dyDescent="0.25">
      <c r="A1" s="134"/>
    </row>
    <row r="2" ht="17.25" customHeight="1" spans="1:13" x14ac:dyDescent="0.25">
      <c r="A2" s="126" t="s">
        <v>152</v>
      </c>
      <c r="B2" s="126" t="s">
        <v>153</v>
      </c>
      <c r="C2" s="126" t="s">
        <v>154</v>
      </c>
      <c r="D2" s="126" t="s">
        <v>155</v>
      </c>
      <c r="E2" s="127" t="s">
        <v>156</v>
      </c>
      <c r="F2" s="127" t="s">
        <v>157</v>
      </c>
      <c r="G2" s="127" t="s">
        <v>158</v>
      </c>
      <c r="H2" s="126" t="s">
        <v>143</v>
      </c>
      <c r="I2" s="127" t="s">
        <v>18</v>
      </c>
      <c r="J2" s="126" t="s">
        <v>151</v>
      </c>
      <c r="K2" s="127" t="s">
        <v>159</v>
      </c>
      <c r="L2" s="127" t="s">
        <v>160</v>
      </c>
      <c r="M2" s="127" t="s">
        <v>161</v>
      </c>
    </row>
    <row r="3" ht="120.75" customHeight="1" spans="1:14" x14ac:dyDescent="0.25">
      <c r="A3" s="128" t="s">
        <v>162</v>
      </c>
      <c r="B3" s="129" t="s">
        <v>163</v>
      </c>
      <c r="C3" s="129" t="s">
        <v>164</v>
      </c>
      <c r="D3" s="111">
        <v>1</v>
      </c>
      <c r="E3" s="130"/>
      <c r="F3" s="130"/>
      <c r="G3" s="131">
        <v>3220</v>
      </c>
      <c r="H3" s="132">
        <v>624068.2</v>
      </c>
      <c r="I3" s="131">
        <v>193.81</v>
      </c>
      <c r="J3" s="132">
        <v>624068.2</v>
      </c>
      <c r="K3" s="128" t="s">
        <v>165</v>
      </c>
      <c r="L3" s="128" t="s">
        <v>166</v>
      </c>
      <c r="M3" s="128" t="s">
        <v>167</v>
      </c>
      <c r="N3" s="124" t="str">
        <f t="shared" ref="N3:N17" si="0">IF(ISNUMBER(SEARCH("네",K3)),"네덜란드",IF(ISNUMBER(SEARCH("중",K3)),"중국",IF(ISNUMBER(SEARCH("콜수국",K3)),"콜롬비아 수국",IF(ISNUMBER(SEARCH("에",K3)),"에콰도르",IF(ISNUMBER(SEARCH("태",K3)),"태국","")))))</f>
        <v>중국</v>
      </c>
    </row>
    <row r="4" ht="120.75" customHeight="1" spans="1:14" x14ac:dyDescent="0.25">
      <c r="A4" s="128" t="s">
        <v>168</v>
      </c>
      <c r="B4" s="129" t="s">
        <v>163</v>
      </c>
      <c r="C4" s="129" t="s">
        <v>164</v>
      </c>
      <c r="D4" s="111">
        <v>1</v>
      </c>
      <c r="E4" s="130"/>
      <c r="F4" s="130"/>
      <c r="G4" s="131">
        <v>3960.5</v>
      </c>
      <c r="H4" s="132">
        <v>767584.51</v>
      </c>
      <c r="I4" s="131">
        <v>193.81</v>
      </c>
      <c r="J4" s="132">
        <v>767584.51</v>
      </c>
      <c r="K4" s="128" t="s">
        <v>169</v>
      </c>
      <c r="L4" s="128" t="s">
        <v>170</v>
      </c>
      <c r="M4" s="128" t="s">
        <v>167</v>
      </c>
      <c r="N4" s="124" t="str">
        <f t="shared" si="0"/>
        <v>중국</v>
      </c>
    </row>
    <row r="5" ht="34.5" customHeight="1" spans="1:14" x14ac:dyDescent="0.25">
      <c r="A5" s="128" t="s">
        <v>171</v>
      </c>
      <c r="B5" s="129" t="s">
        <v>172</v>
      </c>
      <c r="C5" s="129" t="s">
        <v>164</v>
      </c>
      <c r="D5" s="111">
        <v>1</v>
      </c>
      <c r="E5" s="130"/>
      <c r="F5" s="130"/>
      <c r="G5" s="131">
        <v>1423.67</v>
      </c>
      <c r="H5" s="132">
        <v>2153585.61</v>
      </c>
      <c r="I5" s="131">
        <v>1512.7</v>
      </c>
      <c r="J5" s="132">
        <v>2153585.61</v>
      </c>
      <c r="K5" s="128" t="s">
        <v>173</v>
      </c>
      <c r="L5" s="128" t="s">
        <v>174</v>
      </c>
      <c r="M5" s="128" t="s">
        <v>175</v>
      </c>
      <c r="N5" s="124" t="str">
        <f t="shared" si="0"/>
        <v>네덜란드</v>
      </c>
    </row>
    <row r="6" ht="17.25" customHeight="1" spans="1:14" x14ac:dyDescent="0.25">
      <c r="A6" s="128"/>
      <c r="B6" s="129"/>
      <c r="C6" s="129"/>
      <c r="D6" s="111"/>
      <c r="E6" s="130"/>
      <c r="F6" s="130"/>
      <c r="G6" s="131">
        <v>6417.45</v>
      </c>
      <c r="H6" s="132"/>
      <c r="I6" s="131"/>
      <c r="J6" s="132"/>
      <c r="K6" s="128" t="s">
        <v>176</v>
      </c>
      <c r="L6" s="128"/>
      <c r="M6" s="128"/>
      <c r="N6" s="124" t="str">
        <f t="shared" si="0"/>
        <v>콜롬비아 수국</v>
      </c>
    </row>
    <row r="7" ht="17.25" customHeight="1" spans="1:14" x14ac:dyDescent="0.25">
      <c r="A7" s="128"/>
      <c r="B7" s="129"/>
      <c r="C7" s="129"/>
      <c r="D7" s="111"/>
      <c r="E7" s="130"/>
      <c r="F7" s="130"/>
      <c r="G7" s="131">
        <v>9933.6</v>
      </c>
      <c r="H7" s="132"/>
      <c r="I7" s="131"/>
      <c r="J7" s="132"/>
      <c r="K7" s="128" t="s">
        <v>177</v>
      </c>
      <c r="L7" s="128"/>
      <c r="M7" s="128"/>
      <c r="N7" s="124" t="str">
        <f t="shared" si="0"/>
        <v>콜롬비아 수국</v>
      </c>
    </row>
    <row r="8" ht="17.25" customHeight="1" spans="1:14" x14ac:dyDescent="0.25">
      <c r="A8" s="128"/>
      <c r="B8" s="129"/>
      <c r="C8" s="129"/>
      <c r="D8" s="111"/>
      <c r="E8" s="130"/>
      <c r="F8" s="130"/>
      <c r="G8" s="131">
        <v>650.43</v>
      </c>
      <c r="H8" s="132"/>
      <c r="I8" s="131"/>
      <c r="J8" s="132"/>
      <c r="K8" s="128" t="s">
        <v>178</v>
      </c>
      <c r="L8" s="128"/>
      <c r="M8" s="128"/>
      <c r="N8" s="124" t="str">
        <f t="shared" si="0"/>
        <v>태국</v>
      </c>
    </row>
    <row r="9" ht="17.25" customHeight="1" spans="1:14" x14ac:dyDescent="0.25">
      <c r="A9" s="128"/>
      <c r="B9" s="129"/>
      <c r="C9" s="129"/>
      <c r="D9" s="111"/>
      <c r="E9" s="130"/>
      <c r="F9" s="130"/>
      <c r="G9" s="131">
        <v>544.45</v>
      </c>
      <c r="H9" s="132"/>
      <c r="I9" s="131"/>
      <c r="J9" s="132"/>
      <c r="K9" s="128" t="s">
        <v>179</v>
      </c>
      <c r="L9" s="128"/>
      <c r="M9" s="128"/>
      <c r="N9" s="124" t="str">
        <f t="shared" si="0"/>
        <v>에콰도르</v>
      </c>
    </row>
    <row r="10" ht="17.25" customHeight="1" spans="1:14" x14ac:dyDescent="0.25">
      <c r="A10" s="128"/>
      <c r="B10" s="129"/>
      <c r="C10" s="129"/>
      <c r="D10" s="111"/>
      <c r="E10" s="130"/>
      <c r="F10" s="130"/>
      <c r="G10" s="131"/>
      <c r="H10" s="132"/>
      <c r="I10" s="131"/>
      <c r="J10" s="132"/>
      <c r="K10" s="128"/>
      <c r="L10" s="128"/>
      <c r="M10" s="128"/>
      <c r="N10" s="124">
        <f t="shared" si="0"/>
      </c>
    </row>
    <row r="11" ht="17.25" customHeight="1" spans="1:14" x14ac:dyDescent="0.25">
      <c r="A11" s="128"/>
      <c r="B11" s="129"/>
      <c r="C11" s="129"/>
      <c r="D11" s="111"/>
      <c r="E11" s="130"/>
      <c r="F11" s="130"/>
      <c r="G11" s="131"/>
      <c r="H11" s="132"/>
      <c r="I11" s="131"/>
      <c r="J11" s="132"/>
      <c r="K11" s="128"/>
      <c r="L11" s="128"/>
      <c r="M11" s="128"/>
      <c r="N11" s="124">
        <f t="shared" si="0"/>
      </c>
    </row>
    <row r="12" ht="17.25" customHeight="1" spans="1:14" x14ac:dyDescent="0.25">
      <c r="A12" s="128"/>
      <c r="B12" s="129"/>
      <c r="C12" s="129"/>
      <c r="D12" s="111"/>
      <c r="E12" s="130"/>
      <c r="F12" s="130"/>
      <c r="G12" s="131"/>
      <c r="H12" s="132"/>
      <c r="I12" s="131"/>
      <c r="J12" s="132"/>
      <c r="K12" s="128"/>
      <c r="L12" s="128"/>
      <c r="M12" s="128"/>
      <c r="N12" s="124">
        <f t="shared" si="0"/>
      </c>
    </row>
    <row r="13" ht="17.25" customHeight="1" spans="1:14" x14ac:dyDescent="0.25">
      <c r="A13" s="128"/>
      <c r="B13" s="129"/>
      <c r="C13" s="129"/>
      <c r="D13" s="111"/>
      <c r="E13" s="130"/>
      <c r="F13" s="130"/>
      <c r="G13" s="131"/>
      <c r="H13" s="132"/>
      <c r="I13" s="131"/>
      <c r="J13" s="132"/>
      <c r="K13" s="128"/>
      <c r="L13" s="128"/>
      <c r="M13" s="128"/>
      <c r="N13" s="124">
        <f t="shared" si="0"/>
      </c>
    </row>
    <row r="14" ht="17.25" customHeight="1" spans="1:14" x14ac:dyDescent="0.25">
      <c r="A14" s="128"/>
      <c r="B14" s="129"/>
      <c r="C14" s="129"/>
      <c r="D14" s="111"/>
      <c r="E14" s="130"/>
      <c r="F14" s="130"/>
      <c r="G14" s="131"/>
      <c r="H14" s="132"/>
      <c r="I14" s="131"/>
      <c r="J14" s="132"/>
      <c r="K14" s="128"/>
      <c r="L14" s="128"/>
      <c r="M14" s="128"/>
      <c r="N14" s="124">
        <f t="shared" si="0"/>
      </c>
    </row>
    <row r="15" ht="17.25" customHeight="1" spans="1:14" x14ac:dyDescent="0.25">
      <c r="A15" s="128"/>
      <c r="B15" s="129"/>
      <c r="C15" s="129"/>
      <c r="D15" s="111"/>
      <c r="E15" s="130"/>
      <c r="F15" s="130"/>
      <c r="G15" s="131"/>
      <c r="H15" s="132"/>
      <c r="I15" s="131"/>
      <c r="J15" s="132"/>
      <c r="K15" s="128"/>
      <c r="L15" s="128"/>
      <c r="M15" s="128"/>
      <c r="N15" s="124">
        <f t="shared" si="0"/>
      </c>
    </row>
    <row r="16" spans="14:14" x14ac:dyDescent="0.25">
      <c r="N16" s="124">
        <f t="shared" si="0"/>
      </c>
    </row>
    <row r="17" spans="14:14" x14ac:dyDescent="0.25">
      <c r="N17" s="124">
        <f t="shared" si="0"/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 zoomScale="100" zoomScaleNormal="100">
      <selection activeCell="J82" sqref="J82"/>
    </sheetView>
  </sheetViews>
  <sheetFormatPr defaultRowHeight="15" outlineLevelRow="0" outlineLevelCol="0" x14ac:dyDescent="0"/>
  <cols>
    <col min="1" max="1" width="14.625" style="135" customWidth="1"/>
    <col min="2" max="2" width="19.125" style="135" customWidth="1"/>
    <col min="3" max="3" width="18.375" style="135" customWidth="1"/>
    <col min="4" max="7" width="14.625" style="135" customWidth="1"/>
    <col min="8" max="8" width="12.5" style="135" customWidth="1"/>
    <col min="9" max="9" width="63" style="135" customWidth="1"/>
    <col min="10" max="10" width="12.75" style="135" customWidth="1"/>
    <col min="11" max="16384" width="9" style="135" customWidth="1"/>
  </cols>
  <sheetData>
    <row r="1" spans="1:1" x14ac:dyDescent="0.25">
      <c r="A1" s="125"/>
    </row>
    <row r="2" ht="15" customHeight="1" spans="1:9" x14ac:dyDescent="0.25">
      <c r="A2" s="126" t="s">
        <v>152</v>
      </c>
      <c r="B2" s="127" t="s">
        <v>153</v>
      </c>
      <c r="C2" s="127" t="s">
        <v>192</v>
      </c>
      <c r="D2" s="127" t="s">
        <v>155</v>
      </c>
      <c r="E2" s="127" t="s">
        <v>193</v>
      </c>
      <c r="F2" s="127" t="s">
        <v>143</v>
      </c>
      <c r="G2" s="127" t="s">
        <v>184</v>
      </c>
      <c r="H2" s="126" t="s">
        <v>151</v>
      </c>
      <c r="I2" s="127" t="s">
        <v>194</v>
      </c>
    </row>
    <row r="3" ht="17.25" customHeight="1" spans="1:10" x14ac:dyDescent="0.25">
      <c r="A3" s="128"/>
      <c r="B3" s="150"/>
      <c r="C3" s="150"/>
      <c r="D3" s="130"/>
      <c r="E3" s="130"/>
      <c r="F3" s="131"/>
      <c r="G3" s="131"/>
      <c r="H3" s="111"/>
      <c r="I3" s="150"/>
      <c r="J3" s="151">
        <f>IF(ISNUMBER(SEARCH("현지상차운임",I3)),"콜롬비아 수국",IF(ISNUMBER(SEARCH("현지상차운임",C3)),"콜롬비아 수국",IF(ISNUMBER(SEARCH("루스커스 운송료",C3)),"콜롬비아 루스커스",IF(ISNUMBER(SEARCH("카네이션 운송료",C3)),"콜롬비아 카네이션",IF(ISNUMBER(SEARCH("장미 운송료",C3)),"콜롬비아 장미",IF(ISNUMBER(SEARCH("수국 운송료",C3)),"콜롬비아 수국",IF(ISNUMBER(SEARCH("중국 운송료",C3)),"중국",IF(ISNUMBER(SEARCH("태국 운송료",C3)),"태국",IF(ISNUMBER(SEARCH("레몬잎 운송료",C3)),"미국",IF(ISNUMBER(SEARCH("네덜란드 운송료",C3)),"네덜란드",IF(ISNUMBER(SEARCH("호주 운송료",C3)),"호주",IFERROR(IF(INDEX(품목리스트!$E$2:$E$9000,MATCH(TRIM(SUBSTITUTE(SUBSTITUTE(SUBSTITUTE(CLEAN(I3)," 계",""),"계",""),CHAR(160)," "))&amp;"*",TRIM(SUBSTITUTE(SUBSTITUTE(CLEAN(품목리스트!$C$2:$C$9000),CHAR(160)," "),CHAR(9)," ")),0))="콜롬비아",IF(ISNUMBER(SEARCH("Hydrangea",I3)),"콜롬비아 수국",IF(ISNUMBER(SEARCH("carnation",I3)),"콜롬비아 카네이션",IF(ISNUMBER(SEARCH("Rose",I3)),"콜롬비아 장미",IF(ISNUMBER(SEARCH("ruscus",I3)),"콜롬비아 루스커스",IF(ISNUMBER(SEARCH("ALSTROMERIA",I3)),"콜롬비아 알스트로","콜롬비아"))))),INDEX(품목리스트!$E$2:$E$9000,MATCH(TRIM(SUBSTITUTE(SUBSTITUTE(SUBSTITUTE(CLEAN(I3)," 계",""),"계",""),CHAR(160)," "))&amp;"*",TRIM(SUBSTITUTE(SUBSTITUTE(CLEAN(품목리스트!$C$2:$C$9000),CHAR(160)," "),CHAR(9)," ")),0))),IF(ISNUMBER(SEARCH("ALSTROMERIA",I3)),"콜롬비아 알스트로",IF(ISNUMBER(SEARCH("Den.",I3)),"태국",IF(ISNUMBER(SEARCH("CHINA",I3)),"중국",IF(AND(ISNUMBER(SEARCH("rose",I3)),NOT(ISNUMBER(SEARCH("CHINA",I3)))),"콜롬비아 장미",IF(AND(ISNUMBER(SEARCH("carnation",I3)),NOT(ISNUMBER(SEARCH("CHINA",I3)))),"콜롬비아 카네이션",IF(ISNUMBER(SEARCH("Peony",I3)),"뉴질랜드",IF(ISNUMBER(SEARCH("Amaryllis",I3)),"네덜란드",IF(ISNUMBER(SEARCH("Sweet pea",I3)),"일본",""))))))))))))))))))))</f>
      </c>
    </row>
    <row r="4" ht="17.25" customHeight="1" spans="1:10" x14ac:dyDescent="0.25">
      <c r="A4" s="128"/>
      <c r="B4" s="150"/>
      <c r="C4" s="150"/>
      <c r="D4" s="130"/>
      <c r="E4" s="130"/>
      <c r="F4" s="131"/>
      <c r="G4" s="131"/>
      <c r="H4" s="111"/>
      <c r="I4" s="150"/>
      <c r="J4" s="151"/>
    </row>
    <row r="5" ht="17.25" customHeight="1" spans="1:10" x14ac:dyDescent="0.25">
      <c r="A5" s="128"/>
      <c r="B5" s="150"/>
      <c r="C5" s="150"/>
      <c r="D5" s="130"/>
      <c r="E5" s="130"/>
      <c r="F5" s="131"/>
      <c r="G5" s="131"/>
      <c r="H5" s="111"/>
      <c r="I5" s="150"/>
      <c r="J5" s="151"/>
    </row>
    <row r="6" ht="34.5" customHeight="1" spans="1:10" x14ac:dyDescent="0.25">
      <c r="A6" s="128"/>
      <c r="B6" s="150"/>
      <c r="C6" s="150"/>
      <c r="D6" s="130"/>
      <c r="E6" s="130"/>
      <c r="F6" s="131"/>
      <c r="G6" s="131"/>
      <c r="H6" s="111"/>
      <c r="I6" s="150"/>
      <c r="J6" s="151"/>
    </row>
    <row r="7" ht="34.5" customHeight="1" spans="1:10" x14ac:dyDescent="0.25">
      <c r="A7" s="128"/>
      <c r="B7" s="150"/>
      <c r="C7" s="150"/>
      <c r="D7" s="130"/>
      <c r="E7" s="130"/>
      <c r="F7" s="131"/>
      <c r="G7" s="131"/>
      <c r="H7" s="111"/>
      <c r="I7" s="150"/>
      <c r="J7" s="151"/>
    </row>
    <row r="8" ht="34.5" customHeight="1" spans="1:10" x14ac:dyDescent="0.25">
      <c r="A8" s="128"/>
      <c r="B8" s="150"/>
      <c r="C8" s="150"/>
      <c r="D8" s="130"/>
      <c r="E8" s="130"/>
      <c r="F8" s="131"/>
      <c r="G8" s="131"/>
      <c r="H8" s="111"/>
      <c r="I8" s="150"/>
      <c r="J8" s="151"/>
    </row>
    <row r="9" ht="34.5" customHeight="1" spans="1:10" x14ac:dyDescent="0.25">
      <c r="A9" s="128"/>
      <c r="B9" s="150"/>
      <c r="C9" s="150"/>
      <c r="D9" s="130"/>
      <c r="E9" s="130"/>
      <c r="F9" s="131"/>
      <c r="G9" s="131"/>
      <c r="H9" s="111"/>
      <c r="I9" s="150"/>
      <c r="J9" s="151"/>
    </row>
    <row r="10" ht="34.5" customHeight="1" spans="1:10" x14ac:dyDescent="0.25">
      <c r="A10" s="128"/>
      <c r="B10" s="150"/>
      <c r="C10" s="150"/>
      <c r="D10" s="130"/>
      <c r="E10" s="130"/>
      <c r="F10" s="131"/>
      <c r="G10" s="131"/>
      <c r="H10" s="111"/>
      <c r="I10" s="150"/>
      <c r="J10" s="151"/>
    </row>
    <row r="11" ht="34.5" customHeight="1" spans="1:10" x14ac:dyDescent="0.25">
      <c r="A11" s="128"/>
      <c r="B11" s="150"/>
      <c r="C11" s="150"/>
      <c r="D11" s="130"/>
      <c r="E11" s="130"/>
      <c r="F11" s="131"/>
      <c r="G11" s="131"/>
      <c r="H11" s="111"/>
      <c r="I11" s="150"/>
      <c r="J11" s="151"/>
    </row>
    <row r="12" ht="34.5" customHeight="1" spans="1:10" x14ac:dyDescent="0.25">
      <c r="A12" s="128"/>
      <c r="B12" s="150"/>
      <c r="C12" s="150"/>
      <c r="D12" s="130"/>
      <c r="E12" s="130"/>
      <c r="F12" s="131"/>
      <c r="G12" s="131"/>
      <c r="H12" s="111"/>
      <c r="I12" s="150"/>
      <c r="J12" s="151"/>
    </row>
    <row r="13" ht="34.5" customHeight="1" spans="1:10" x14ac:dyDescent="0.25">
      <c r="A13" s="128"/>
      <c r="B13" s="150"/>
      <c r="C13" s="150"/>
      <c r="D13" s="130"/>
      <c r="E13" s="130"/>
      <c r="F13" s="131"/>
      <c r="G13" s="131"/>
      <c r="H13" s="111"/>
      <c r="I13" s="150"/>
      <c r="J13" s="151"/>
    </row>
    <row r="14" ht="34.5" customHeight="1" spans="1:10" x14ac:dyDescent="0.25">
      <c r="A14" s="128"/>
      <c r="B14" s="150"/>
      <c r="C14" s="150"/>
      <c r="D14" s="130"/>
      <c r="E14" s="130"/>
      <c r="F14" s="131"/>
      <c r="G14" s="131"/>
      <c r="H14" s="111"/>
      <c r="I14" s="150"/>
      <c r="J14" s="151"/>
    </row>
    <row r="15" ht="34.5" customHeight="1" spans="1:10" x14ac:dyDescent="0.25">
      <c r="A15" s="128"/>
      <c r="B15" s="150"/>
      <c r="C15" s="150"/>
      <c r="D15" s="130"/>
      <c r="E15" s="130"/>
      <c r="F15" s="131"/>
      <c r="G15" s="131"/>
      <c r="H15" s="111"/>
      <c r="I15" s="150"/>
      <c r="J15" s="151"/>
    </row>
    <row r="16" ht="34.5" customHeight="1" spans="1:10" x14ac:dyDescent="0.25">
      <c r="A16" s="128"/>
      <c r="B16" s="150"/>
      <c r="C16" s="150"/>
      <c r="D16" s="130"/>
      <c r="E16" s="130"/>
      <c r="F16" s="131"/>
      <c r="G16" s="131"/>
      <c r="H16" s="111"/>
      <c r="I16" s="150"/>
      <c r="J16" s="151"/>
    </row>
    <row r="17" ht="34.5" customHeight="1" spans="1:10" x14ac:dyDescent="0.25">
      <c r="A17" s="128"/>
      <c r="B17" s="150"/>
      <c r="C17" s="150"/>
      <c r="D17" s="130"/>
      <c r="E17" s="130"/>
      <c r="F17" s="131"/>
      <c r="G17" s="131"/>
      <c r="H17" s="111"/>
      <c r="I17" s="150"/>
      <c r="J17" s="151"/>
    </row>
    <row r="18" ht="34.5" customHeight="1" spans="1:10" x14ac:dyDescent="0.25">
      <c r="A18" s="128"/>
      <c r="B18" s="150"/>
      <c r="C18" s="150"/>
      <c r="D18" s="130"/>
      <c r="E18" s="130"/>
      <c r="F18" s="131"/>
      <c r="G18" s="131"/>
      <c r="H18" s="111"/>
      <c r="I18" s="150"/>
      <c r="J18" s="151"/>
    </row>
    <row r="19" ht="34.5" customHeight="1" spans="1:10" x14ac:dyDescent="0.25">
      <c r="A19" s="128"/>
      <c r="B19" s="150"/>
      <c r="C19" s="150"/>
      <c r="D19" s="130"/>
      <c r="E19" s="130"/>
      <c r="F19" s="131"/>
      <c r="G19" s="131"/>
      <c r="H19" s="111"/>
      <c r="I19" s="150"/>
      <c r="J19" s="151"/>
    </row>
    <row r="20" ht="34.5" customHeight="1" spans="1:10" x14ac:dyDescent="0.25">
      <c r="A20" s="128"/>
      <c r="B20" s="150"/>
      <c r="C20" s="150"/>
      <c r="D20" s="130"/>
      <c r="E20" s="130"/>
      <c r="F20" s="131"/>
      <c r="G20" s="131"/>
      <c r="H20" s="111"/>
      <c r="I20" s="150"/>
      <c r="J20" s="151"/>
    </row>
    <row r="21" ht="34.5" customHeight="1" spans="1:10" x14ac:dyDescent="0.25">
      <c r="A21" s="128"/>
      <c r="B21" s="150"/>
      <c r="C21" s="150"/>
      <c r="D21" s="130"/>
      <c r="E21" s="130"/>
      <c r="F21" s="131"/>
      <c r="G21" s="131"/>
      <c r="H21" s="111"/>
      <c r="I21" s="150"/>
      <c r="J21" s="151"/>
    </row>
    <row r="22" ht="34.5" customHeight="1" spans="1:10" x14ac:dyDescent="0.25">
      <c r="A22" s="128"/>
      <c r="B22" s="150"/>
      <c r="C22" s="150"/>
      <c r="D22" s="130"/>
      <c r="E22" s="130"/>
      <c r="F22" s="131"/>
      <c r="G22" s="131"/>
      <c r="H22" s="111"/>
      <c r="I22" s="150"/>
      <c r="J22" s="151"/>
    </row>
    <row r="23" ht="34.5" customHeight="1" spans="1:10" x14ac:dyDescent="0.25">
      <c r="A23" s="128"/>
      <c r="B23" s="150"/>
      <c r="C23" s="150"/>
      <c r="D23" s="130"/>
      <c r="E23" s="130"/>
      <c r="F23" s="131"/>
      <c r="G23" s="131"/>
      <c r="H23" s="111"/>
      <c r="I23" s="150"/>
      <c r="J23" s="151"/>
    </row>
    <row r="24" ht="34.5" customHeight="1" spans="1:10" x14ac:dyDescent="0.25">
      <c r="A24" s="128"/>
      <c r="B24" s="150"/>
      <c r="C24" s="150"/>
      <c r="D24" s="130"/>
      <c r="E24" s="130"/>
      <c r="F24" s="131"/>
      <c r="G24" s="131"/>
      <c r="H24" s="111"/>
      <c r="I24" s="150"/>
      <c r="J24" s="151"/>
    </row>
    <row r="25" ht="34.5" customHeight="1" spans="1:10" x14ac:dyDescent="0.25">
      <c r="A25" s="128"/>
      <c r="B25" s="150"/>
      <c r="C25" s="150"/>
      <c r="D25" s="130"/>
      <c r="E25" s="130"/>
      <c r="F25" s="131"/>
      <c r="G25" s="131"/>
      <c r="H25" s="111"/>
      <c r="I25" s="150"/>
      <c r="J25" s="151"/>
    </row>
    <row r="26" ht="34.5" customHeight="1" spans="1:10" x14ac:dyDescent="0.25">
      <c r="A26" s="128"/>
      <c r="B26" s="150"/>
      <c r="C26" s="150"/>
      <c r="D26" s="130"/>
      <c r="E26" s="130"/>
      <c r="F26" s="131"/>
      <c r="G26" s="131"/>
      <c r="H26" s="111"/>
      <c r="I26" s="150"/>
      <c r="J26" s="151"/>
    </row>
    <row r="27" ht="34.5" customHeight="1" spans="1:10" x14ac:dyDescent="0.25">
      <c r="A27" s="128"/>
      <c r="B27" s="150"/>
      <c r="C27" s="150"/>
      <c r="D27" s="130"/>
      <c r="E27" s="130"/>
      <c r="F27" s="131"/>
      <c r="G27" s="131"/>
      <c r="H27" s="111"/>
      <c r="I27" s="150"/>
      <c r="J27" s="151"/>
    </row>
    <row r="28" ht="34.5" customHeight="1" spans="1:10" x14ac:dyDescent="0.25">
      <c r="A28" s="128"/>
      <c r="B28" s="150"/>
      <c r="C28" s="150"/>
      <c r="D28" s="130"/>
      <c r="E28" s="130"/>
      <c r="F28" s="131"/>
      <c r="G28" s="131"/>
      <c r="H28" s="111"/>
      <c r="I28" s="150"/>
      <c r="J28" s="151"/>
    </row>
    <row r="29" ht="34.5" customHeight="1" spans="1:10" x14ac:dyDescent="0.25">
      <c r="A29" s="128"/>
      <c r="B29" s="150"/>
      <c r="C29" s="150"/>
      <c r="D29" s="130"/>
      <c r="E29" s="130"/>
      <c r="F29" s="131"/>
      <c r="G29" s="131"/>
      <c r="H29" s="111"/>
      <c r="I29" s="150"/>
      <c r="J29" s="151"/>
    </row>
    <row r="30" ht="34.5" customHeight="1" spans="1:10" x14ac:dyDescent="0.25">
      <c r="A30" s="128"/>
      <c r="B30" s="150"/>
      <c r="C30" s="150"/>
      <c r="D30" s="130"/>
      <c r="E30" s="130"/>
      <c r="F30" s="131"/>
      <c r="G30" s="131"/>
      <c r="H30" s="111"/>
      <c r="I30" s="150"/>
      <c r="J30" s="151"/>
    </row>
    <row r="31" ht="34.5" customHeight="1" spans="1:10" x14ac:dyDescent="0.25">
      <c r="A31" s="128"/>
      <c r="B31" s="150"/>
      <c r="C31" s="150"/>
      <c r="D31" s="130"/>
      <c r="E31" s="130"/>
      <c r="F31" s="131"/>
      <c r="G31" s="131"/>
      <c r="H31" s="111"/>
      <c r="I31" s="150"/>
      <c r="J31" s="151"/>
    </row>
    <row r="32" ht="34.5" customHeight="1" spans="1:10" x14ac:dyDescent="0.25">
      <c r="A32" s="128"/>
      <c r="B32" s="150"/>
      <c r="C32" s="150"/>
      <c r="D32" s="130"/>
      <c r="E32" s="130"/>
      <c r="F32" s="131"/>
      <c r="G32" s="131"/>
      <c r="H32" s="111"/>
      <c r="I32" s="150"/>
      <c r="J32" s="151"/>
    </row>
    <row r="33" ht="17.25" customHeight="1" spans="1:10" x14ac:dyDescent="0.25">
      <c r="A33" s="128"/>
      <c r="B33" s="150"/>
      <c r="C33" s="150"/>
      <c r="D33" s="130"/>
      <c r="E33" s="130"/>
      <c r="F33" s="131"/>
      <c r="G33" s="131"/>
      <c r="H33" s="111"/>
      <c r="I33" s="150"/>
      <c r="J33" s="151"/>
    </row>
    <row r="34" ht="34.5" customHeight="1" spans="1:10" x14ac:dyDescent="0.25">
      <c r="A34" s="128"/>
      <c r="B34" s="150"/>
      <c r="C34" s="150"/>
      <c r="D34" s="130"/>
      <c r="E34" s="130"/>
      <c r="F34" s="131"/>
      <c r="G34" s="131"/>
      <c r="H34" s="111"/>
      <c r="I34" s="150"/>
      <c r="J34" s="151"/>
    </row>
    <row r="35" ht="17.25" customHeight="1" spans="1:10" x14ac:dyDescent="0.25">
      <c r="A35" s="128"/>
      <c r="B35" s="150"/>
      <c r="C35" s="150"/>
      <c r="D35" s="130"/>
      <c r="E35" s="130"/>
      <c r="F35" s="131"/>
      <c r="G35" s="131"/>
      <c r="H35" s="111"/>
      <c r="I35" s="150"/>
      <c r="J35" s="151"/>
    </row>
    <row r="36" ht="17.25" customHeight="1" spans="1:10" x14ac:dyDescent="0.25">
      <c r="A36" s="128"/>
      <c r="B36" s="150"/>
      <c r="C36" s="150"/>
      <c r="D36" s="130"/>
      <c r="E36" s="130"/>
      <c r="F36" s="131"/>
      <c r="G36" s="131"/>
      <c r="H36" s="111"/>
      <c r="I36" s="150"/>
      <c r="J36" s="151"/>
    </row>
    <row r="37" ht="17.25" customHeight="1" spans="1:10" x14ac:dyDescent="0.25">
      <c r="A37" s="128"/>
      <c r="B37" s="150"/>
      <c r="C37" s="150"/>
      <c r="D37" s="130"/>
      <c r="E37" s="130"/>
      <c r="F37" s="131"/>
      <c r="G37" s="131"/>
      <c r="H37" s="111"/>
      <c r="I37" s="150"/>
      <c r="J37" s="151"/>
    </row>
    <row r="38" ht="34.5" customHeight="1" spans="1:10" x14ac:dyDescent="0.25">
      <c r="A38" s="128"/>
      <c r="B38" s="150"/>
      <c r="C38" s="150"/>
      <c r="D38" s="130"/>
      <c r="E38" s="130"/>
      <c r="F38" s="131"/>
      <c r="G38" s="131"/>
      <c r="H38" s="111"/>
      <c r="I38" s="150"/>
      <c r="J38" s="151"/>
    </row>
    <row r="39" ht="34.5" customHeight="1" spans="1:10" x14ac:dyDescent="0.25">
      <c r="A39" s="128"/>
      <c r="B39" s="150"/>
      <c r="C39" s="150"/>
      <c r="D39" s="130"/>
      <c r="E39" s="130"/>
      <c r="F39" s="131"/>
      <c r="G39" s="131"/>
      <c r="H39" s="111"/>
      <c r="I39" s="150"/>
      <c r="J39" s="151"/>
    </row>
    <row r="40" ht="34.5" customHeight="1" spans="1:10" x14ac:dyDescent="0.25">
      <c r="A40" s="128"/>
      <c r="B40" s="150"/>
      <c r="C40" s="150"/>
      <c r="D40" s="130"/>
      <c r="E40" s="130"/>
      <c r="F40" s="131"/>
      <c r="G40" s="131"/>
      <c r="H40" s="111"/>
      <c r="I40" s="150"/>
      <c r="J40" s="151"/>
    </row>
    <row r="41" ht="34.5" customHeight="1" spans="1:10" x14ac:dyDescent="0.25">
      <c r="A41" s="128"/>
      <c r="B41" s="150"/>
      <c r="C41" s="150"/>
      <c r="D41" s="130"/>
      <c r="E41" s="130"/>
      <c r="F41" s="131"/>
      <c r="G41" s="131"/>
      <c r="H41" s="111"/>
      <c r="I41" s="150"/>
      <c r="J41" s="151"/>
    </row>
    <row r="42" ht="34.5" customHeight="1" spans="1:10" x14ac:dyDescent="0.25">
      <c r="A42" s="128"/>
      <c r="B42" s="150"/>
      <c r="C42" s="150"/>
      <c r="D42" s="130"/>
      <c r="E42" s="130"/>
      <c r="F42" s="131"/>
      <c r="G42" s="131"/>
      <c r="H42" s="111"/>
      <c r="I42" s="150"/>
      <c r="J42" s="151"/>
    </row>
    <row r="43" ht="34.5" customHeight="1" spans="1:10" x14ac:dyDescent="0.25">
      <c r="A43" s="128"/>
      <c r="B43" s="150"/>
      <c r="C43" s="150"/>
      <c r="D43" s="130"/>
      <c r="E43" s="130"/>
      <c r="F43" s="131"/>
      <c r="G43" s="131"/>
      <c r="H43" s="111"/>
      <c r="I43" s="150"/>
      <c r="J43" s="151"/>
    </row>
    <row r="44" ht="34.5" customHeight="1" spans="1:10" x14ac:dyDescent="0.25">
      <c r="A44" s="128"/>
      <c r="B44" s="150"/>
      <c r="C44" s="150"/>
      <c r="D44" s="130"/>
      <c r="E44" s="130"/>
      <c r="F44" s="131"/>
      <c r="G44" s="131"/>
      <c r="H44" s="111"/>
      <c r="I44" s="150"/>
      <c r="J44" s="151"/>
    </row>
    <row r="45" ht="34.5" customHeight="1" spans="1:10" x14ac:dyDescent="0.25">
      <c r="A45" s="128"/>
      <c r="B45" s="150"/>
      <c r="C45" s="150"/>
      <c r="D45" s="130"/>
      <c r="E45" s="130"/>
      <c r="F45" s="131"/>
      <c r="G45" s="131"/>
      <c r="H45" s="111"/>
      <c r="I45" s="150"/>
      <c r="J45" s="151"/>
    </row>
    <row r="46" ht="34.5" customHeight="1" spans="1:10" x14ac:dyDescent="0.25">
      <c r="A46" s="128"/>
      <c r="B46" s="150"/>
      <c r="C46" s="150"/>
      <c r="D46" s="130"/>
      <c r="E46" s="130"/>
      <c r="F46" s="131"/>
      <c r="G46" s="131"/>
      <c r="H46" s="111"/>
      <c r="I46" s="150"/>
      <c r="J46" s="151"/>
    </row>
    <row r="47" ht="34.5" customHeight="1" spans="1:10" x14ac:dyDescent="0.25">
      <c r="A47" s="128"/>
      <c r="B47" s="150"/>
      <c r="C47" s="150"/>
      <c r="D47" s="130"/>
      <c r="E47" s="130"/>
      <c r="F47" s="131"/>
      <c r="G47" s="131"/>
      <c r="H47" s="111"/>
      <c r="I47" s="150"/>
      <c r="J47" s="151"/>
    </row>
    <row r="48" ht="34.5" customHeight="1" spans="1:10" x14ac:dyDescent="0.25">
      <c r="A48" s="128"/>
      <c r="B48" s="150"/>
      <c r="C48" s="150"/>
      <c r="D48" s="130"/>
      <c r="E48" s="130"/>
      <c r="F48" s="131"/>
      <c r="G48" s="131"/>
      <c r="H48" s="111"/>
      <c r="I48" s="150"/>
      <c r="J48" s="151"/>
    </row>
    <row r="49" ht="34.5" customHeight="1" spans="1:10" x14ac:dyDescent="0.25">
      <c r="A49" s="128"/>
      <c r="B49" s="150"/>
      <c r="C49" s="150"/>
      <c r="D49" s="130"/>
      <c r="E49" s="130"/>
      <c r="F49" s="131"/>
      <c r="G49" s="131"/>
      <c r="H49" s="111"/>
      <c r="I49" s="150"/>
      <c r="J49" s="151"/>
    </row>
    <row r="50" ht="34.5" customHeight="1" spans="1:10" x14ac:dyDescent="0.25">
      <c r="A50" s="128"/>
      <c r="B50" s="150"/>
      <c r="C50" s="150"/>
      <c r="D50" s="130"/>
      <c r="E50" s="130"/>
      <c r="F50" s="131"/>
      <c r="G50" s="131"/>
      <c r="H50" s="111"/>
      <c r="I50" s="150"/>
      <c r="J50" s="151"/>
    </row>
    <row r="51" ht="34.5" customHeight="1" spans="1:10" x14ac:dyDescent="0.25">
      <c r="A51" s="128"/>
      <c r="B51" s="150"/>
      <c r="C51" s="150"/>
      <c r="D51" s="130"/>
      <c r="E51" s="130"/>
      <c r="F51" s="131"/>
      <c r="G51" s="131"/>
      <c r="H51" s="111"/>
      <c r="I51" s="150"/>
      <c r="J51" s="151"/>
    </row>
    <row r="52" ht="34.5" customHeight="1" spans="1:10" x14ac:dyDescent="0.25">
      <c r="A52" s="128"/>
      <c r="B52" s="150"/>
      <c r="C52" s="150"/>
      <c r="D52" s="130"/>
      <c r="E52" s="130"/>
      <c r="F52" s="131"/>
      <c r="G52" s="131"/>
      <c r="H52" s="111"/>
      <c r="I52" s="150"/>
      <c r="J52" s="151"/>
    </row>
    <row r="53" ht="34.5" customHeight="1" spans="1:10" x14ac:dyDescent="0.25">
      <c r="A53" s="128"/>
      <c r="B53" s="150"/>
      <c r="C53" s="150"/>
      <c r="D53" s="130"/>
      <c r="E53" s="130"/>
      <c r="F53" s="131"/>
      <c r="G53" s="131"/>
      <c r="H53" s="111"/>
      <c r="I53" s="150"/>
      <c r="J53" s="151"/>
    </row>
    <row r="54" ht="34.5" customHeight="1" spans="1:10" x14ac:dyDescent="0.25">
      <c r="A54" s="128"/>
      <c r="B54" s="150"/>
      <c r="C54" s="150"/>
      <c r="D54" s="130"/>
      <c r="E54" s="130"/>
      <c r="F54" s="131"/>
      <c r="G54" s="131"/>
      <c r="H54" s="111"/>
      <c r="I54" s="150"/>
      <c r="J54" s="151"/>
    </row>
    <row r="55" ht="34.5" customHeight="1" spans="1:10" x14ac:dyDescent="0.25">
      <c r="A55" s="128"/>
      <c r="B55" s="150"/>
      <c r="C55" s="150"/>
      <c r="D55" s="130"/>
      <c r="E55" s="130"/>
      <c r="F55" s="131"/>
      <c r="G55" s="131"/>
      <c r="H55" s="111"/>
      <c r="I55" s="150"/>
      <c r="J55" s="151"/>
    </row>
    <row r="56" ht="34.5" customHeight="1" spans="1:10" x14ac:dyDescent="0.25">
      <c r="A56" s="128"/>
      <c r="B56" s="150"/>
      <c r="C56" s="150"/>
      <c r="D56" s="130"/>
      <c r="E56" s="130"/>
      <c r="F56" s="131"/>
      <c r="G56" s="131"/>
      <c r="H56" s="111"/>
      <c r="I56" s="150"/>
      <c r="J56" s="151"/>
    </row>
    <row r="57" ht="34.5" customHeight="1" spans="1:10" x14ac:dyDescent="0.25">
      <c r="A57" s="128"/>
      <c r="B57" s="150"/>
      <c r="C57" s="150"/>
      <c r="D57" s="130"/>
      <c r="E57" s="130"/>
      <c r="F57" s="131"/>
      <c r="G57" s="131"/>
      <c r="H57" s="111"/>
      <c r="I57" s="150"/>
      <c r="J57" s="151"/>
    </row>
    <row r="58" ht="34.5" customHeight="1" spans="1:10" x14ac:dyDescent="0.25">
      <c r="A58" s="128"/>
      <c r="B58" s="150"/>
      <c r="C58" s="150"/>
      <c r="D58" s="130"/>
      <c r="E58" s="130"/>
      <c r="F58" s="131"/>
      <c r="G58" s="131"/>
      <c r="H58" s="111"/>
      <c r="I58" s="150"/>
      <c r="J58" s="151"/>
    </row>
    <row r="59" ht="17.25" customHeight="1" spans="1:10" x14ac:dyDescent="0.25">
      <c r="A59" s="128"/>
      <c r="B59" s="150"/>
      <c r="C59" s="150"/>
      <c r="D59" s="130"/>
      <c r="E59" s="130"/>
      <c r="F59" s="131"/>
      <c r="G59" s="131"/>
      <c r="H59" s="111"/>
      <c r="I59" s="150"/>
      <c r="J59" s="151"/>
    </row>
    <row r="60" ht="34.5" customHeight="1" spans="1:10" x14ac:dyDescent="0.25">
      <c r="A60" s="128"/>
      <c r="B60" s="150"/>
      <c r="C60" s="150"/>
      <c r="D60" s="130"/>
      <c r="E60" s="130"/>
      <c r="F60" s="131"/>
      <c r="G60" s="131"/>
      <c r="H60" s="111"/>
      <c r="I60" s="150"/>
      <c r="J60" s="151"/>
    </row>
    <row r="61" ht="34.5" customHeight="1" spans="1:10" x14ac:dyDescent="0.25">
      <c r="A61" s="128"/>
      <c r="B61" s="150"/>
      <c r="C61" s="150"/>
      <c r="D61" s="130"/>
      <c r="E61" s="130"/>
      <c r="F61" s="131"/>
      <c r="G61" s="131"/>
      <c r="H61" s="111"/>
      <c r="I61" s="150"/>
      <c r="J61" s="151"/>
    </row>
    <row r="62" ht="17.25" customHeight="1" spans="1:10" x14ac:dyDescent="0.25">
      <c r="A62" s="128"/>
      <c r="B62" s="150"/>
      <c r="C62" s="150"/>
      <c r="D62" s="130"/>
      <c r="E62" s="130"/>
      <c r="F62" s="131"/>
      <c r="G62" s="131"/>
      <c r="H62" s="111"/>
      <c r="I62" s="150"/>
      <c r="J62" s="151"/>
    </row>
    <row r="63" ht="17.25" customHeight="1" spans="1:10" x14ac:dyDescent="0.25">
      <c r="A63" s="128"/>
      <c r="B63" s="150"/>
      <c r="C63" s="150"/>
      <c r="D63" s="130"/>
      <c r="E63" s="130"/>
      <c r="F63" s="131"/>
      <c r="G63" s="131"/>
      <c r="H63" s="111"/>
      <c r="I63" s="150"/>
      <c r="J63" s="151"/>
    </row>
    <row r="64" ht="34.5" customHeight="1" spans="1:10" x14ac:dyDescent="0.25">
      <c r="A64" s="128"/>
      <c r="B64" s="150"/>
      <c r="C64" s="150"/>
      <c r="D64" s="130"/>
      <c r="E64" s="130"/>
      <c r="F64" s="131"/>
      <c r="G64" s="131"/>
      <c r="H64" s="111"/>
      <c r="I64" s="150"/>
      <c r="J64" s="151"/>
    </row>
    <row r="65" ht="34.5" customHeight="1" spans="1:10" x14ac:dyDescent="0.25">
      <c r="A65" s="128"/>
      <c r="B65" s="150"/>
      <c r="C65" s="150"/>
      <c r="D65" s="130"/>
      <c r="E65" s="130"/>
      <c r="F65" s="131"/>
      <c r="G65" s="131"/>
      <c r="H65" s="111"/>
      <c r="I65" s="150"/>
      <c r="J65" s="151"/>
    </row>
    <row r="66" ht="17.25" customHeight="1" spans="1:10" x14ac:dyDescent="0.25">
      <c r="A66" s="128"/>
      <c r="B66" s="150"/>
      <c r="C66" s="150"/>
      <c r="D66" s="130"/>
      <c r="E66" s="130"/>
      <c r="F66" s="131"/>
      <c r="G66" s="131"/>
      <c r="H66" s="111"/>
      <c r="I66" s="150"/>
      <c r="J66" s="151"/>
    </row>
    <row r="67" ht="17.25" customHeight="1" spans="1:10" x14ac:dyDescent="0.25">
      <c r="A67" s="128"/>
      <c r="B67" s="150"/>
      <c r="C67" s="150"/>
      <c r="D67" s="130"/>
      <c r="E67" s="130"/>
      <c r="F67" s="131"/>
      <c r="G67" s="131"/>
      <c r="H67" s="111"/>
      <c r="I67" s="150"/>
      <c r="J67" s="151"/>
    </row>
    <row r="68" ht="34.5" customHeight="1" spans="1:10" x14ac:dyDescent="0.25">
      <c r="A68" s="128"/>
      <c r="B68" s="150"/>
      <c r="C68" s="150"/>
      <c r="D68" s="130"/>
      <c r="E68" s="130"/>
      <c r="F68" s="131"/>
      <c r="G68" s="131"/>
      <c r="H68" s="111"/>
      <c r="I68" s="150"/>
      <c r="J68" s="151"/>
    </row>
    <row r="69" ht="34.5" customHeight="1" spans="1:10" x14ac:dyDescent="0.25">
      <c r="A69" s="128"/>
      <c r="B69" s="150"/>
      <c r="C69" s="150"/>
      <c r="D69" s="130"/>
      <c r="E69" s="130"/>
      <c r="F69" s="131"/>
      <c r="G69" s="131"/>
      <c r="H69" s="111"/>
      <c r="I69" s="150"/>
      <c r="J69" s="151"/>
    </row>
    <row r="70" ht="17.25" customHeight="1" spans="1:10" x14ac:dyDescent="0.25">
      <c r="A70" s="128"/>
      <c r="B70" s="150"/>
      <c r="C70" s="150"/>
      <c r="D70" s="130"/>
      <c r="E70" s="130"/>
      <c r="F70" s="131"/>
      <c r="G70" s="131"/>
      <c r="H70" s="111"/>
      <c r="I70" s="150"/>
      <c r="J70" s="151"/>
    </row>
    <row r="71" ht="34.5" customHeight="1" spans="1:10" x14ac:dyDescent="0.25">
      <c r="A71" s="128"/>
      <c r="B71" s="150"/>
      <c r="C71" s="150"/>
      <c r="D71" s="130"/>
      <c r="E71" s="130"/>
      <c r="F71" s="131"/>
      <c r="G71" s="131"/>
      <c r="H71" s="111"/>
      <c r="I71" s="150"/>
      <c r="J71" s="151"/>
    </row>
    <row r="72" ht="17.25" customHeight="1" spans="1:10" x14ac:dyDescent="0.25">
      <c r="A72" s="128"/>
      <c r="B72" s="150"/>
      <c r="C72" s="150"/>
      <c r="D72" s="130"/>
      <c r="E72" s="130"/>
      <c r="F72" s="131"/>
      <c r="G72" s="131"/>
      <c r="H72" s="111"/>
      <c r="I72" s="150"/>
      <c r="J72" s="151"/>
    </row>
    <row r="73" ht="17.25" customHeight="1" spans="1:10" x14ac:dyDescent="0.25">
      <c r="A73" s="128"/>
      <c r="B73" s="150"/>
      <c r="C73" s="150"/>
      <c r="D73" s="130"/>
      <c r="E73" s="130"/>
      <c r="F73" s="131"/>
      <c r="G73" s="131"/>
      <c r="H73" s="111"/>
      <c r="I73" s="150"/>
      <c r="J73" s="151"/>
    </row>
    <row r="74" ht="34.5" customHeight="1" spans="1:10" x14ac:dyDescent="0.25">
      <c r="A74" s="128"/>
      <c r="B74" s="150"/>
      <c r="C74" s="150"/>
      <c r="D74" s="130"/>
      <c r="E74" s="130"/>
      <c r="F74" s="131"/>
      <c r="G74" s="131"/>
      <c r="H74" s="111"/>
      <c r="I74" s="150"/>
      <c r="J74" s="151"/>
    </row>
    <row r="75" ht="34.5" customHeight="1" spans="1:10" x14ac:dyDescent="0.25">
      <c r="A75" s="128"/>
      <c r="B75" s="150"/>
      <c r="C75" s="150"/>
      <c r="D75" s="130"/>
      <c r="E75" s="130"/>
      <c r="F75" s="131"/>
      <c r="G75" s="131"/>
      <c r="H75" s="111"/>
      <c r="I75" s="150"/>
      <c r="J75" s="151"/>
    </row>
    <row r="76" ht="34.5" customHeight="1" spans="1:10" x14ac:dyDescent="0.25">
      <c r="A76" s="128"/>
      <c r="B76" s="150"/>
      <c r="C76" s="150"/>
      <c r="D76" s="130"/>
      <c r="E76" s="130"/>
      <c r="F76" s="131"/>
      <c r="G76" s="131"/>
      <c r="H76" s="111"/>
      <c r="I76" s="150"/>
      <c r="J76" s="151"/>
    </row>
    <row r="77" ht="17.25" customHeight="1" spans="1:10" x14ac:dyDescent="0.25">
      <c r="A77" s="128"/>
      <c r="B77" s="150"/>
      <c r="C77" s="150"/>
      <c r="D77" s="130"/>
      <c r="E77" s="130"/>
      <c r="F77" s="131"/>
      <c r="G77" s="131"/>
      <c r="H77" s="111"/>
      <c r="I77" s="150"/>
      <c r="J77" s="151"/>
    </row>
    <row r="78" ht="34.5" customHeight="1" spans="1:10" x14ac:dyDescent="0.25">
      <c r="A78" s="128"/>
      <c r="B78" s="150"/>
      <c r="C78" s="150"/>
      <c r="D78" s="130"/>
      <c r="E78" s="130"/>
      <c r="F78" s="131"/>
      <c r="G78" s="131"/>
      <c r="H78" s="111"/>
      <c r="I78" s="150"/>
      <c r="J78" s="151"/>
    </row>
    <row r="79" ht="34.5" customHeight="1" spans="1:10" x14ac:dyDescent="0.25">
      <c r="A79" s="128"/>
      <c r="B79" s="150"/>
      <c r="C79" s="150"/>
      <c r="D79" s="130"/>
      <c r="E79" s="130"/>
      <c r="F79" s="131"/>
      <c r="G79" s="131"/>
      <c r="H79" s="111"/>
      <c r="I79" s="150"/>
      <c r="J79" s="151"/>
    </row>
    <row r="80" ht="34.5" customHeight="1" spans="1:10" x14ac:dyDescent="0.25">
      <c r="A80" s="128"/>
      <c r="B80" s="150"/>
      <c r="C80" s="150"/>
      <c r="D80" s="130"/>
      <c r="E80" s="130"/>
      <c r="F80" s="131"/>
      <c r="G80" s="131"/>
      <c r="H80" s="111"/>
      <c r="I80" s="150"/>
      <c r="J80" s="151"/>
    </row>
    <row r="81" ht="34.5" customHeight="1" spans="1:10" x14ac:dyDescent="0.25">
      <c r="A81" s="128"/>
      <c r="B81" s="150"/>
      <c r="C81" s="150"/>
      <c r="D81" s="130"/>
      <c r="E81" s="130"/>
      <c r="F81" s="131"/>
      <c r="G81" s="131"/>
      <c r="H81" s="111"/>
      <c r="I81" s="150"/>
      <c r="J81" s="151"/>
    </row>
    <row r="82" ht="34.5" customHeight="1" spans="1:10" x14ac:dyDescent="0.25">
      <c r="A82" s="128"/>
      <c r="B82" s="150"/>
      <c r="C82" s="150"/>
      <c r="D82" s="130"/>
      <c r="E82" s="130"/>
      <c r="F82" s="131"/>
      <c r="G82" s="131"/>
      <c r="H82" s="111"/>
      <c r="I82" s="150"/>
      <c r="J82" s="151"/>
    </row>
    <row r="83" ht="34.5" customHeight="1" spans="1:10" x14ac:dyDescent="0.25">
      <c r="A83" s="128"/>
      <c r="B83" s="150"/>
      <c r="C83" s="150"/>
      <c r="D83" s="130"/>
      <c r="E83" s="130"/>
      <c r="F83" s="131"/>
      <c r="G83" s="131"/>
      <c r="H83" s="111"/>
      <c r="I83" s="150"/>
      <c r="J83" s="151"/>
    </row>
    <row r="84" ht="34.5" customHeight="1" spans="1:10" x14ac:dyDescent="0.25">
      <c r="A84" s="128"/>
      <c r="B84" s="150"/>
      <c r="C84" s="150"/>
      <c r="D84" s="130"/>
      <c r="E84" s="130"/>
      <c r="F84" s="131"/>
      <c r="G84" s="131"/>
      <c r="H84" s="111"/>
      <c r="I84" s="150"/>
      <c r="J84" s="151"/>
    </row>
    <row r="85" ht="34.5" customHeight="1" spans="1:10" x14ac:dyDescent="0.25">
      <c r="A85" s="128"/>
      <c r="B85" s="150"/>
      <c r="C85" s="150"/>
      <c r="D85" s="130"/>
      <c r="E85" s="130"/>
      <c r="F85" s="131"/>
      <c r="G85" s="131"/>
      <c r="H85" s="111"/>
      <c r="I85" s="150"/>
      <c r="J85" s="151"/>
    </row>
    <row r="86" ht="34.5" customHeight="1" spans="1:10" x14ac:dyDescent="0.25">
      <c r="A86" s="128"/>
      <c r="B86" s="150"/>
      <c r="C86" s="150"/>
      <c r="D86" s="130"/>
      <c r="E86" s="130"/>
      <c r="F86" s="131"/>
      <c r="G86" s="131"/>
      <c r="H86" s="111"/>
      <c r="I86" s="150"/>
      <c r="J86" s="151"/>
    </row>
    <row r="87" ht="17.25" customHeight="1" spans="1:10" x14ac:dyDescent="0.25">
      <c r="A87" s="128"/>
      <c r="B87" s="150"/>
      <c r="C87" s="150"/>
      <c r="D87" s="130"/>
      <c r="E87" s="130"/>
      <c r="F87" s="131"/>
      <c r="G87" s="131"/>
      <c r="H87" s="111"/>
      <c r="I87" s="150"/>
      <c r="J87" s="151"/>
    </row>
    <row r="88" ht="17.25" customHeight="1" spans="1:10" x14ac:dyDescent="0.25">
      <c r="A88" s="128"/>
      <c r="B88" s="150"/>
      <c r="C88" s="150"/>
      <c r="D88" s="130"/>
      <c r="E88" s="130"/>
      <c r="F88" s="131"/>
      <c r="G88" s="131"/>
      <c r="H88" s="111"/>
      <c r="I88" s="150"/>
      <c r="J88" s="151"/>
    </row>
    <row r="89" ht="17.25" customHeight="1" spans="1:10" x14ac:dyDescent="0.25">
      <c r="A89" s="128"/>
      <c r="B89" s="150"/>
      <c r="C89" s="150"/>
      <c r="D89" s="130"/>
      <c r="E89" s="130"/>
      <c r="F89" s="131"/>
      <c r="G89" s="131"/>
      <c r="H89" s="111"/>
      <c r="I89" s="150"/>
      <c r="J89" s="151"/>
    </row>
    <row r="90" ht="17.25" customHeight="1" spans="1:10" x14ac:dyDescent="0.25">
      <c r="A90" s="128"/>
      <c r="B90" s="150"/>
      <c r="C90" s="150"/>
      <c r="D90" s="130"/>
      <c r="E90" s="130"/>
      <c r="F90" s="131"/>
      <c r="G90" s="131"/>
      <c r="H90" s="111"/>
      <c r="I90" s="150"/>
      <c r="J90" s="151"/>
    </row>
    <row r="91" ht="34.5" customHeight="1" spans="1:10" x14ac:dyDescent="0.25">
      <c r="A91" s="128"/>
      <c r="B91" s="150"/>
      <c r="C91" s="150"/>
      <c r="D91" s="130"/>
      <c r="E91" s="130"/>
      <c r="F91" s="131"/>
      <c r="G91" s="131"/>
      <c r="H91" s="111"/>
      <c r="I91" s="150"/>
      <c r="J91" s="151"/>
    </row>
    <row r="92" ht="34.5" customHeight="1" spans="1:10" x14ac:dyDescent="0.25">
      <c r="A92" s="128"/>
      <c r="B92" s="150"/>
      <c r="C92" s="150"/>
      <c r="D92" s="130"/>
      <c r="E92" s="130"/>
      <c r="F92" s="131"/>
      <c r="G92" s="131"/>
      <c r="H92" s="111"/>
      <c r="I92" s="150"/>
      <c r="J92" s="151"/>
    </row>
    <row r="93" ht="34.5" customHeight="1" spans="1:10" x14ac:dyDescent="0.25">
      <c r="A93" s="128"/>
      <c r="B93" s="150"/>
      <c r="C93" s="150"/>
      <c r="D93" s="130"/>
      <c r="E93" s="130"/>
      <c r="F93" s="131"/>
      <c r="G93" s="131"/>
      <c r="H93" s="111"/>
      <c r="I93" s="150"/>
      <c r="J93" s="151"/>
    </row>
    <row r="94" ht="34.5" customHeight="1" spans="1:10" x14ac:dyDescent="0.25">
      <c r="A94" s="128"/>
      <c r="B94" s="150"/>
      <c r="C94" s="150"/>
      <c r="D94" s="130"/>
      <c r="E94" s="130"/>
      <c r="F94" s="131"/>
      <c r="G94" s="131"/>
      <c r="H94" s="111"/>
      <c r="I94" s="150"/>
      <c r="J94" s="151"/>
    </row>
    <row r="95" ht="34.5" customHeight="1" spans="1:10" x14ac:dyDescent="0.25">
      <c r="A95" s="128"/>
      <c r="B95" s="150"/>
      <c r="C95" s="150"/>
      <c r="D95" s="130"/>
      <c r="E95" s="130"/>
      <c r="F95" s="131"/>
      <c r="G95" s="131"/>
      <c r="H95" s="111"/>
      <c r="I95" s="150"/>
      <c r="J95" s="151"/>
    </row>
    <row r="96" ht="34.5" customHeight="1" spans="1:10" x14ac:dyDescent="0.25">
      <c r="A96" s="128"/>
      <c r="B96" s="150"/>
      <c r="C96" s="150"/>
      <c r="D96" s="130"/>
      <c r="E96" s="130"/>
      <c r="F96" s="131"/>
      <c r="G96" s="131"/>
      <c r="H96" s="111"/>
      <c r="I96" s="150"/>
      <c r="J96" s="151"/>
    </row>
    <row r="97" ht="34.5" customHeight="1" spans="1:10" x14ac:dyDescent="0.25">
      <c r="A97" s="128"/>
      <c r="B97" s="150"/>
      <c r="C97" s="150"/>
      <c r="D97" s="130"/>
      <c r="E97" s="130"/>
      <c r="F97" s="131"/>
      <c r="G97" s="131"/>
      <c r="H97" s="111"/>
      <c r="I97" s="150"/>
      <c r="J97" s="151"/>
    </row>
    <row r="98" ht="34.5" customHeight="1" spans="1:10" x14ac:dyDescent="0.25">
      <c r="A98" s="128"/>
      <c r="B98" s="150"/>
      <c r="C98" s="150"/>
      <c r="D98" s="130"/>
      <c r="E98" s="130"/>
      <c r="F98" s="131"/>
      <c r="G98" s="131"/>
      <c r="H98" s="111"/>
      <c r="I98" s="150"/>
      <c r="J98" s="151"/>
    </row>
    <row r="99" ht="34.5" customHeight="1" spans="1:10" x14ac:dyDescent="0.25">
      <c r="A99" s="128"/>
      <c r="B99" s="150"/>
      <c r="C99" s="150"/>
      <c r="D99" s="130"/>
      <c r="E99" s="130"/>
      <c r="F99" s="131"/>
      <c r="G99" s="131"/>
      <c r="H99" s="111"/>
      <c r="I99" s="150"/>
      <c r="J99" s="151"/>
    </row>
  </sheetData>
  <autoFilter ref="A2:J78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106"/>
  <sheetViews>
    <sheetView workbookViewId="0" zoomScale="100" zoomScaleNormal="100"/>
  </sheetViews>
  <sheetFormatPr defaultRowHeight="16.5" outlineLevelRow="0" outlineLevelCol="0" x14ac:dyDescent="0" customHeight="1"/>
  <cols>
    <col min="1" max="1" width="5.625" style="218" customWidth="1"/>
    <col min="2" max="2" width="7" style="218" customWidth="1"/>
    <col min="3" max="3" width="67.5" style="218" customWidth="1"/>
    <col min="4" max="5" width="10.375" style="218" customWidth="1"/>
    <col min="6" max="6" width="8.25" style="218" customWidth="1"/>
    <col min="7" max="7" width="8.875" style="218" customWidth="1"/>
    <col min="8" max="8" width="8.25" style="218" customWidth="1"/>
    <col min="9" max="9" width="16.125" style="218" customWidth="1"/>
    <col min="10" max="16384" width="9" style="218" customWidth="1"/>
  </cols>
  <sheetData>
    <row r="1" ht="13.5" customHeight="1" spans="1:9" x14ac:dyDescent="0.25">
      <c r="A1" s="219" t="s">
        <v>284</v>
      </c>
      <c r="B1" s="219" t="s">
        <v>285</v>
      </c>
      <c r="C1" s="219" t="s">
        <v>192</v>
      </c>
      <c r="D1" s="219" t="s">
        <v>286</v>
      </c>
      <c r="E1" s="219" t="s">
        <v>287</v>
      </c>
      <c r="F1" s="219" t="s">
        <v>288</v>
      </c>
      <c r="G1" s="219" t="s">
        <v>289</v>
      </c>
      <c r="H1" s="219" t="s">
        <v>290</v>
      </c>
      <c r="I1" s="219" t="s">
        <v>291</v>
      </c>
    </row>
    <row r="2" ht="17.25" customHeight="1" spans="1:9" x14ac:dyDescent="0.25">
      <c r="A2" s="220">
        <v>1</v>
      </c>
      <c r="B2" s="221" t="s">
        <v>292</v>
      </c>
      <c r="C2" s="222" t="s">
        <v>293</v>
      </c>
      <c r="D2" s="221" t="s">
        <v>294</v>
      </c>
      <c r="E2" s="221" t="s">
        <v>27</v>
      </c>
      <c r="F2" s="223">
        <v>0</v>
      </c>
      <c r="G2" s="221" t="s">
        <v>71</v>
      </c>
      <c r="H2" s="221" t="s">
        <v>71</v>
      </c>
      <c r="I2" s="222"/>
    </row>
    <row r="3" ht="17.25" customHeight="1" spans="1:9" x14ac:dyDescent="0.25">
      <c r="A3" s="220">
        <v>2</v>
      </c>
      <c r="B3" s="221" t="s">
        <v>295</v>
      </c>
      <c r="C3" s="222" t="s">
        <v>296</v>
      </c>
      <c r="D3" s="221" t="s">
        <v>294</v>
      </c>
      <c r="E3" s="221" t="s">
        <v>27</v>
      </c>
      <c r="F3" s="223">
        <v>0</v>
      </c>
      <c r="G3" s="221" t="s">
        <v>71</v>
      </c>
      <c r="H3" s="221" t="s">
        <v>71</v>
      </c>
      <c r="I3" s="222"/>
    </row>
    <row r="4" ht="17.25" customHeight="1" spans="1:9" x14ac:dyDescent="0.25">
      <c r="A4" s="220">
        <v>3</v>
      </c>
      <c r="B4" s="221" t="s">
        <v>297</v>
      </c>
      <c r="C4" s="222" t="s">
        <v>298</v>
      </c>
      <c r="D4" s="221" t="s">
        <v>294</v>
      </c>
      <c r="E4" s="221" t="s">
        <v>27</v>
      </c>
      <c r="F4" s="223">
        <v>0</v>
      </c>
      <c r="G4" s="221" t="s">
        <v>71</v>
      </c>
      <c r="H4" s="221" t="s">
        <v>71</v>
      </c>
      <c r="I4" s="222"/>
    </row>
    <row r="5" ht="17.25" customHeight="1" spans="1:9" x14ac:dyDescent="0.25">
      <c r="A5" s="220">
        <v>4</v>
      </c>
      <c r="B5" s="221" t="s">
        <v>299</v>
      </c>
      <c r="C5" s="222" t="s">
        <v>300</v>
      </c>
      <c r="D5" s="221" t="s">
        <v>294</v>
      </c>
      <c r="E5" s="221" t="s">
        <v>27</v>
      </c>
      <c r="F5" s="223">
        <v>0</v>
      </c>
      <c r="G5" s="221" t="s">
        <v>71</v>
      </c>
      <c r="H5" s="221" t="s">
        <v>71</v>
      </c>
      <c r="I5" s="222"/>
    </row>
    <row r="6" ht="17.25" customHeight="1" spans="1:9" x14ac:dyDescent="0.25">
      <c r="A6" s="220">
        <v>5</v>
      </c>
      <c r="B6" s="221" t="s">
        <v>301</v>
      </c>
      <c r="C6" s="222" t="s">
        <v>302</v>
      </c>
      <c r="D6" s="221" t="s">
        <v>294</v>
      </c>
      <c r="E6" s="221" t="s">
        <v>27</v>
      </c>
      <c r="F6" s="223">
        <v>0</v>
      </c>
      <c r="G6" s="221" t="s">
        <v>71</v>
      </c>
      <c r="H6" s="221" t="s">
        <v>71</v>
      </c>
      <c r="I6" s="222"/>
    </row>
    <row r="7" ht="17.25" customHeight="1" spans="1:9" x14ac:dyDescent="0.25">
      <c r="A7" s="220">
        <v>6</v>
      </c>
      <c r="B7" s="221" t="s">
        <v>303</v>
      </c>
      <c r="C7" s="222" t="s">
        <v>304</v>
      </c>
      <c r="D7" s="221" t="s">
        <v>294</v>
      </c>
      <c r="E7" s="221" t="s">
        <v>27</v>
      </c>
      <c r="F7" s="223">
        <v>0</v>
      </c>
      <c r="G7" s="221" t="s">
        <v>71</v>
      </c>
      <c r="H7" s="221" t="s">
        <v>71</v>
      </c>
      <c r="I7" s="222"/>
    </row>
    <row r="8" ht="17.25" customHeight="1" spans="1:9" x14ac:dyDescent="0.25">
      <c r="A8" s="220">
        <v>7</v>
      </c>
      <c r="B8" s="221" t="s">
        <v>305</v>
      </c>
      <c r="C8" s="222" t="s">
        <v>306</v>
      </c>
      <c r="D8" s="221" t="s">
        <v>294</v>
      </c>
      <c r="E8" s="221" t="s">
        <v>27</v>
      </c>
      <c r="F8" s="223">
        <v>0</v>
      </c>
      <c r="G8" s="221" t="s">
        <v>71</v>
      </c>
      <c r="H8" s="221" t="s">
        <v>71</v>
      </c>
      <c r="I8" s="222"/>
    </row>
    <row r="9" ht="17.25" customHeight="1" spans="1:9" x14ac:dyDescent="0.25">
      <c r="A9" s="220">
        <v>8</v>
      </c>
      <c r="B9" s="221" t="s">
        <v>307</v>
      </c>
      <c r="C9" s="222" t="s">
        <v>308</v>
      </c>
      <c r="D9" s="221" t="s">
        <v>294</v>
      </c>
      <c r="E9" s="221" t="s">
        <v>27</v>
      </c>
      <c r="F9" s="223">
        <v>0</v>
      </c>
      <c r="G9" s="221" t="s">
        <v>71</v>
      </c>
      <c r="H9" s="221" t="s">
        <v>71</v>
      </c>
      <c r="I9" s="222"/>
    </row>
    <row r="10" ht="17.25" customHeight="1" spans="1:9" x14ac:dyDescent="0.25">
      <c r="A10" s="220">
        <v>9</v>
      </c>
      <c r="B10" s="221" t="s">
        <v>309</v>
      </c>
      <c r="C10" s="222" t="s">
        <v>310</v>
      </c>
      <c r="D10" s="221" t="s">
        <v>294</v>
      </c>
      <c r="E10" s="221" t="s">
        <v>27</v>
      </c>
      <c r="F10" s="223">
        <v>0</v>
      </c>
      <c r="G10" s="221" t="s">
        <v>71</v>
      </c>
      <c r="H10" s="221" t="s">
        <v>71</v>
      </c>
      <c r="I10" s="222"/>
    </row>
    <row r="11" ht="17.25" customHeight="1" spans="1:9" x14ac:dyDescent="0.25">
      <c r="A11" s="220">
        <v>10</v>
      </c>
      <c r="B11" s="221" t="s">
        <v>311</v>
      </c>
      <c r="C11" s="222" t="s">
        <v>312</v>
      </c>
      <c r="D11" s="221" t="s">
        <v>294</v>
      </c>
      <c r="E11" s="221" t="s">
        <v>27</v>
      </c>
      <c r="F11" s="223">
        <v>0</v>
      </c>
      <c r="G11" s="221" t="s">
        <v>71</v>
      </c>
      <c r="H11" s="221" t="s">
        <v>71</v>
      </c>
      <c r="I11" s="222"/>
    </row>
    <row r="12" ht="17.25" customHeight="1" spans="1:9" x14ac:dyDescent="0.25">
      <c r="A12" s="220">
        <v>11</v>
      </c>
      <c r="B12" s="221" t="s">
        <v>313</v>
      </c>
      <c r="C12" s="222" t="s">
        <v>314</v>
      </c>
      <c r="D12" s="221" t="s">
        <v>294</v>
      </c>
      <c r="E12" s="221" t="s">
        <v>27</v>
      </c>
      <c r="F12" s="223">
        <v>0</v>
      </c>
      <c r="G12" s="221" t="s">
        <v>71</v>
      </c>
      <c r="H12" s="221" t="s">
        <v>71</v>
      </c>
      <c r="I12" s="222"/>
    </row>
    <row r="13" ht="17.25" customHeight="1" spans="1:9" x14ac:dyDescent="0.25">
      <c r="A13" s="220">
        <v>12</v>
      </c>
      <c r="B13" s="221" t="s">
        <v>315</v>
      </c>
      <c r="C13" s="222" t="s">
        <v>316</v>
      </c>
      <c r="D13" s="221" t="s">
        <v>294</v>
      </c>
      <c r="E13" s="221" t="s">
        <v>27</v>
      </c>
      <c r="F13" s="223">
        <v>0</v>
      </c>
      <c r="G13" s="221" t="s">
        <v>71</v>
      </c>
      <c r="H13" s="221" t="s">
        <v>71</v>
      </c>
      <c r="I13" s="222"/>
    </row>
    <row r="14" ht="17.25" customHeight="1" spans="1:9" x14ac:dyDescent="0.25">
      <c r="A14" s="220">
        <v>13</v>
      </c>
      <c r="B14" s="221" t="s">
        <v>317</v>
      </c>
      <c r="C14" s="222" t="s">
        <v>318</v>
      </c>
      <c r="D14" s="221" t="s">
        <v>294</v>
      </c>
      <c r="E14" s="221" t="s">
        <v>27</v>
      </c>
      <c r="F14" s="223">
        <v>0</v>
      </c>
      <c r="G14" s="221" t="s">
        <v>71</v>
      </c>
      <c r="H14" s="221" t="s">
        <v>71</v>
      </c>
      <c r="I14" s="222"/>
    </row>
    <row r="15" ht="17.25" customHeight="1" spans="1:9" x14ac:dyDescent="0.25">
      <c r="A15" s="220">
        <v>14</v>
      </c>
      <c r="B15" s="221" t="s">
        <v>319</v>
      </c>
      <c r="C15" s="222" t="s">
        <v>320</v>
      </c>
      <c r="D15" s="221" t="s">
        <v>294</v>
      </c>
      <c r="E15" s="221" t="s">
        <v>27</v>
      </c>
      <c r="F15" s="223">
        <v>0</v>
      </c>
      <c r="G15" s="221" t="s">
        <v>71</v>
      </c>
      <c r="H15" s="221" t="s">
        <v>71</v>
      </c>
      <c r="I15" s="222"/>
    </row>
    <row r="16" ht="17.25" customHeight="1" spans="1:9" x14ac:dyDescent="0.25">
      <c r="A16" s="220">
        <v>15</v>
      </c>
      <c r="B16" s="221" t="s">
        <v>321</v>
      </c>
      <c r="C16" s="222" t="s">
        <v>322</v>
      </c>
      <c r="D16" s="221" t="s">
        <v>294</v>
      </c>
      <c r="E16" s="221" t="s">
        <v>27</v>
      </c>
      <c r="F16" s="223">
        <v>0</v>
      </c>
      <c r="G16" s="221" t="s">
        <v>71</v>
      </c>
      <c r="H16" s="221" t="s">
        <v>71</v>
      </c>
      <c r="I16" s="222"/>
    </row>
    <row r="17" ht="17.25" customHeight="1" spans="1:9" x14ac:dyDescent="0.25">
      <c r="A17" s="220">
        <v>16</v>
      </c>
      <c r="B17" s="221" t="s">
        <v>323</v>
      </c>
      <c r="C17" s="222" t="s">
        <v>324</v>
      </c>
      <c r="D17" s="221" t="s">
        <v>294</v>
      </c>
      <c r="E17" s="221" t="s">
        <v>27</v>
      </c>
      <c r="F17" s="223">
        <v>0</v>
      </c>
      <c r="G17" s="221" t="s">
        <v>71</v>
      </c>
      <c r="H17" s="221" t="s">
        <v>71</v>
      </c>
      <c r="I17" s="222"/>
    </row>
    <row r="18" ht="17.25" customHeight="1" spans="1:9" x14ac:dyDescent="0.25">
      <c r="A18" s="220">
        <v>17</v>
      </c>
      <c r="B18" s="221" t="s">
        <v>325</v>
      </c>
      <c r="C18" s="222" t="s">
        <v>326</v>
      </c>
      <c r="D18" s="221" t="s">
        <v>294</v>
      </c>
      <c r="E18" s="221" t="s">
        <v>27</v>
      </c>
      <c r="F18" s="223">
        <v>0</v>
      </c>
      <c r="G18" s="221" t="s">
        <v>71</v>
      </c>
      <c r="H18" s="221" t="s">
        <v>71</v>
      </c>
      <c r="I18" s="222"/>
    </row>
    <row r="19" ht="17.25" customHeight="1" spans="1:9" x14ac:dyDescent="0.25">
      <c r="A19" s="220">
        <v>18</v>
      </c>
      <c r="B19" s="221" t="s">
        <v>327</v>
      </c>
      <c r="C19" s="222" t="s">
        <v>328</v>
      </c>
      <c r="D19" s="221" t="s">
        <v>294</v>
      </c>
      <c r="E19" s="221" t="s">
        <v>27</v>
      </c>
      <c r="F19" s="223">
        <v>0</v>
      </c>
      <c r="G19" s="221" t="s">
        <v>71</v>
      </c>
      <c r="H19" s="221" t="s">
        <v>71</v>
      </c>
      <c r="I19" s="222"/>
    </row>
    <row r="20" ht="17.25" customHeight="1" spans="1:9" x14ac:dyDescent="0.25">
      <c r="A20" s="220">
        <v>19</v>
      </c>
      <c r="B20" s="221" t="s">
        <v>329</v>
      </c>
      <c r="C20" s="222" t="s">
        <v>330</v>
      </c>
      <c r="D20" s="221" t="s">
        <v>331</v>
      </c>
      <c r="E20" s="221" t="s">
        <v>27</v>
      </c>
      <c r="F20" s="223">
        <v>0</v>
      </c>
      <c r="G20" s="221" t="s">
        <v>48</v>
      </c>
      <c r="H20" s="221" t="s">
        <v>48</v>
      </c>
      <c r="I20" s="224"/>
    </row>
    <row r="21" ht="17.25" customHeight="1" spans="1:9" x14ac:dyDescent="0.25">
      <c r="A21" s="220">
        <v>20</v>
      </c>
      <c r="B21" s="221" t="s">
        <v>332</v>
      </c>
      <c r="C21" s="222" t="s">
        <v>333</v>
      </c>
      <c r="D21" s="221" t="s">
        <v>331</v>
      </c>
      <c r="E21" s="221" t="s">
        <v>27</v>
      </c>
      <c r="F21" s="223">
        <v>0</v>
      </c>
      <c r="G21" s="221" t="s">
        <v>48</v>
      </c>
      <c r="H21" s="221" t="s">
        <v>48</v>
      </c>
      <c r="I21" s="224"/>
    </row>
    <row r="22" ht="17.25" customHeight="1" spans="1:9" x14ac:dyDescent="0.25">
      <c r="A22" s="220">
        <v>21</v>
      </c>
      <c r="B22" s="221" t="s">
        <v>334</v>
      </c>
      <c r="C22" s="222" t="s">
        <v>335</v>
      </c>
      <c r="D22" s="221" t="s">
        <v>331</v>
      </c>
      <c r="E22" s="221" t="s">
        <v>27</v>
      </c>
      <c r="F22" s="223">
        <v>0</v>
      </c>
      <c r="G22" s="221" t="s">
        <v>48</v>
      </c>
      <c r="H22" s="221" t="s">
        <v>48</v>
      </c>
      <c r="I22" s="222"/>
    </row>
    <row r="23" ht="17.25" customHeight="1" spans="1:9" x14ac:dyDescent="0.25">
      <c r="A23" s="220">
        <v>22</v>
      </c>
      <c r="B23" s="221" t="s">
        <v>336</v>
      </c>
      <c r="C23" s="222" t="s">
        <v>337</v>
      </c>
      <c r="D23" s="221" t="s">
        <v>331</v>
      </c>
      <c r="E23" s="221" t="s">
        <v>27</v>
      </c>
      <c r="F23" s="223">
        <v>0</v>
      </c>
      <c r="G23" s="221" t="s">
        <v>48</v>
      </c>
      <c r="H23" s="221" t="s">
        <v>48</v>
      </c>
      <c r="I23" s="222" t="s">
        <v>338</v>
      </c>
    </row>
    <row r="24" ht="17.25" customHeight="1" spans="1:9" x14ac:dyDescent="0.25">
      <c r="A24" s="220">
        <v>23</v>
      </c>
      <c r="B24" s="221" t="s">
        <v>339</v>
      </c>
      <c r="C24" s="222" t="s">
        <v>340</v>
      </c>
      <c r="D24" s="221" t="s">
        <v>331</v>
      </c>
      <c r="E24" s="221" t="s">
        <v>27</v>
      </c>
      <c r="F24" s="223">
        <v>0</v>
      </c>
      <c r="G24" s="221" t="s">
        <v>48</v>
      </c>
      <c r="H24" s="221" t="s">
        <v>48</v>
      </c>
      <c r="I24" s="222" t="s">
        <v>341</v>
      </c>
    </row>
    <row r="25" ht="17.25" customHeight="1" spans="1:9" x14ac:dyDescent="0.25">
      <c r="A25" s="220">
        <v>24</v>
      </c>
      <c r="B25" s="221" t="s">
        <v>342</v>
      </c>
      <c r="C25" s="222" t="s">
        <v>343</v>
      </c>
      <c r="D25" s="221" t="s">
        <v>331</v>
      </c>
      <c r="E25" s="221" t="s">
        <v>27</v>
      </c>
      <c r="F25" s="223">
        <v>0</v>
      </c>
      <c r="G25" s="221" t="s">
        <v>48</v>
      </c>
      <c r="H25" s="221" t="s">
        <v>48</v>
      </c>
      <c r="I25" s="222"/>
    </row>
    <row r="26" ht="17.25" customHeight="1" spans="1:9" x14ac:dyDescent="0.25">
      <c r="A26" s="220">
        <v>25</v>
      </c>
      <c r="B26" s="221" t="s">
        <v>344</v>
      </c>
      <c r="C26" s="222" t="s">
        <v>345</v>
      </c>
      <c r="D26" s="221" t="s">
        <v>331</v>
      </c>
      <c r="E26" s="221" t="s">
        <v>27</v>
      </c>
      <c r="F26" s="223">
        <v>0</v>
      </c>
      <c r="G26" s="221" t="s">
        <v>48</v>
      </c>
      <c r="H26" s="221" t="s">
        <v>48</v>
      </c>
      <c r="I26" s="222" t="s">
        <v>346</v>
      </c>
    </row>
    <row r="27" ht="17.25" customHeight="1" spans="1:9" x14ac:dyDescent="0.25">
      <c r="A27" s="220">
        <v>26</v>
      </c>
      <c r="B27" s="221" t="s">
        <v>347</v>
      </c>
      <c r="C27" s="222" t="s">
        <v>348</v>
      </c>
      <c r="D27" s="221" t="s">
        <v>331</v>
      </c>
      <c r="E27" s="221" t="s">
        <v>27</v>
      </c>
      <c r="F27" s="223">
        <v>0</v>
      </c>
      <c r="G27" s="221" t="s">
        <v>48</v>
      </c>
      <c r="H27" s="221" t="s">
        <v>48</v>
      </c>
      <c r="I27" s="224"/>
    </row>
    <row r="28" ht="17.25" customHeight="1" spans="1:9" x14ac:dyDescent="0.25">
      <c r="A28" s="220">
        <v>27</v>
      </c>
      <c r="B28" s="221" t="s">
        <v>349</v>
      </c>
      <c r="C28" s="222" t="s">
        <v>350</v>
      </c>
      <c r="D28" s="221" t="s">
        <v>331</v>
      </c>
      <c r="E28" s="221" t="s">
        <v>27</v>
      </c>
      <c r="F28" s="223">
        <v>0</v>
      </c>
      <c r="G28" s="221" t="s">
        <v>48</v>
      </c>
      <c r="H28" s="221" t="s">
        <v>48</v>
      </c>
      <c r="I28" s="224"/>
    </row>
    <row r="29" ht="17.25" customHeight="1" spans="1:9" x14ac:dyDescent="0.25">
      <c r="A29" s="220">
        <v>28</v>
      </c>
      <c r="B29" s="221" t="s">
        <v>351</v>
      </c>
      <c r="C29" s="222" t="s">
        <v>352</v>
      </c>
      <c r="D29" s="221" t="s">
        <v>331</v>
      </c>
      <c r="E29" s="221" t="s">
        <v>27</v>
      </c>
      <c r="F29" s="223">
        <v>0</v>
      </c>
      <c r="G29" s="221" t="s">
        <v>48</v>
      </c>
      <c r="H29" s="221" t="s">
        <v>48</v>
      </c>
      <c r="I29" s="224"/>
    </row>
    <row r="30" ht="17.25" customHeight="1" spans="1:9" x14ac:dyDescent="0.25">
      <c r="A30" s="220">
        <v>29</v>
      </c>
      <c r="B30" s="221" t="s">
        <v>353</v>
      </c>
      <c r="C30" s="222" t="s">
        <v>354</v>
      </c>
      <c r="D30" s="221" t="s">
        <v>331</v>
      </c>
      <c r="E30" s="221" t="s">
        <v>27</v>
      </c>
      <c r="F30" s="223">
        <v>0</v>
      </c>
      <c r="G30" s="221" t="s">
        <v>48</v>
      </c>
      <c r="H30" s="221" t="s">
        <v>48</v>
      </c>
      <c r="I30" s="224"/>
    </row>
    <row r="31" ht="17.25" customHeight="1" spans="1:9" x14ac:dyDescent="0.25">
      <c r="A31" s="220">
        <v>30</v>
      </c>
      <c r="B31" s="221" t="s">
        <v>355</v>
      </c>
      <c r="C31" s="222" t="s">
        <v>356</v>
      </c>
      <c r="D31" s="221" t="s">
        <v>331</v>
      </c>
      <c r="E31" s="221" t="s">
        <v>27</v>
      </c>
      <c r="F31" s="223">
        <v>0</v>
      </c>
      <c r="G31" s="221" t="s">
        <v>48</v>
      </c>
      <c r="H31" s="221" t="s">
        <v>48</v>
      </c>
      <c r="I31" s="222" t="s">
        <v>357</v>
      </c>
    </row>
    <row r="32" ht="17.25" customHeight="1" spans="1:9" x14ac:dyDescent="0.25">
      <c r="A32" s="220">
        <v>31</v>
      </c>
      <c r="B32" s="221" t="s">
        <v>358</v>
      </c>
      <c r="C32" s="222" t="s">
        <v>359</v>
      </c>
      <c r="D32" s="221" t="s">
        <v>360</v>
      </c>
      <c r="E32" s="221" t="s">
        <v>27</v>
      </c>
      <c r="F32" s="223">
        <v>0</v>
      </c>
      <c r="G32" s="221" t="s">
        <v>48</v>
      </c>
      <c r="H32" s="221" t="s">
        <v>48</v>
      </c>
      <c r="I32" s="224"/>
    </row>
    <row r="33" ht="17.25" customHeight="1" spans="1:9" x14ac:dyDescent="0.25">
      <c r="A33" s="220">
        <v>32</v>
      </c>
      <c r="B33" s="221" t="s">
        <v>361</v>
      </c>
      <c r="C33" s="222" t="s">
        <v>362</v>
      </c>
      <c r="D33" s="221" t="s">
        <v>360</v>
      </c>
      <c r="E33" s="221" t="s">
        <v>27</v>
      </c>
      <c r="F33" s="223">
        <v>0</v>
      </c>
      <c r="G33" s="221" t="s">
        <v>48</v>
      </c>
      <c r="H33" s="221" t="s">
        <v>48</v>
      </c>
      <c r="I33" s="222" t="s">
        <v>363</v>
      </c>
    </row>
    <row r="34" ht="17.25" customHeight="1" spans="1:9" x14ac:dyDescent="0.25">
      <c r="A34" s="220">
        <v>33</v>
      </c>
      <c r="B34" s="221" t="s">
        <v>364</v>
      </c>
      <c r="C34" s="222" t="s">
        <v>365</v>
      </c>
      <c r="D34" s="221" t="s">
        <v>360</v>
      </c>
      <c r="E34" s="221" t="s">
        <v>27</v>
      </c>
      <c r="F34" s="223">
        <v>0</v>
      </c>
      <c r="G34" s="221" t="s">
        <v>48</v>
      </c>
      <c r="H34" s="221" t="s">
        <v>48</v>
      </c>
      <c r="I34" s="224"/>
    </row>
    <row r="35" ht="17.25" customHeight="1" spans="1:9" x14ac:dyDescent="0.25">
      <c r="A35" s="220">
        <v>34</v>
      </c>
      <c r="B35" s="221" t="s">
        <v>366</v>
      </c>
      <c r="C35" s="222" t="s">
        <v>367</v>
      </c>
      <c r="D35" s="221" t="s">
        <v>360</v>
      </c>
      <c r="E35" s="221" t="s">
        <v>27</v>
      </c>
      <c r="F35" s="223">
        <v>0</v>
      </c>
      <c r="G35" s="221" t="s">
        <v>48</v>
      </c>
      <c r="H35" s="221" t="s">
        <v>48</v>
      </c>
      <c r="I35" s="224"/>
    </row>
    <row r="36" ht="17.25" customHeight="1" spans="1:9" x14ac:dyDescent="0.25">
      <c r="A36" s="220">
        <v>35</v>
      </c>
      <c r="B36" s="221" t="s">
        <v>368</v>
      </c>
      <c r="C36" s="222" t="s">
        <v>369</v>
      </c>
      <c r="D36" s="221" t="s">
        <v>360</v>
      </c>
      <c r="E36" s="221" t="s">
        <v>27</v>
      </c>
      <c r="F36" s="223">
        <v>0</v>
      </c>
      <c r="G36" s="221" t="s">
        <v>48</v>
      </c>
      <c r="H36" s="221" t="s">
        <v>48</v>
      </c>
      <c r="I36" s="222" t="s">
        <v>370</v>
      </c>
    </row>
    <row r="37" ht="17.25" customHeight="1" spans="1:9" x14ac:dyDescent="0.25">
      <c r="A37" s="220">
        <v>36</v>
      </c>
      <c r="B37" s="221" t="s">
        <v>371</v>
      </c>
      <c r="C37" s="222" t="s">
        <v>372</v>
      </c>
      <c r="D37" s="221" t="s">
        <v>360</v>
      </c>
      <c r="E37" s="221" t="s">
        <v>27</v>
      </c>
      <c r="F37" s="223">
        <v>0</v>
      </c>
      <c r="G37" s="221" t="s">
        <v>48</v>
      </c>
      <c r="H37" s="221" t="s">
        <v>48</v>
      </c>
      <c r="I37" s="222" t="s">
        <v>373</v>
      </c>
    </row>
    <row r="38" ht="17.25" customHeight="1" spans="1:9" x14ac:dyDescent="0.25">
      <c r="A38" s="220">
        <v>37</v>
      </c>
      <c r="B38" s="221" t="s">
        <v>374</v>
      </c>
      <c r="C38" s="222" t="s">
        <v>375</v>
      </c>
      <c r="D38" s="221" t="s">
        <v>360</v>
      </c>
      <c r="E38" s="221" t="s">
        <v>27</v>
      </c>
      <c r="F38" s="223">
        <v>0</v>
      </c>
      <c r="G38" s="221" t="s">
        <v>48</v>
      </c>
      <c r="H38" s="221" t="s">
        <v>48</v>
      </c>
      <c r="I38" s="224"/>
    </row>
    <row r="39" ht="17.25" customHeight="1" spans="1:9" x14ac:dyDescent="0.25">
      <c r="A39" s="220">
        <v>38</v>
      </c>
      <c r="B39" s="221" t="s">
        <v>376</v>
      </c>
      <c r="C39" s="222" t="s">
        <v>377</v>
      </c>
      <c r="D39" s="221" t="s">
        <v>360</v>
      </c>
      <c r="E39" s="221" t="s">
        <v>27</v>
      </c>
      <c r="F39" s="223">
        <v>0</v>
      </c>
      <c r="G39" s="221" t="s">
        <v>48</v>
      </c>
      <c r="H39" s="221" t="s">
        <v>48</v>
      </c>
      <c r="I39" s="222" t="s">
        <v>378</v>
      </c>
    </row>
    <row r="40" ht="17.25" customHeight="1" spans="1:9" x14ac:dyDescent="0.25">
      <c r="A40" s="220">
        <v>39</v>
      </c>
      <c r="B40" s="221" t="s">
        <v>379</v>
      </c>
      <c r="C40" s="222" t="s">
        <v>380</v>
      </c>
      <c r="D40" s="221" t="s">
        <v>360</v>
      </c>
      <c r="E40" s="221" t="s">
        <v>27</v>
      </c>
      <c r="F40" s="223">
        <v>0</v>
      </c>
      <c r="G40" s="221" t="s">
        <v>48</v>
      </c>
      <c r="H40" s="221" t="s">
        <v>48</v>
      </c>
      <c r="I40" s="222" t="s">
        <v>381</v>
      </c>
    </row>
    <row r="41" ht="17.25" customHeight="1" spans="1:9" x14ac:dyDescent="0.25">
      <c r="A41" s="220">
        <v>40</v>
      </c>
      <c r="B41" s="221" t="s">
        <v>382</v>
      </c>
      <c r="C41" s="222" t="s">
        <v>383</v>
      </c>
      <c r="D41" s="221" t="s">
        <v>360</v>
      </c>
      <c r="E41" s="221" t="s">
        <v>27</v>
      </c>
      <c r="F41" s="223">
        <v>0</v>
      </c>
      <c r="G41" s="221" t="s">
        <v>48</v>
      </c>
      <c r="H41" s="221" t="s">
        <v>48</v>
      </c>
      <c r="I41" s="224"/>
    </row>
    <row r="42" ht="17.25" customHeight="1" spans="1:9" x14ac:dyDescent="0.25">
      <c r="A42" s="220">
        <v>41</v>
      </c>
      <c r="B42" s="221" t="s">
        <v>384</v>
      </c>
      <c r="C42" s="222" t="s">
        <v>385</v>
      </c>
      <c r="D42" s="221" t="s">
        <v>360</v>
      </c>
      <c r="E42" s="221" t="s">
        <v>27</v>
      </c>
      <c r="F42" s="223">
        <v>0</v>
      </c>
      <c r="G42" s="221" t="s">
        <v>48</v>
      </c>
      <c r="H42" s="221" t="s">
        <v>48</v>
      </c>
      <c r="I42" s="224"/>
    </row>
    <row r="43" ht="17.25" customHeight="1" spans="1:9" x14ac:dyDescent="0.25">
      <c r="A43" s="220">
        <v>42</v>
      </c>
      <c r="B43" s="221" t="s">
        <v>386</v>
      </c>
      <c r="C43" s="222" t="s">
        <v>387</v>
      </c>
      <c r="D43" s="221" t="s">
        <v>360</v>
      </c>
      <c r="E43" s="221" t="s">
        <v>27</v>
      </c>
      <c r="F43" s="223">
        <v>0</v>
      </c>
      <c r="G43" s="221" t="s">
        <v>48</v>
      </c>
      <c r="H43" s="221" t="s">
        <v>48</v>
      </c>
      <c r="I43" s="222" t="s">
        <v>388</v>
      </c>
    </row>
    <row r="44" ht="17.25" customHeight="1" spans="1:9" x14ac:dyDescent="0.25">
      <c r="A44" s="220">
        <v>44</v>
      </c>
      <c r="B44" s="221" t="s">
        <v>389</v>
      </c>
      <c r="C44" s="222" t="s">
        <v>390</v>
      </c>
      <c r="D44" s="221" t="s">
        <v>360</v>
      </c>
      <c r="E44" s="221" t="s">
        <v>27</v>
      </c>
      <c r="F44" s="223">
        <v>0</v>
      </c>
      <c r="G44" s="221" t="s">
        <v>48</v>
      </c>
      <c r="H44" s="221" t="s">
        <v>48</v>
      </c>
      <c r="I44" s="224"/>
    </row>
    <row r="45" ht="17.25" customHeight="1" spans="1:9" x14ac:dyDescent="0.25">
      <c r="A45" s="220">
        <v>46</v>
      </c>
      <c r="B45" s="221" t="s">
        <v>391</v>
      </c>
      <c r="C45" s="222" t="s">
        <v>392</v>
      </c>
      <c r="D45" s="221" t="s">
        <v>360</v>
      </c>
      <c r="E45" s="221" t="s">
        <v>27</v>
      </c>
      <c r="F45" s="223">
        <v>0</v>
      </c>
      <c r="G45" s="221" t="s">
        <v>48</v>
      </c>
      <c r="H45" s="221" t="s">
        <v>48</v>
      </c>
      <c r="I45" s="224"/>
    </row>
    <row r="46" ht="17.25" customHeight="1" spans="1:9" x14ac:dyDescent="0.25">
      <c r="A46" s="220">
        <v>47</v>
      </c>
      <c r="B46" s="221" t="s">
        <v>393</v>
      </c>
      <c r="C46" s="222" t="s">
        <v>394</v>
      </c>
      <c r="D46" s="221" t="s">
        <v>92</v>
      </c>
      <c r="E46" s="221" t="s">
        <v>395</v>
      </c>
      <c r="F46" s="223">
        <v>0</v>
      </c>
      <c r="G46" s="221" t="s">
        <v>71</v>
      </c>
      <c r="H46" s="221" t="s">
        <v>48</v>
      </c>
      <c r="I46" s="222"/>
    </row>
    <row r="47" ht="17.25" customHeight="1" spans="1:9" x14ac:dyDescent="0.25">
      <c r="A47" s="220">
        <v>48</v>
      </c>
      <c r="B47" s="221" t="s">
        <v>396</v>
      </c>
      <c r="C47" s="222" t="s">
        <v>397</v>
      </c>
      <c r="D47" s="221" t="s">
        <v>92</v>
      </c>
      <c r="E47" s="221" t="s">
        <v>395</v>
      </c>
      <c r="F47" s="223">
        <v>0</v>
      </c>
      <c r="G47" s="221" t="s">
        <v>71</v>
      </c>
      <c r="H47" s="221" t="s">
        <v>48</v>
      </c>
      <c r="I47" s="222"/>
    </row>
    <row r="48" ht="17.25" customHeight="1" spans="1:9" x14ac:dyDescent="0.25">
      <c r="A48" s="220">
        <v>49</v>
      </c>
      <c r="B48" s="221" t="s">
        <v>398</v>
      </c>
      <c r="C48" s="222" t="s">
        <v>399</v>
      </c>
      <c r="D48" s="221" t="s">
        <v>92</v>
      </c>
      <c r="E48" s="221" t="s">
        <v>395</v>
      </c>
      <c r="F48" s="223">
        <v>0</v>
      </c>
      <c r="G48" s="221" t="s">
        <v>71</v>
      </c>
      <c r="H48" s="221" t="s">
        <v>48</v>
      </c>
      <c r="I48" s="222"/>
    </row>
    <row r="49" ht="17.25" customHeight="1" spans="1:9" x14ac:dyDescent="0.25">
      <c r="A49" s="220">
        <v>50</v>
      </c>
      <c r="B49" s="221" t="s">
        <v>400</v>
      </c>
      <c r="C49" s="222" t="s">
        <v>401</v>
      </c>
      <c r="D49" s="221" t="s">
        <v>92</v>
      </c>
      <c r="E49" s="221" t="s">
        <v>395</v>
      </c>
      <c r="F49" s="223">
        <v>0</v>
      </c>
      <c r="G49" s="221" t="s">
        <v>71</v>
      </c>
      <c r="H49" s="221" t="s">
        <v>48</v>
      </c>
      <c r="I49" s="222"/>
    </row>
    <row r="50" ht="17.25" customHeight="1" spans="1:9" x14ac:dyDescent="0.25">
      <c r="A50" s="220">
        <v>53</v>
      </c>
      <c r="B50" s="221" t="s">
        <v>402</v>
      </c>
      <c r="C50" s="222" t="s">
        <v>403</v>
      </c>
      <c r="D50" s="221" t="s">
        <v>92</v>
      </c>
      <c r="E50" s="221" t="s">
        <v>395</v>
      </c>
      <c r="F50" s="223">
        <v>650</v>
      </c>
      <c r="G50" s="221" t="s">
        <v>71</v>
      </c>
      <c r="H50" s="221" t="s">
        <v>48</v>
      </c>
      <c r="I50" s="222"/>
    </row>
    <row r="51" ht="17.25" customHeight="1" spans="1:9" x14ac:dyDescent="0.25">
      <c r="A51" s="220">
        <v>54</v>
      </c>
      <c r="B51" s="221" t="s">
        <v>404</v>
      </c>
      <c r="C51" s="222" t="s">
        <v>405</v>
      </c>
      <c r="D51" s="221" t="s">
        <v>92</v>
      </c>
      <c r="E51" s="221" t="s">
        <v>395</v>
      </c>
      <c r="F51" s="223">
        <v>650</v>
      </c>
      <c r="G51" s="221" t="s">
        <v>71</v>
      </c>
      <c r="H51" s="221" t="s">
        <v>48</v>
      </c>
      <c r="I51" s="222"/>
    </row>
    <row r="52" ht="17.25" customHeight="1" spans="1:9" x14ac:dyDescent="0.25">
      <c r="A52" s="220">
        <v>55</v>
      </c>
      <c r="B52" s="221" t="s">
        <v>406</v>
      </c>
      <c r="C52" s="222" t="s">
        <v>407</v>
      </c>
      <c r="D52" s="221" t="s">
        <v>92</v>
      </c>
      <c r="E52" s="221" t="s">
        <v>395</v>
      </c>
      <c r="F52" s="223">
        <v>0</v>
      </c>
      <c r="G52" s="221" t="s">
        <v>71</v>
      </c>
      <c r="H52" s="221" t="s">
        <v>48</v>
      </c>
      <c r="I52" s="222"/>
    </row>
    <row r="53" ht="17.25" customHeight="1" spans="1:9" x14ac:dyDescent="0.25">
      <c r="A53" s="220">
        <v>56</v>
      </c>
      <c r="B53" s="221" t="s">
        <v>408</v>
      </c>
      <c r="C53" s="222" t="s">
        <v>409</v>
      </c>
      <c r="D53" s="221" t="s">
        <v>92</v>
      </c>
      <c r="E53" s="221" t="s">
        <v>395</v>
      </c>
      <c r="F53" s="223">
        <v>0</v>
      </c>
      <c r="G53" s="221" t="s">
        <v>71</v>
      </c>
      <c r="H53" s="221" t="s">
        <v>48</v>
      </c>
      <c r="I53" s="222"/>
    </row>
    <row r="54" ht="17.25" customHeight="1" spans="1:9" x14ac:dyDescent="0.25">
      <c r="A54" s="220">
        <v>57</v>
      </c>
      <c r="B54" s="221" t="s">
        <v>410</v>
      </c>
      <c r="C54" s="222" t="s">
        <v>411</v>
      </c>
      <c r="D54" s="221" t="s">
        <v>92</v>
      </c>
      <c r="E54" s="221" t="s">
        <v>395</v>
      </c>
      <c r="F54" s="223">
        <v>0</v>
      </c>
      <c r="G54" s="221" t="s">
        <v>71</v>
      </c>
      <c r="H54" s="221" t="s">
        <v>48</v>
      </c>
      <c r="I54" s="222"/>
    </row>
    <row r="55" ht="17.25" customHeight="1" spans="1:9" x14ac:dyDescent="0.25">
      <c r="A55" s="220">
        <v>58</v>
      </c>
      <c r="B55" s="221" t="s">
        <v>412</v>
      </c>
      <c r="C55" s="222" t="s">
        <v>413</v>
      </c>
      <c r="D55" s="221" t="s">
        <v>92</v>
      </c>
      <c r="E55" s="221" t="s">
        <v>395</v>
      </c>
      <c r="F55" s="223">
        <v>0</v>
      </c>
      <c r="G55" s="221" t="s">
        <v>71</v>
      </c>
      <c r="H55" s="221" t="s">
        <v>48</v>
      </c>
      <c r="I55" s="222"/>
    </row>
    <row r="56" ht="17.25" customHeight="1" spans="1:9" x14ac:dyDescent="0.25">
      <c r="A56" s="220">
        <v>59</v>
      </c>
      <c r="B56" s="221" t="s">
        <v>414</v>
      </c>
      <c r="C56" s="222" t="s">
        <v>415</v>
      </c>
      <c r="D56" s="221" t="s">
        <v>92</v>
      </c>
      <c r="E56" s="221" t="s">
        <v>395</v>
      </c>
      <c r="F56" s="223">
        <v>650</v>
      </c>
      <c r="G56" s="221" t="s">
        <v>71</v>
      </c>
      <c r="H56" s="221" t="s">
        <v>48</v>
      </c>
      <c r="I56" s="222"/>
    </row>
    <row r="57" ht="17.25" customHeight="1" spans="1:9" x14ac:dyDescent="0.25">
      <c r="A57" s="220">
        <v>60</v>
      </c>
      <c r="B57" s="221" t="s">
        <v>416</v>
      </c>
      <c r="C57" s="222" t="s">
        <v>417</v>
      </c>
      <c r="D57" s="221" t="s">
        <v>92</v>
      </c>
      <c r="E57" s="221" t="s">
        <v>395</v>
      </c>
      <c r="F57" s="223">
        <v>0</v>
      </c>
      <c r="G57" s="221" t="s">
        <v>71</v>
      </c>
      <c r="H57" s="221" t="s">
        <v>48</v>
      </c>
      <c r="I57" s="222"/>
    </row>
    <row r="58" ht="17.25" customHeight="1" spans="1:9" x14ac:dyDescent="0.25">
      <c r="A58" s="220">
        <v>61</v>
      </c>
      <c r="B58" s="221" t="s">
        <v>418</v>
      </c>
      <c r="C58" s="222" t="s">
        <v>419</v>
      </c>
      <c r="D58" s="221" t="s">
        <v>92</v>
      </c>
      <c r="E58" s="221" t="s">
        <v>395</v>
      </c>
      <c r="F58" s="223">
        <v>0</v>
      </c>
      <c r="G58" s="221" t="s">
        <v>71</v>
      </c>
      <c r="H58" s="221" t="s">
        <v>48</v>
      </c>
      <c r="I58" s="222"/>
    </row>
    <row r="59" ht="17.25" customHeight="1" spans="1:9" x14ac:dyDescent="0.25">
      <c r="A59" s="220">
        <v>62</v>
      </c>
      <c r="B59" s="221" t="s">
        <v>420</v>
      </c>
      <c r="C59" s="222" t="s">
        <v>421</v>
      </c>
      <c r="D59" s="221" t="s">
        <v>92</v>
      </c>
      <c r="E59" s="221" t="s">
        <v>395</v>
      </c>
      <c r="F59" s="223">
        <v>650</v>
      </c>
      <c r="G59" s="221" t="s">
        <v>71</v>
      </c>
      <c r="H59" s="221" t="s">
        <v>48</v>
      </c>
      <c r="I59" s="222"/>
    </row>
    <row r="60" ht="17.25" customHeight="1" spans="1:9" x14ac:dyDescent="0.25">
      <c r="A60" s="220">
        <v>63</v>
      </c>
      <c r="B60" s="221" t="s">
        <v>422</v>
      </c>
      <c r="C60" s="222" t="s">
        <v>423</v>
      </c>
      <c r="D60" s="221" t="s">
        <v>92</v>
      </c>
      <c r="E60" s="221" t="s">
        <v>395</v>
      </c>
      <c r="F60" s="223">
        <v>0</v>
      </c>
      <c r="G60" s="221" t="s">
        <v>71</v>
      </c>
      <c r="H60" s="221" t="s">
        <v>48</v>
      </c>
      <c r="I60" s="222"/>
    </row>
    <row r="61" ht="17.25" customHeight="1" spans="1:9" x14ac:dyDescent="0.25">
      <c r="A61" s="220">
        <v>64</v>
      </c>
      <c r="B61" s="221" t="s">
        <v>424</v>
      </c>
      <c r="C61" s="222" t="s">
        <v>425</v>
      </c>
      <c r="D61" s="221" t="s">
        <v>92</v>
      </c>
      <c r="E61" s="221" t="s">
        <v>395</v>
      </c>
      <c r="F61" s="223">
        <v>650</v>
      </c>
      <c r="G61" s="221" t="s">
        <v>71</v>
      </c>
      <c r="H61" s="221" t="s">
        <v>48</v>
      </c>
      <c r="I61" s="222"/>
    </row>
    <row r="62" ht="17.25" customHeight="1" spans="1:9" x14ac:dyDescent="0.25">
      <c r="A62" s="220">
        <v>66</v>
      </c>
      <c r="B62" s="221" t="s">
        <v>426</v>
      </c>
      <c r="C62" s="222" t="s">
        <v>427</v>
      </c>
      <c r="D62" s="221" t="s">
        <v>92</v>
      </c>
      <c r="E62" s="221" t="s">
        <v>395</v>
      </c>
      <c r="F62" s="223">
        <v>650</v>
      </c>
      <c r="G62" s="221" t="s">
        <v>71</v>
      </c>
      <c r="H62" s="221" t="s">
        <v>48</v>
      </c>
      <c r="I62" s="222"/>
    </row>
    <row r="63" ht="17.25" customHeight="1" spans="1:9" x14ac:dyDescent="0.25">
      <c r="A63" s="220">
        <v>67</v>
      </c>
      <c r="B63" s="221" t="s">
        <v>428</v>
      </c>
      <c r="C63" s="222" t="s">
        <v>429</v>
      </c>
      <c r="D63" s="221" t="s">
        <v>92</v>
      </c>
      <c r="E63" s="221" t="s">
        <v>395</v>
      </c>
      <c r="F63" s="223">
        <v>650</v>
      </c>
      <c r="G63" s="221" t="s">
        <v>71</v>
      </c>
      <c r="H63" s="221" t="s">
        <v>48</v>
      </c>
      <c r="I63" s="222"/>
    </row>
    <row r="64" ht="17.25" customHeight="1" spans="1:9" x14ac:dyDescent="0.25">
      <c r="A64" s="220">
        <v>68</v>
      </c>
      <c r="B64" s="221" t="s">
        <v>430</v>
      </c>
      <c r="C64" s="222" t="s">
        <v>431</v>
      </c>
      <c r="D64" s="221" t="s">
        <v>92</v>
      </c>
      <c r="E64" s="221" t="s">
        <v>395</v>
      </c>
      <c r="F64" s="223">
        <v>650</v>
      </c>
      <c r="G64" s="221" t="s">
        <v>71</v>
      </c>
      <c r="H64" s="221" t="s">
        <v>48</v>
      </c>
      <c r="I64" s="222"/>
    </row>
    <row r="65" ht="17.25" customHeight="1" spans="1:9" x14ac:dyDescent="0.25">
      <c r="A65" s="220">
        <v>69</v>
      </c>
      <c r="B65" s="221" t="s">
        <v>432</v>
      </c>
      <c r="C65" s="222" t="s">
        <v>433</v>
      </c>
      <c r="D65" s="221" t="s">
        <v>92</v>
      </c>
      <c r="E65" s="221" t="s">
        <v>395</v>
      </c>
      <c r="F65" s="223">
        <v>650</v>
      </c>
      <c r="G65" s="221" t="s">
        <v>71</v>
      </c>
      <c r="H65" s="221" t="s">
        <v>48</v>
      </c>
      <c r="I65" s="222"/>
    </row>
    <row r="66" ht="17.25" customHeight="1" spans="1:9" x14ac:dyDescent="0.25">
      <c r="A66" s="220">
        <v>70</v>
      </c>
      <c r="B66" s="221" t="s">
        <v>434</v>
      </c>
      <c r="C66" s="222" t="s">
        <v>435</v>
      </c>
      <c r="D66" s="221" t="s">
        <v>92</v>
      </c>
      <c r="E66" s="221" t="s">
        <v>395</v>
      </c>
      <c r="F66" s="223">
        <v>1300</v>
      </c>
      <c r="G66" s="221" t="s">
        <v>71</v>
      </c>
      <c r="H66" s="221" t="s">
        <v>48</v>
      </c>
      <c r="I66" s="222"/>
    </row>
    <row r="67" ht="17.25" customHeight="1" spans="1:9" x14ac:dyDescent="0.25">
      <c r="A67" s="220">
        <v>71</v>
      </c>
      <c r="B67" s="221" t="s">
        <v>436</v>
      </c>
      <c r="C67" s="222" t="s">
        <v>437</v>
      </c>
      <c r="D67" s="221" t="s">
        <v>92</v>
      </c>
      <c r="E67" s="221" t="s">
        <v>395</v>
      </c>
      <c r="F67" s="223">
        <v>650</v>
      </c>
      <c r="G67" s="221" t="s">
        <v>71</v>
      </c>
      <c r="H67" s="221" t="s">
        <v>48</v>
      </c>
      <c r="I67" s="222"/>
    </row>
    <row r="68" ht="17.25" customHeight="1" spans="1:9" x14ac:dyDescent="0.25">
      <c r="A68" s="220">
        <v>72</v>
      </c>
      <c r="B68" s="221" t="s">
        <v>438</v>
      </c>
      <c r="C68" s="222" t="s">
        <v>439</v>
      </c>
      <c r="D68" s="221" t="s">
        <v>92</v>
      </c>
      <c r="E68" s="221" t="s">
        <v>395</v>
      </c>
      <c r="F68" s="223">
        <v>650</v>
      </c>
      <c r="G68" s="221" t="s">
        <v>71</v>
      </c>
      <c r="H68" s="221" t="s">
        <v>48</v>
      </c>
      <c r="I68" s="222"/>
    </row>
    <row r="69" ht="17.25" customHeight="1" spans="1:9" x14ac:dyDescent="0.25">
      <c r="A69" s="220">
        <v>73</v>
      </c>
      <c r="B69" s="221" t="s">
        <v>440</v>
      </c>
      <c r="C69" s="222" t="s">
        <v>441</v>
      </c>
      <c r="D69" s="221" t="s">
        <v>92</v>
      </c>
      <c r="E69" s="221" t="s">
        <v>395</v>
      </c>
      <c r="F69" s="223">
        <v>650</v>
      </c>
      <c r="G69" s="221" t="s">
        <v>71</v>
      </c>
      <c r="H69" s="221" t="s">
        <v>48</v>
      </c>
      <c r="I69" s="222"/>
    </row>
    <row r="70" ht="17.25" customHeight="1" spans="1:9" x14ac:dyDescent="0.25">
      <c r="A70" s="220">
        <v>74</v>
      </c>
      <c r="B70" s="221" t="s">
        <v>442</v>
      </c>
      <c r="C70" s="222" t="s">
        <v>443</v>
      </c>
      <c r="D70" s="221" t="s">
        <v>92</v>
      </c>
      <c r="E70" s="221" t="s">
        <v>395</v>
      </c>
      <c r="F70" s="223">
        <v>650</v>
      </c>
      <c r="G70" s="221" t="s">
        <v>71</v>
      </c>
      <c r="H70" s="221" t="s">
        <v>48</v>
      </c>
      <c r="I70" s="222"/>
    </row>
    <row r="71" ht="17.25" customHeight="1" spans="1:9" x14ac:dyDescent="0.25">
      <c r="A71" s="220">
        <v>75</v>
      </c>
      <c r="B71" s="221" t="s">
        <v>444</v>
      </c>
      <c r="C71" s="222" t="s">
        <v>445</v>
      </c>
      <c r="D71" s="221" t="s">
        <v>92</v>
      </c>
      <c r="E71" s="221" t="s">
        <v>395</v>
      </c>
      <c r="F71" s="223">
        <v>650</v>
      </c>
      <c r="G71" s="221" t="s">
        <v>71</v>
      </c>
      <c r="H71" s="221" t="s">
        <v>48</v>
      </c>
      <c r="I71" s="222"/>
    </row>
    <row r="72" ht="17.25" customHeight="1" spans="1:9" x14ac:dyDescent="0.25">
      <c r="A72" s="220">
        <v>76</v>
      </c>
      <c r="B72" s="221" t="s">
        <v>446</v>
      </c>
      <c r="C72" s="222" t="s">
        <v>447</v>
      </c>
      <c r="D72" s="221" t="s">
        <v>92</v>
      </c>
      <c r="E72" s="221" t="s">
        <v>395</v>
      </c>
      <c r="F72" s="223">
        <v>650</v>
      </c>
      <c r="G72" s="221" t="s">
        <v>71</v>
      </c>
      <c r="H72" s="221" t="s">
        <v>48</v>
      </c>
      <c r="I72" s="222"/>
    </row>
    <row r="73" ht="17.25" customHeight="1" spans="1:9" x14ac:dyDescent="0.25">
      <c r="A73" s="220">
        <v>77</v>
      </c>
      <c r="B73" s="221" t="s">
        <v>448</v>
      </c>
      <c r="C73" s="222" t="s">
        <v>449</v>
      </c>
      <c r="D73" s="221" t="s">
        <v>92</v>
      </c>
      <c r="E73" s="221" t="s">
        <v>395</v>
      </c>
      <c r="F73" s="223">
        <v>650</v>
      </c>
      <c r="G73" s="221" t="s">
        <v>71</v>
      </c>
      <c r="H73" s="221" t="s">
        <v>48</v>
      </c>
      <c r="I73" s="222"/>
    </row>
    <row r="74" ht="17.25" customHeight="1" spans="1:9" x14ac:dyDescent="0.25">
      <c r="A74" s="220">
        <v>78</v>
      </c>
      <c r="B74" s="221" t="s">
        <v>450</v>
      </c>
      <c r="C74" s="222" t="s">
        <v>451</v>
      </c>
      <c r="D74" s="221" t="s">
        <v>92</v>
      </c>
      <c r="E74" s="221" t="s">
        <v>395</v>
      </c>
      <c r="F74" s="223">
        <v>650</v>
      </c>
      <c r="G74" s="221" t="s">
        <v>71</v>
      </c>
      <c r="H74" s="221" t="s">
        <v>48</v>
      </c>
      <c r="I74" s="222"/>
    </row>
    <row r="75" ht="17.25" customHeight="1" spans="1:9" x14ac:dyDescent="0.25">
      <c r="A75" s="220">
        <v>79</v>
      </c>
      <c r="B75" s="221" t="s">
        <v>452</v>
      </c>
      <c r="C75" s="222" t="s">
        <v>453</v>
      </c>
      <c r="D75" s="221" t="s">
        <v>92</v>
      </c>
      <c r="E75" s="221" t="s">
        <v>395</v>
      </c>
      <c r="F75" s="223">
        <v>650</v>
      </c>
      <c r="G75" s="221" t="s">
        <v>71</v>
      </c>
      <c r="H75" s="221" t="s">
        <v>48</v>
      </c>
      <c r="I75" s="222"/>
    </row>
    <row r="76" ht="17.25" customHeight="1" spans="1:9" x14ac:dyDescent="0.25">
      <c r="A76" s="220">
        <v>80</v>
      </c>
      <c r="B76" s="221" t="s">
        <v>454</v>
      </c>
      <c r="C76" s="222" t="s">
        <v>455</v>
      </c>
      <c r="D76" s="221" t="s">
        <v>92</v>
      </c>
      <c r="E76" s="221" t="s">
        <v>395</v>
      </c>
      <c r="F76" s="223">
        <v>650</v>
      </c>
      <c r="G76" s="221" t="s">
        <v>71</v>
      </c>
      <c r="H76" s="221" t="s">
        <v>48</v>
      </c>
      <c r="I76" s="222"/>
    </row>
    <row r="77" ht="17.25" customHeight="1" spans="1:9" x14ac:dyDescent="0.25">
      <c r="A77" s="220">
        <v>81</v>
      </c>
      <c r="B77" s="221" t="s">
        <v>456</v>
      </c>
      <c r="C77" s="222" t="s">
        <v>457</v>
      </c>
      <c r="D77" s="221" t="s">
        <v>92</v>
      </c>
      <c r="E77" s="221" t="s">
        <v>395</v>
      </c>
      <c r="F77" s="223">
        <v>650</v>
      </c>
      <c r="G77" s="221" t="s">
        <v>71</v>
      </c>
      <c r="H77" s="221" t="s">
        <v>48</v>
      </c>
      <c r="I77" s="222"/>
    </row>
    <row r="78" ht="17.25" customHeight="1" spans="1:9" x14ac:dyDescent="0.25">
      <c r="A78" s="220">
        <v>82</v>
      </c>
      <c r="B78" s="221" t="s">
        <v>458</v>
      </c>
      <c r="C78" s="222" t="s">
        <v>459</v>
      </c>
      <c r="D78" s="221" t="s">
        <v>92</v>
      </c>
      <c r="E78" s="221" t="s">
        <v>395</v>
      </c>
      <c r="F78" s="223">
        <v>650</v>
      </c>
      <c r="G78" s="221" t="s">
        <v>71</v>
      </c>
      <c r="H78" s="221" t="s">
        <v>48</v>
      </c>
      <c r="I78" s="222"/>
    </row>
    <row r="79" ht="17.25" customHeight="1" spans="1:9" x14ac:dyDescent="0.25">
      <c r="A79" s="220">
        <v>83</v>
      </c>
      <c r="B79" s="221" t="s">
        <v>460</v>
      </c>
      <c r="C79" s="222" t="s">
        <v>461</v>
      </c>
      <c r="D79" s="221" t="s">
        <v>92</v>
      </c>
      <c r="E79" s="221" t="s">
        <v>395</v>
      </c>
      <c r="F79" s="223">
        <v>650</v>
      </c>
      <c r="G79" s="221" t="s">
        <v>71</v>
      </c>
      <c r="H79" s="221" t="s">
        <v>48</v>
      </c>
      <c r="I79" s="222"/>
    </row>
    <row r="80" ht="17.25" customHeight="1" spans="1:9" x14ac:dyDescent="0.25">
      <c r="A80" s="220">
        <v>84</v>
      </c>
      <c r="B80" s="221" t="s">
        <v>462</v>
      </c>
      <c r="C80" s="222" t="s">
        <v>463</v>
      </c>
      <c r="D80" s="221" t="s">
        <v>92</v>
      </c>
      <c r="E80" s="221" t="s">
        <v>395</v>
      </c>
      <c r="F80" s="223">
        <v>650</v>
      </c>
      <c r="G80" s="221" t="s">
        <v>71</v>
      </c>
      <c r="H80" s="221" t="s">
        <v>48</v>
      </c>
      <c r="I80" s="222"/>
    </row>
    <row r="81" ht="17.25" customHeight="1" spans="1:9" x14ac:dyDescent="0.25">
      <c r="A81" s="220">
        <v>85</v>
      </c>
      <c r="B81" s="221" t="s">
        <v>464</v>
      </c>
      <c r="C81" s="222" t="s">
        <v>465</v>
      </c>
      <c r="D81" s="221" t="s">
        <v>92</v>
      </c>
      <c r="E81" s="221" t="s">
        <v>395</v>
      </c>
      <c r="F81" s="223">
        <v>650</v>
      </c>
      <c r="G81" s="221" t="s">
        <v>71</v>
      </c>
      <c r="H81" s="221" t="s">
        <v>48</v>
      </c>
      <c r="I81" s="222"/>
    </row>
    <row r="82" ht="17.25" customHeight="1" spans="1:9" x14ac:dyDescent="0.25">
      <c r="A82" s="220">
        <v>86</v>
      </c>
      <c r="B82" s="221" t="s">
        <v>466</v>
      </c>
      <c r="C82" s="222" t="s">
        <v>467</v>
      </c>
      <c r="D82" s="221" t="s">
        <v>92</v>
      </c>
      <c r="E82" s="221" t="s">
        <v>395</v>
      </c>
      <c r="F82" s="223">
        <v>650</v>
      </c>
      <c r="G82" s="221" t="s">
        <v>71</v>
      </c>
      <c r="H82" s="221" t="s">
        <v>48</v>
      </c>
      <c r="I82" s="222"/>
    </row>
    <row r="83" ht="17.25" customHeight="1" spans="1:9" x14ac:dyDescent="0.25">
      <c r="A83" s="220">
        <v>87</v>
      </c>
      <c r="B83" s="221" t="s">
        <v>468</v>
      </c>
      <c r="C83" s="222" t="s">
        <v>469</v>
      </c>
      <c r="D83" s="221" t="s">
        <v>92</v>
      </c>
      <c r="E83" s="221" t="s">
        <v>395</v>
      </c>
      <c r="F83" s="223">
        <v>650</v>
      </c>
      <c r="G83" s="221" t="s">
        <v>71</v>
      </c>
      <c r="H83" s="221" t="s">
        <v>48</v>
      </c>
      <c r="I83" s="222"/>
    </row>
    <row r="84" ht="17.25" customHeight="1" spans="1:9" x14ac:dyDescent="0.25">
      <c r="A84" s="220">
        <v>88</v>
      </c>
      <c r="B84" s="221" t="s">
        <v>470</v>
      </c>
      <c r="C84" s="222" t="s">
        <v>471</v>
      </c>
      <c r="D84" s="221" t="s">
        <v>92</v>
      </c>
      <c r="E84" s="221" t="s">
        <v>395</v>
      </c>
      <c r="F84" s="223">
        <v>650</v>
      </c>
      <c r="G84" s="221" t="s">
        <v>71</v>
      </c>
      <c r="H84" s="221" t="s">
        <v>48</v>
      </c>
      <c r="I84" s="222"/>
    </row>
    <row r="85" ht="17.25" customHeight="1" spans="1:9" x14ac:dyDescent="0.25">
      <c r="A85" s="220">
        <v>90</v>
      </c>
      <c r="B85" s="221" t="s">
        <v>472</v>
      </c>
      <c r="C85" s="222" t="s">
        <v>473</v>
      </c>
      <c r="D85" s="221" t="s">
        <v>92</v>
      </c>
      <c r="E85" s="221" t="s">
        <v>395</v>
      </c>
      <c r="F85" s="223">
        <v>650</v>
      </c>
      <c r="G85" s="221" t="s">
        <v>71</v>
      </c>
      <c r="H85" s="221" t="s">
        <v>48</v>
      </c>
      <c r="I85" s="222"/>
    </row>
    <row r="86" ht="17.25" customHeight="1" spans="1:9" x14ac:dyDescent="0.25">
      <c r="A86" s="220">
        <v>91</v>
      </c>
      <c r="B86" s="221" t="s">
        <v>474</v>
      </c>
      <c r="C86" s="222" t="s">
        <v>475</v>
      </c>
      <c r="D86" s="221" t="s">
        <v>92</v>
      </c>
      <c r="E86" s="221" t="s">
        <v>395</v>
      </c>
      <c r="F86" s="223">
        <v>650</v>
      </c>
      <c r="G86" s="221" t="s">
        <v>71</v>
      </c>
      <c r="H86" s="221" t="s">
        <v>48</v>
      </c>
      <c r="I86" s="222"/>
    </row>
    <row r="87" ht="17.25" customHeight="1" spans="1:9" x14ac:dyDescent="0.25">
      <c r="A87" s="220">
        <v>92</v>
      </c>
      <c r="B87" s="221" t="s">
        <v>476</v>
      </c>
      <c r="C87" s="222" t="s">
        <v>477</v>
      </c>
      <c r="D87" s="221" t="s">
        <v>92</v>
      </c>
      <c r="E87" s="221" t="s">
        <v>395</v>
      </c>
      <c r="F87" s="223">
        <v>650</v>
      </c>
      <c r="G87" s="221" t="s">
        <v>71</v>
      </c>
      <c r="H87" s="221" t="s">
        <v>48</v>
      </c>
      <c r="I87" s="222"/>
    </row>
    <row r="88" ht="17.25" customHeight="1" spans="1:9" x14ac:dyDescent="0.25">
      <c r="A88" s="220">
        <v>93</v>
      </c>
      <c r="B88" s="221" t="s">
        <v>478</v>
      </c>
      <c r="C88" s="222" t="s">
        <v>479</v>
      </c>
      <c r="D88" s="221" t="s">
        <v>92</v>
      </c>
      <c r="E88" s="221" t="s">
        <v>395</v>
      </c>
      <c r="F88" s="223">
        <v>650</v>
      </c>
      <c r="G88" s="221" t="s">
        <v>71</v>
      </c>
      <c r="H88" s="221" t="s">
        <v>48</v>
      </c>
      <c r="I88" s="222"/>
    </row>
    <row r="89" ht="17.25" customHeight="1" spans="1:9" x14ac:dyDescent="0.25">
      <c r="A89" s="220">
        <v>94</v>
      </c>
      <c r="B89" s="221" t="s">
        <v>480</v>
      </c>
      <c r="C89" s="222" t="s">
        <v>481</v>
      </c>
      <c r="D89" s="221" t="s">
        <v>92</v>
      </c>
      <c r="E89" s="221" t="s">
        <v>395</v>
      </c>
      <c r="F89" s="223">
        <v>650</v>
      </c>
      <c r="G89" s="221" t="s">
        <v>71</v>
      </c>
      <c r="H89" s="221" t="s">
        <v>48</v>
      </c>
      <c r="I89" s="222"/>
    </row>
    <row r="90" ht="17.25" customHeight="1" spans="1:9" x14ac:dyDescent="0.25">
      <c r="A90" s="220">
        <v>95</v>
      </c>
      <c r="B90" s="221" t="s">
        <v>482</v>
      </c>
      <c r="C90" s="222" t="s">
        <v>483</v>
      </c>
      <c r="D90" s="221" t="s">
        <v>92</v>
      </c>
      <c r="E90" s="221" t="s">
        <v>395</v>
      </c>
      <c r="F90" s="223">
        <v>650</v>
      </c>
      <c r="G90" s="221" t="s">
        <v>71</v>
      </c>
      <c r="H90" s="221" t="s">
        <v>48</v>
      </c>
      <c r="I90" s="222"/>
    </row>
    <row r="91" ht="17.25" customHeight="1" spans="1:9" x14ac:dyDescent="0.25">
      <c r="A91" s="220">
        <v>96</v>
      </c>
      <c r="B91" s="221" t="s">
        <v>484</v>
      </c>
      <c r="C91" s="222" t="s">
        <v>485</v>
      </c>
      <c r="D91" s="221" t="s">
        <v>92</v>
      </c>
      <c r="E91" s="221" t="s">
        <v>395</v>
      </c>
      <c r="F91" s="223">
        <v>650</v>
      </c>
      <c r="G91" s="221" t="s">
        <v>71</v>
      </c>
      <c r="H91" s="221" t="s">
        <v>48</v>
      </c>
      <c r="I91" s="222"/>
    </row>
    <row r="92" ht="17.25" customHeight="1" spans="1:9" x14ac:dyDescent="0.25">
      <c r="A92" s="220">
        <v>97</v>
      </c>
      <c r="B92" s="221" t="s">
        <v>486</v>
      </c>
      <c r="C92" s="222" t="s">
        <v>487</v>
      </c>
      <c r="D92" s="221" t="s">
        <v>92</v>
      </c>
      <c r="E92" s="221" t="s">
        <v>395</v>
      </c>
      <c r="F92" s="223">
        <v>650</v>
      </c>
      <c r="G92" s="221" t="s">
        <v>71</v>
      </c>
      <c r="H92" s="221" t="s">
        <v>48</v>
      </c>
      <c r="I92" s="222"/>
    </row>
    <row r="93" ht="17.25" customHeight="1" spans="1:9" x14ac:dyDescent="0.25">
      <c r="A93" s="220">
        <v>98</v>
      </c>
      <c r="B93" s="221" t="s">
        <v>488</v>
      </c>
      <c r="C93" s="222" t="s">
        <v>489</v>
      </c>
      <c r="D93" s="221" t="s">
        <v>92</v>
      </c>
      <c r="E93" s="221" t="s">
        <v>395</v>
      </c>
      <c r="F93" s="223">
        <v>650</v>
      </c>
      <c r="G93" s="221" t="s">
        <v>71</v>
      </c>
      <c r="H93" s="221" t="s">
        <v>48</v>
      </c>
      <c r="I93" s="222"/>
    </row>
    <row r="94" ht="17.25" customHeight="1" spans="1:9" x14ac:dyDescent="0.25">
      <c r="A94" s="220">
        <v>99</v>
      </c>
      <c r="B94" s="221" t="s">
        <v>490</v>
      </c>
      <c r="C94" s="222" t="s">
        <v>491</v>
      </c>
      <c r="D94" s="221" t="s">
        <v>92</v>
      </c>
      <c r="E94" s="221" t="s">
        <v>27</v>
      </c>
      <c r="F94" s="223">
        <v>0</v>
      </c>
      <c r="G94" s="221" t="s">
        <v>71</v>
      </c>
      <c r="H94" s="221" t="s">
        <v>48</v>
      </c>
      <c r="I94" s="222"/>
    </row>
    <row r="95" ht="17.25" customHeight="1" spans="1:9" x14ac:dyDescent="0.25">
      <c r="A95" s="220">
        <v>100</v>
      </c>
      <c r="B95" s="221" t="s">
        <v>492</v>
      </c>
      <c r="C95" s="222" t="s">
        <v>493</v>
      </c>
      <c r="D95" s="221" t="s">
        <v>92</v>
      </c>
      <c r="E95" s="221" t="s">
        <v>27</v>
      </c>
      <c r="F95" s="223">
        <v>0</v>
      </c>
      <c r="G95" s="221" t="s">
        <v>71</v>
      </c>
      <c r="H95" s="221" t="s">
        <v>48</v>
      </c>
      <c r="I95" s="222"/>
    </row>
    <row r="96" ht="17.25" customHeight="1" spans="1:9" x14ac:dyDescent="0.25">
      <c r="A96" s="220">
        <v>102</v>
      </c>
      <c r="B96" s="221" t="s">
        <v>494</v>
      </c>
      <c r="C96" s="222" t="s">
        <v>495</v>
      </c>
      <c r="D96" s="221" t="s">
        <v>129</v>
      </c>
      <c r="E96" s="221" t="s">
        <v>27</v>
      </c>
      <c r="F96" s="223">
        <v>0</v>
      </c>
      <c r="G96" s="221" t="s">
        <v>48</v>
      </c>
      <c r="H96" s="221" t="s">
        <v>48</v>
      </c>
      <c r="I96" s="224"/>
    </row>
    <row r="97" ht="17.25" customHeight="1" spans="1:9" x14ac:dyDescent="0.25">
      <c r="A97" s="220">
        <v>103</v>
      </c>
      <c r="B97" s="221" t="s">
        <v>496</v>
      </c>
      <c r="C97" s="222" t="s">
        <v>497</v>
      </c>
      <c r="D97" s="221" t="s">
        <v>129</v>
      </c>
      <c r="E97" s="221" t="s">
        <v>27</v>
      </c>
      <c r="F97" s="223">
        <v>0</v>
      </c>
      <c r="G97" s="221" t="s">
        <v>48</v>
      </c>
      <c r="H97" s="221" t="s">
        <v>48</v>
      </c>
      <c r="I97" s="224"/>
    </row>
    <row r="98" ht="17.25" customHeight="1" spans="1:9" x14ac:dyDescent="0.25">
      <c r="A98" s="220">
        <v>104</v>
      </c>
      <c r="B98" s="221" t="s">
        <v>498</v>
      </c>
      <c r="C98" s="222" t="s">
        <v>499</v>
      </c>
      <c r="D98" s="221" t="s">
        <v>129</v>
      </c>
      <c r="E98" s="221" t="s">
        <v>27</v>
      </c>
      <c r="F98" s="223">
        <v>0</v>
      </c>
      <c r="G98" s="221" t="s">
        <v>48</v>
      </c>
      <c r="H98" s="221" t="s">
        <v>48</v>
      </c>
      <c r="I98" s="224"/>
    </row>
    <row r="99" ht="17.25" customHeight="1" spans="1:9" x14ac:dyDescent="0.25">
      <c r="A99" s="220">
        <v>105</v>
      </c>
      <c r="B99" s="221" t="s">
        <v>500</v>
      </c>
      <c r="C99" s="222" t="s">
        <v>501</v>
      </c>
      <c r="D99" s="221" t="s">
        <v>129</v>
      </c>
      <c r="E99" s="221" t="s">
        <v>27</v>
      </c>
      <c r="F99" s="223">
        <v>0</v>
      </c>
      <c r="G99" s="221" t="s">
        <v>48</v>
      </c>
      <c r="H99" s="221" t="s">
        <v>48</v>
      </c>
      <c r="I99" s="224"/>
    </row>
    <row r="100" ht="17.25" customHeight="1" spans="1:9" x14ac:dyDescent="0.25">
      <c r="A100" s="220">
        <v>106</v>
      </c>
      <c r="B100" s="221" t="s">
        <v>502</v>
      </c>
      <c r="C100" s="222" t="s">
        <v>503</v>
      </c>
      <c r="D100" s="221" t="s">
        <v>129</v>
      </c>
      <c r="E100" s="221" t="s">
        <v>27</v>
      </c>
      <c r="F100" s="223">
        <v>0</v>
      </c>
      <c r="G100" s="221" t="s">
        <v>48</v>
      </c>
      <c r="H100" s="221" t="s">
        <v>48</v>
      </c>
      <c r="I100" s="224"/>
    </row>
    <row r="101" ht="17.25" customHeight="1" spans="1:9" x14ac:dyDescent="0.25">
      <c r="A101" s="220">
        <v>107</v>
      </c>
      <c r="B101" s="221" t="s">
        <v>504</v>
      </c>
      <c r="C101" s="222" t="s">
        <v>505</v>
      </c>
      <c r="D101" s="221" t="s">
        <v>129</v>
      </c>
      <c r="E101" s="221" t="s">
        <v>27</v>
      </c>
      <c r="F101" s="223">
        <v>0</v>
      </c>
      <c r="G101" s="221" t="s">
        <v>48</v>
      </c>
      <c r="H101" s="221" t="s">
        <v>48</v>
      </c>
      <c r="I101" s="222" t="s">
        <v>506</v>
      </c>
    </row>
    <row r="102" ht="17.25" customHeight="1" spans="1:9" x14ac:dyDescent="0.25">
      <c r="A102" s="220">
        <v>108</v>
      </c>
      <c r="B102" s="221" t="s">
        <v>507</v>
      </c>
      <c r="C102" s="222" t="s">
        <v>508</v>
      </c>
      <c r="D102" s="221" t="s">
        <v>129</v>
      </c>
      <c r="E102" s="221" t="s">
        <v>27</v>
      </c>
      <c r="F102" s="223">
        <v>0</v>
      </c>
      <c r="G102" s="221" t="s">
        <v>48</v>
      </c>
      <c r="H102" s="221" t="s">
        <v>48</v>
      </c>
      <c r="I102" s="222" t="s">
        <v>506</v>
      </c>
    </row>
    <row r="103" ht="17.25" customHeight="1" spans="1:9" x14ac:dyDescent="0.25">
      <c r="A103" s="220">
        <v>109</v>
      </c>
      <c r="B103" s="221" t="s">
        <v>509</v>
      </c>
      <c r="C103" s="222" t="s">
        <v>510</v>
      </c>
      <c r="D103" s="221" t="s">
        <v>129</v>
      </c>
      <c r="E103" s="221" t="s">
        <v>27</v>
      </c>
      <c r="F103" s="223">
        <v>0</v>
      </c>
      <c r="G103" s="221" t="s">
        <v>48</v>
      </c>
      <c r="H103" s="221" t="s">
        <v>48</v>
      </c>
      <c r="I103" s="222" t="s">
        <v>506</v>
      </c>
    </row>
    <row r="104" ht="17.25" customHeight="1" spans="1:9" x14ac:dyDescent="0.25">
      <c r="A104" s="220">
        <v>110</v>
      </c>
      <c r="B104" s="221" t="s">
        <v>511</v>
      </c>
      <c r="C104" s="222" t="s">
        <v>512</v>
      </c>
      <c r="D104" s="221" t="s">
        <v>129</v>
      </c>
      <c r="E104" s="221" t="s">
        <v>27</v>
      </c>
      <c r="F104" s="223">
        <v>0</v>
      </c>
      <c r="G104" s="221" t="s">
        <v>48</v>
      </c>
      <c r="H104" s="221" t="s">
        <v>48</v>
      </c>
      <c r="I104" s="222" t="s">
        <v>506</v>
      </c>
    </row>
    <row r="105" ht="17.25" customHeight="1" spans="1:9" x14ac:dyDescent="0.25">
      <c r="A105" s="220">
        <v>111</v>
      </c>
      <c r="B105" s="221" t="s">
        <v>513</v>
      </c>
      <c r="C105" s="222" t="s">
        <v>514</v>
      </c>
      <c r="D105" s="221" t="s">
        <v>129</v>
      </c>
      <c r="E105" s="221" t="s">
        <v>27</v>
      </c>
      <c r="F105" s="223">
        <v>0</v>
      </c>
      <c r="G105" s="221" t="s">
        <v>48</v>
      </c>
      <c r="H105" s="221" t="s">
        <v>48</v>
      </c>
      <c r="I105" s="222" t="s">
        <v>506</v>
      </c>
    </row>
    <row r="106" ht="17.25" customHeight="1" spans="1:9" x14ac:dyDescent="0.25">
      <c r="A106" s="220">
        <v>112</v>
      </c>
      <c r="B106" s="221" t="s">
        <v>515</v>
      </c>
      <c r="C106" s="222" t="s">
        <v>516</v>
      </c>
      <c r="D106" s="221" t="s">
        <v>129</v>
      </c>
      <c r="E106" s="221" t="s">
        <v>27</v>
      </c>
      <c r="F106" s="223">
        <v>0</v>
      </c>
      <c r="G106" s="221" t="s">
        <v>48</v>
      </c>
      <c r="H106" s="221" t="s">
        <v>48</v>
      </c>
      <c r="I106" s="224"/>
    </row>
    <row r="107" ht="17.25" customHeight="1" spans="1:9" x14ac:dyDescent="0.25">
      <c r="A107" s="220">
        <v>113</v>
      </c>
      <c r="B107" s="221" t="s">
        <v>517</v>
      </c>
      <c r="C107" s="222" t="s">
        <v>518</v>
      </c>
      <c r="D107" s="221" t="s">
        <v>129</v>
      </c>
      <c r="E107" s="221" t="s">
        <v>27</v>
      </c>
      <c r="F107" s="223">
        <v>0</v>
      </c>
      <c r="G107" s="221" t="s">
        <v>48</v>
      </c>
      <c r="H107" s="221" t="s">
        <v>48</v>
      </c>
      <c r="I107" s="224"/>
    </row>
    <row r="108" ht="17.25" customHeight="1" spans="1:9" x14ac:dyDescent="0.25">
      <c r="A108" s="220">
        <v>114</v>
      </c>
      <c r="B108" s="221" t="s">
        <v>519</v>
      </c>
      <c r="C108" s="222" t="s">
        <v>520</v>
      </c>
      <c r="D108" s="221" t="s">
        <v>129</v>
      </c>
      <c r="E108" s="221" t="s">
        <v>27</v>
      </c>
      <c r="F108" s="223">
        <v>0</v>
      </c>
      <c r="G108" s="221" t="s">
        <v>48</v>
      </c>
      <c r="H108" s="221" t="s">
        <v>48</v>
      </c>
      <c r="I108" s="224"/>
    </row>
    <row r="109" ht="17.25" customHeight="1" spans="1:9" x14ac:dyDescent="0.25">
      <c r="A109" s="220">
        <v>115</v>
      </c>
      <c r="B109" s="221" t="s">
        <v>521</v>
      </c>
      <c r="C109" s="222" t="s">
        <v>522</v>
      </c>
      <c r="D109" s="221" t="s">
        <v>129</v>
      </c>
      <c r="E109" s="221" t="s">
        <v>27</v>
      </c>
      <c r="F109" s="223">
        <v>0</v>
      </c>
      <c r="G109" s="221" t="s">
        <v>48</v>
      </c>
      <c r="H109" s="221" t="s">
        <v>48</v>
      </c>
      <c r="I109" s="222" t="s">
        <v>506</v>
      </c>
    </row>
    <row r="110" ht="17.25" customHeight="1" spans="1:9" x14ac:dyDescent="0.25">
      <c r="A110" s="220">
        <v>116</v>
      </c>
      <c r="B110" s="221" t="s">
        <v>523</v>
      </c>
      <c r="C110" s="222" t="s">
        <v>524</v>
      </c>
      <c r="D110" s="221" t="s">
        <v>129</v>
      </c>
      <c r="E110" s="221" t="s">
        <v>27</v>
      </c>
      <c r="F110" s="223">
        <v>0</v>
      </c>
      <c r="G110" s="221" t="s">
        <v>48</v>
      </c>
      <c r="H110" s="221" t="s">
        <v>48</v>
      </c>
      <c r="I110" s="222" t="s">
        <v>525</v>
      </c>
    </row>
    <row r="111" ht="17.25" customHeight="1" spans="1:9" x14ac:dyDescent="0.25">
      <c r="A111" s="220">
        <v>117</v>
      </c>
      <c r="B111" s="221" t="s">
        <v>526</v>
      </c>
      <c r="C111" s="222" t="s">
        <v>527</v>
      </c>
      <c r="D111" s="221" t="s">
        <v>129</v>
      </c>
      <c r="E111" s="221" t="s">
        <v>27</v>
      </c>
      <c r="F111" s="223">
        <v>0</v>
      </c>
      <c r="G111" s="221" t="s">
        <v>48</v>
      </c>
      <c r="H111" s="221" t="s">
        <v>48</v>
      </c>
      <c r="I111" s="224"/>
    </row>
    <row r="112" ht="17.25" customHeight="1" spans="1:9" x14ac:dyDescent="0.25">
      <c r="A112" s="220">
        <v>118</v>
      </c>
      <c r="B112" s="221" t="s">
        <v>528</v>
      </c>
      <c r="C112" s="222" t="s">
        <v>529</v>
      </c>
      <c r="D112" s="221" t="s">
        <v>129</v>
      </c>
      <c r="E112" s="221" t="s">
        <v>27</v>
      </c>
      <c r="F112" s="223">
        <v>0</v>
      </c>
      <c r="G112" s="221" t="s">
        <v>48</v>
      </c>
      <c r="H112" s="221" t="s">
        <v>48</v>
      </c>
      <c r="I112" s="222" t="s">
        <v>530</v>
      </c>
    </row>
    <row r="113" ht="17.25" customHeight="1" spans="1:9" x14ac:dyDescent="0.25">
      <c r="A113" s="220">
        <v>119</v>
      </c>
      <c r="B113" s="221" t="s">
        <v>531</v>
      </c>
      <c r="C113" s="222" t="s">
        <v>532</v>
      </c>
      <c r="D113" s="221" t="s">
        <v>129</v>
      </c>
      <c r="E113" s="221" t="s">
        <v>27</v>
      </c>
      <c r="F113" s="223">
        <v>0</v>
      </c>
      <c r="G113" s="221" t="s">
        <v>48</v>
      </c>
      <c r="H113" s="221" t="s">
        <v>48</v>
      </c>
      <c r="I113" s="222" t="s">
        <v>506</v>
      </c>
    </row>
    <row r="114" ht="17.25" customHeight="1" spans="1:9" x14ac:dyDescent="0.25">
      <c r="A114" s="220">
        <v>120</v>
      </c>
      <c r="B114" s="221" t="s">
        <v>533</v>
      </c>
      <c r="C114" s="222" t="s">
        <v>534</v>
      </c>
      <c r="D114" s="221" t="s">
        <v>129</v>
      </c>
      <c r="E114" s="221" t="s">
        <v>27</v>
      </c>
      <c r="F114" s="223">
        <v>0</v>
      </c>
      <c r="G114" s="221" t="s">
        <v>48</v>
      </c>
      <c r="H114" s="221" t="s">
        <v>48</v>
      </c>
      <c r="I114" s="224"/>
    </row>
    <row r="115" ht="17.25" customHeight="1" spans="1:9" x14ac:dyDescent="0.25">
      <c r="A115" s="220">
        <v>121</v>
      </c>
      <c r="B115" s="221" t="s">
        <v>535</v>
      </c>
      <c r="C115" s="222" t="s">
        <v>536</v>
      </c>
      <c r="D115" s="221" t="s">
        <v>129</v>
      </c>
      <c r="E115" s="221" t="s">
        <v>27</v>
      </c>
      <c r="F115" s="223">
        <v>0</v>
      </c>
      <c r="G115" s="221" t="s">
        <v>48</v>
      </c>
      <c r="H115" s="221" t="s">
        <v>48</v>
      </c>
      <c r="I115" s="224"/>
    </row>
    <row r="116" ht="17.25" customHeight="1" spans="1:9" x14ac:dyDescent="0.25">
      <c r="A116" s="220">
        <v>122</v>
      </c>
      <c r="B116" s="221" t="s">
        <v>537</v>
      </c>
      <c r="C116" s="222" t="s">
        <v>538</v>
      </c>
      <c r="D116" s="221" t="s">
        <v>129</v>
      </c>
      <c r="E116" s="221" t="s">
        <v>27</v>
      </c>
      <c r="F116" s="223">
        <v>0</v>
      </c>
      <c r="G116" s="221" t="s">
        <v>48</v>
      </c>
      <c r="H116" s="221" t="s">
        <v>48</v>
      </c>
      <c r="I116" s="224"/>
    </row>
    <row r="117" ht="17.25" customHeight="1" spans="1:9" x14ac:dyDescent="0.25">
      <c r="A117" s="220">
        <v>123</v>
      </c>
      <c r="B117" s="221" t="s">
        <v>539</v>
      </c>
      <c r="C117" s="222" t="s">
        <v>540</v>
      </c>
      <c r="D117" s="221" t="s">
        <v>129</v>
      </c>
      <c r="E117" s="221" t="s">
        <v>27</v>
      </c>
      <c r="F117" s="223">
        <v>0</v>
      </c>
      <c r="G117" s="221" t="s">
        <v>48</v>
      </c>
      <c r="H117" s="221" t="s">
        <v>48</v>
      </c>
      <c r="I117" s="224"/>
    </row>
    <row r="118" ht="17.25" customHeight="1" spans="1:9" x14ac:dyDescent="0.25">
      <c r="A118" s="220">
        <v>124</v>
      </c>
      <c r="B118" s="221" t="s">
        <v>541</v>
      </c>
      <c r="C118" s="222" t="s">
        <v>542</v>
      </c>
      <c r="D118" s="221" t="s">
        <v>129</v>
      </c>
      <c r="E118" s="221" t="s">
        <v>27</v>
      </c>
      <c r="F118" s="223">
        <v>0</v>
      </c>
      <c r="G118" s="221" t="s">
        <v>48</v>
      </c>
      <c r="H118" s="221" t="s">
        <v>48</v>
      </c>
      <c r="I118" s="224"/>
    </row>
    <row r="119" ht="17.25" customHeight="1" spans="1:9" x14ac:dyDescent="0.25">
      <c r="A119" s="220">
        <v>125</v>
      </c>
      <c r="B119" s="221" t="s">
        <v>543</v>
      </c>
      <c r="C119" s="222" t="s">
        <v>544</v>
      </c>
      <c r="D119" s="221" t="s">
        <v>129</v>
      </c>
      <c r="E119" s="221" t="s">
        <v>27</v>
      </c>
      <c r="F119" s="223">
        <v>0</v>
      </c>
      <c r="G119" s="221" t="s">
        <v>48</v>
      </c>
      <c r="H119" s="221" t="s">
        <v>48</v>
      </c>
      <c r="I119" s="224"/>
    </row>
    <row r="120" ht="17.25" customHeight="1" spans="1:9" x14ac:dyDescent="0.25">
      <c r="A120" s="220">
        <v>126</v>
      </c>
      <c r="B120" s="221" t="s">
        <v>545</v>
      </c>
      <c r="C120" s="222" t="s">
        <v>546</v>
      </c>
      <c r="D120" s="221" t="s">
        <v>129</v>
      </c>
      <c r="E120" s="221" t="s">
        <v>27</v>
      </c>
      <c r="F120" s="223">
        <v>0</v>
      </c>
      <c r="G120" s="221" t="s">
        <v>48</v>
      </c>
      <c r="H120" s="221" t="s">
        <v>48</v>
      </c>
      <c r="I120" s="224"/>
    </row>
    <row r="121" ht="17.25" customHeight="1" spans="1:9" x14ac:dyDescent="0.25">
      <c r="A121" s="220">
        <v>127</v>
      </c>
      <c r="B121" s="221" t="s">
        <v>547</v>
      </c>
      <c r="C121" s="222" t="s">
        <v>548</v>
      </c>
      <c r="D121" s="221" t="s">
        <v>129</v>
      </c>
      <c r="E121" s="221" t="s">
        <v>27</v>
      </c>
      <c r="F121" s="223">
        <v>0</v>
      </c>
      <c r="G121" s="221" t="s">
        <v>48</v>
      </c>
      <c r="H121" s="221" t="s">
        <v>48</v>
      </c>
      <c r="I121" s="224"/>
    </row>
    <row r="122" ht="17.25" customHeight="1" spans="1:9" x14ac:dyDescent="0.25">
      <c r="A122" s="220">
        <v>128</v>
      </c>
      <c r="B122" s="221" t="s">
        <v>549</v>
      </c>
      <c r="C122" s="222" t="s">
        <v>550</v>
      </c>
      <c r="D122" s="221" t="s">
        <v>129</v>
      </c>
      <c r="E122" s="221" t="s">
        <v>27</v>
      </c>
      <c r="F122" s="223">
        <v>0</v>
      </c>
      <c r="G122" s="221" t="s">
        <v>48</v>
      </c>
      <c r="H122" s="221" t="s">
        <v>48</v>
      </c>
      <c r="I122" s="224"/>
    </row>
    <row r="123" ht="17.25" customHeight="1" spans="1:9" x14ac:dyDescent="0.25">
      <c r="A123" s="220">
        <v>130</v>
      </c>
      <c r="B123" s="221" t="s">
        <v>551</v>
      </c>
      <c r="C123" s="222" t="s">
        <v>552</v>
      </c>
      <c r="D123" s="221" t="s">
        <v>129</v>
      </c>
      <c r="E123" s="221" t="s">
        <v>27</v>
      </c>
      <c r="F123" s="223">
        <v>0</v>
      </c>
      <c r="G123" s="221" t="s">
        <v>48</v>
      </c>
      <c r="H123" s="221" t="s">
        <v>48</v>
      </c>
      <c r="I123" s="224"/>
    </row>
    <row r="124" ht="17.25" customHeight="1" spans="1:9" x14ac:dyDescent="0.25">
      <c r="A124" s="220">
        <v>131</v>
      </c>
      <c r="B124" s="221" t="s">
        <v>553</v>
      </c>
      <c r="C124" s="222" t="s">
        <v>554</v>
      </c>
      <c r="D124" s="221" t="s">
        <v>129</v>
      </c>
      <c r="E124" s="221" t="s">
        <v>27</v>
      </c>
      <c r="F124" s="223">
        <v>0</v>
      </c>
      <c r="G124" s="221" t="s">
        <v>48</v>
      </c>
      <c r="H124" s="221" t="s">
        <v>48</v>
      </c>
      <c r="I124" s="224"/>
    </row>
    <row r="125" ht="17.25" customHeight="1" spans="1:9" x14ac:dyDescent="0.25">
      <c r="A125" s="220">
        <v>132</v>
      </c>
      <c r="B125" s="221" t="s">
        <v>555</v>
      </c>
      <c r="C125" s="222" t="s">
        <v>556</v>
      </c>
      <c r="D125" s="221" t="s">
        <v>557</v>
      </c>
      <c r="E125" s="221" t="s">
        <v>395</v>
      </c>
      <c r="F125" s="223">
        <v>0</v>
      </c>
      <c r="G125" s="221"/>
      <c r="H125" s="221"/>
      <c r="I125" s="224"/>
    </row>
    <row r="126" ht="17.25" customHeight="1" spans="1:9" x14ac:dyDescent="0.25">
      <c r="A126" s="220">
        <v>133</v>
      </c>
      <c r="B126" s="221" t="s">
        <v>558</v>
      </c>
      <c r="C126" s="222" t="s">
        <v>559</v>
      </c>
      <c r="D126" s="221" t="s">
        <v>557</v>
      </c>
      <c r="E126" s="221" t="s">
        <v>27</v>
      </c>
      <c r="F126" s="223">
        <v>0</v>
      </c>
      <c r="G126" s="221"/>
      <c r="H126" s="221"/>
      <c r="I126" s="224"/>
    </row>
    <row r="127" ht="17.25" customHeight="1" spans="1:9" x14ac:dyDescent="0.25">
      <c r="A127" s="220">
        <v>134</v>
      </c>
      <c r="B127" s="221" t="s">
        <v>560</v>
      </c>
      <c r="C127" s="222" t="s">
        <v>561</v>
      </c>
      <c r="D127" s="221" t="s">
        <v>557</v>
      </c>
      <c r="E127" s="221" t="s">
        <v>27</v>
      </c>
      <c r="F127" s="223">
        <v>0</v>
      </c>
      <c r="G127" s="221"/>
      <c r="H127" s="221"/>
      <c r="I127" s="224"/>
    </row>
    <row r="128" ht="17.25" customHeight="1" spans="1:9" x14ac:dyDescent="0.25">
      <c r="A128" s="220">
        <v>135</v>
      </c>
      <c r="B128" s="221" t="s">
        <v>562</v>
      </c>
      <c r="C128" s="222" t="s">
        <v>563</v>
      </c>
      <c r="D128" s="221" t="s">
        <v>557</v>
      </c>
      <c r="E128" s="221" t="s">
        <v>27</v>
      </c>
      <c r="F128" s="223">
        <v>0</v>
      </c>
      <c r="G128" s="221"/>
      <c r="H128" s="221"/>
      <c r="I128" s="224"/>
    </row>
    <row r="129" ht="17.25" customHeight="1" spans="1:9" x14ac:dyDescent="0.25">
      <c r="A129" s="220">
        <v>136</v>
      </c>
      <c r="B129" s="221" t="s">
        <v>564</v>
      </c>
      <c r="C129" s="222" t="s">
        <v>565</v>
      </c>
      <c r="D129" s="221" t="s">
        <v>557</v>
      </c>
      <c r="E129" s="221" t="s">
        <v>27</v>
      </c>
      <c r="F129" s="223">
        <v>0</v>
      </c>
      <c r="G129" s="221"/>
      <c r="H129" s="221"/>
      <c r="I129" s="224"/>
    </row>
    <row r="130" ht="17.25" customHeight="1" spans="1:9" x14ac:dyDescent="0.25">
      <c r="A130" s="220">
        <v>137</v>
      </c>
      <c r="B130" s="221" t="s">
        <v>566</v>
      </c>
      <c r="C130" s="222" t="s">
        <v>567</v>
      </c>
      <c r="D130" s="221" t="s">
        <v>557</v>
      </c>
      <c r="E130" s="221" t="s">
        <v>27</v>
      </c>
      <c r="F130" s="223">
        <v>0</v>
      </c>
      <c r="G130" s="221"/>
      <c r="H130" s="221"/>
      <c r="I130" s="224"/>
    </row>
    <row r="131" ht="17.25" customHeight="1" spans="1:9" x14ac:dyDescent="0.25">
      <c r="A131" s="220">
        <v>138</v>
      </c>
      <c r="B131" s="221" t="s">
        <v>568</v>
      </c>
      <c r="C131" s="222" t="s">
        <v>569</v>
      </c>
      <c r="D131" s="221" t="s">
        <v>570</v>
      </c>
      <c r="E131" s="221" t="s">
        <v>27</v>
      </c>
      <c r="F131" s="223">
        <v>0</v>
      </c>
      <c r="G131" s="221" t="s">
        <v>48</v>
      </c>
      <c r="H131" s="221" t="s">
        <v>48</v>
      </c>
      <c r="I131" s="224"/>
    </row>
    <row r="132" ht="17.25" customHeight="1" spans="1:9" x14ac:dyDescent="0.25">
      <c r="A132" s="220">
        <v>139</v>
      </c>
      <c r="B132" s="221" t="s">
        <v>571</v>
      </c>
      <c r="C132" s="222" t="s">
        <v>572</v>
      </c>
      <c r="D132" s="221" t="s">
        <v>573</v>
      </c>
      <c r="E132" s="221" t="s">
        <v>27</v>
      </c>
      <c r="F132" s="223">
        <v>0</v>
      </c>
      <c r="G132" s="221" t="s">
        <v>48</v>
      </c>
      <c r="H132" s="221" t="s">
        <v>48</v>
      </c>
      <c r="I132" s="224"/>
    </row>
    <row r="133" ht="17.25" customHeight="1" spans="1:9" x14ac:dyDescent="0.25">
      <c r="A133" s="220">
        <v>140</v>
      </c>
      <c r="B133" s="221" t="s">
        <v>574</v>
      </c>
      <c r="C133" s="222" t="s">
        <v>575</v>
      </c>
      <c r="D133" s="221" t="s">
        <v>573</v>
      </c>
      <c r="E133" s="221" t="s">
        <v>27</v>
      </c>
      <c r="F133" s="223">
        <v>0</v>
      </c>
      <c r="G133" s="221" t="s">
        <v>48</v>
      </c>
      <c r="H133" s="221" t="s">
        <v>48</v>
      </c>
      <c r="I133" s="224"/>
    </row>
    <row r="134" ht="17.25" customHeight="1" spans="1:9" x14ac:dyDescent="0.25">
      <c r="A134" s="220">
        <v>141</v>
      </c>
      <c r="B134" s="221" t="s">
        <v>576</v>
      </c>
      <c r="C134" s="222" t="s">
        <v>577</v>
      </c>
      <c r="D134" s="221" t="s">
        <v>573</v>
      </c>
      <c r="E134" s="221" t="s">
        <v>27</v>
      </c>
      <c r="F134" s="223">
        <v>0</v>
      </c>
      <c r="G134" s="221" t="s">
        <v>48</v>
      </c>
      <c r="H134" s="221" t="s">
        <v>48</v>
      </c>
      <c r="I134" s="224"/>
    </row>
    <row r="135" ht="17.25" customHeight="1" spans="1:9" x14ac:dyDescent="0.25">
      <c r="A135" s="220">
        <v>142</v>
      </c>
      <c r="B135" s="221" t="s">
        <v>578</v>
      </c>
      <c r="C135" s="222" t="s">
        <v>579</v>
      </c>
      <c r="D135" s="221" t="s">
        <v>573</v>
      </c>
      <c r="E135" s="221" t="s">
        <v>27</v>
      </c>
      <c r="F135" s="223">
        <v>0</v>
      </c>
      <c r="G135" s="221" t="s">
        <v>48</v>
      </c>
      <c r="H135" s="221" t="s">
        <v>48</v>
      </c>
      <c r="I135" s="224"/>
    </row>
    <row r="136" ht="17.25" customHeight="1" spans="1:9" x14ac:dyDescent="0.25">
      <c r="A136" s="220">
        <v>143</v>
      </c>
      <c r="B136" s="221" t="s">
        <v>580</v>
      </c>
      <c r="C136" s="222" t="s">
        <v>581</v>
      </c>
      <c r="D136" s="221" t="s">
        <v>573</v>
      </c>
      <c r="E136" s="221" t="s">
        <v>27</v>
      </c>
      <c r="F136" s="223">
        <v>0</v>
      </c>
      <c r="G136" s="221" t="s">
        <v>48</v>
      </c>
      <c r="H136" s="221" t="s">
        <v>48</v>
      </c>
      <c r="I136" s="224"/>
    </row>
    <row r="137" ht="17.25" customHeight="1" spans="1:9" x14ac:dyDescent="0.25">
      <c r="A137" s="220">
        <v>144</v>
      </c>
      <c r="B137" s="221" t="s">
        <v>582</v>
      </c>
      <c r="C137" s="222" t="s">
        <v>583</v>
      </c>
      <c r="D137" s="221" t="s">
        <v>573</v>
      </c>
      <c r="E137" s="221" t="s">
        <v>27</v>
      </c>
      <c r="F137" s="223">
        <v>0</v>
      </c>
      <c r="G137" s="221" t="s">
        <v>48</v>
      </c>
      <c r="H137" s="221" t="s">
        <v>48</v>
      </c>
      <c r="I137" s="224"/>
    </row>
    <row r="138" ht="17.25" customHeight="1" spans="1:9" x14ac:dyDescent="0.25">
      <c r="A138" s="220">
        <v>145</v>
      </c>
      <c r="B138" s="221" t="s">
        <v>584</v>
      </c>
      <c r="C138" s="222" t="s">
        <v>585</v>
      </c>
      <c r="D138" s="221" t="s">
        <v>573</v>
      </c>
      <c r="E138" s="221" t="s">
        <v>27</v>
      </c>
      <c r="F138" s="223">
        <v>0</v>
      </c>
      <c r="G138" s="221" t="s">
        <v>48</v>
      </c>
      <c r="H138" s="221" t="s">
        <v>48</v>
      </c>
      <c r="I138" s="224"/>
    </row>
    <row r="139" ht="17.25" customHeight="1" spans="1:9" x14ac:dyDescent="0.25">
      <c r="A139" s="220">
        <v>146</v>
      </c>
      <c r="B139" s="221" t="s">
        <v>586</v>
      </c>
      <c r="C139" s="222" t="s">
        <v>587</v>
      </c>
      <c r="D139" s="221" t="s">
        <v>573</v>
      </c>
      <c r="E139" s="221" t="s">
        <v>27</v>
      </c>
      <c r="F139" s="223">
        <v>0</v>
      </c>
      <c r="G139" s="221" t="s">
        <v>48</v>
      </c>
      <c r="H139" s="221" t="s">
        <v>48</v>
      </c>
      <c r="I139" s="224"/>
    </row>
    <row r="140" ht="17.25" customHeight="1" spans="1:9" x14ac:dyDescent="0.25">
      <c r="A140" s="220">
        <v>147</v>
      </c>
      <c r="B140" s="221" t="s">
        <v>588</v>
      </c>
      <c r="C140" s="222" t="s">
        <v>589</v>
      </c>
      <c r="D140" s="221" t="s">
        <v>573</v>
      </c>
      <c r="E140" s="221" t="s">
        <v>27</v>
      </c>
      <c r="F140" s="223">
        <v>0</v>
      </c>
      <c r="G140" s="221" t="s">
        <v>48</v>
      </c>
      <c r="H140" s="221" t="s">
        <v>48</v>
      </c>
      <c r="I140" s="224"/>
    </row>
    <row r="141" ht="17.25" customHeight="1" spans="1:9" x14ac:dyDescent="0.25">
      <c r="A141" s="220">
        <v>148</v>
      </c>
      <c r="B141" s="221" t="s">
        <v>590</v>
      </c>
      <c r="C141" s="222" t="s">
        <v>591</v>
      </c>
      <c r="D141" s="221" t="s">
        <v>573</v>
      </c>
      <c r="E141" s="221" t="s">
        <v>27</v>
      </c>
      <c r="F141" s="223">
        <v>0</v>
      </c>
      <c r="G141" s="221" t="s">
        <v>48</v>
      </c>
      <c r="H141" s="221" t="s">
        <v>48</v>
      </c>
      <c r="I141" s="224"/>
    </row>
    <row r="142" ht="17.25" customHeight="1" spans="1:9" x14ac:dyDescent="0.25">
      <c r="A142" s="220">
        <v>149</v>
      </c>
      <c r="B142" s="221" t="s">
        <v>592</v>
      </c>
      <c r="C142" s="222" t="s">
        <v>593</v>
      </c>
      <c r="D142" s="221" t="s">
        <v>573</v>
      </c>
      <c r="E142" s="221" t="s">
        <v>27</v>
      </c>
      <c r="F142" s="223">
        <v>0</v>
      </c>
      <c r="G142" s="221" t="s">
        <v>48</v>
      </c>
      <c r="H142" s="221" t="s">
        <v>48</v>
      </c>
      <c r="I142" s="224"/>
    </row>
    <row r="143" ht="17.25" customHeight="1" spans="1:9" x14ac:dyDescent="0.25">
      <c r="A143" s="220">
        <v>150</v>
      </c>
      <c r="B143" s="221" t="s">
        <v>594</v>
      </c>
      <c r="C143" s="222" t="s">
        <v>595</v>
      </c>
      <c r="D143" s="221" t="s">
        <v>573</v>
      </c>
      <c r="E143" s="221" t="s">
        <v>27</v>
      </c>
      <c r="F143" s="223">
        <v>0</v>
      </c>
      <c r="G143" s="221" t="s">
        <v>48</v>
      </c>
      <c r="H143" s="221" t="s">
        <v>48</v>
      </c>
      <c r="I143" s="224"/>
    </row>
    <row r="144" ht="17.25" customHeight="1" spans="1:9" x14ac:dyDescent="0.25">
      <c r="A144" s="220">
        <v>151</v>
      </c>
      <c r="B144" s="221" t="s">
        <v>596</v>
      </c>
      <c r="C144" s="222" t="s">
        <v>597</v>
      </c>
      <c r="D144" s="221" t="s">
        <v>573</v>
      </c>
      <c r="E144" s="221" t="s">
        <v>27</v>
      </c>
      <c r="F144" s="223">
        <v>0</v>
      </c>
      <c r="G144" s="221" t="s">
        <v>48</v>
      </c>
      <c r="H144" s="221" t="s">
        <v>48</v>
      </c>
      <c r="I144" s="222"/>
    </row>
    <row r="145" ht="17.25" customHeight="1" spans="1:9" x14ac:dyDescent="0.25">
      <c r="A145" s="220">
        <v>152</v>
      </c>
      <c r="B145" s="221" t="s">
        <v>598</v>
      </c>
      <c r="C145" s="222" t="s">
        <v>599</v>
      </c>
      <c r="D145" s="221" t="s">
        <v>573</v>
      </c>
      <c r="E145" s="221" t="s">
        <v>27</v>
      </c>
      <c r="F145" s="223">
        <v>0</v>
      </c>
      <c r="G145" s="221" t="s">
        <v>48</v>
      </c>
      <c r="H145" s="221" t="s">
        <v>48</v>
      </c>
      <c r="I145" s="224"/>
    </row>
    <row r="146" ht="17.25" customHeight="1" spans="1:9" x14ac:dyDescent="0.25">
      <c r="A146" s="220">
        <v>153</v>
      </c>
      <c r="B146" s="221" t="s">
        <v>600</v>
      </c>
      <c r="C146" s="222" t="s">
        <v>601</v>
      </c>
      <c r="D146" s="221" t="s">
        <v>573</v>
      </c>
      <c r="E146" s="221" t="s">
        <v>27</v>
      </c>
      <c r="F146" s="223">
        <v>0</v>
      </c>
      <c r="G146" s="221" t="s">
        <v>48</v>
      </c>
      <c r="H146" s="221" t="s">
        <v>48</v>
      </c>
      <c r="I146" s="224"/>
    </row>
    <row r="147" ht="17.25" customHeight="1" spans="1:9" x14ac:dyDescent="0.25">
      <c r="A147" s="220">
        <v>154</v>
      </c>
      <c r="B147" s="221" t="s">
        <v>602</v>
      </c>
      <c r="C147" s="222" t="s">
        <v>603</v>
      </c>
      <c r="D147" s="221" t="s">
        <v>573</v>
      </c>
      <c r="E147" s="221" t="s">
        <v>27</v>
      </c>
      <c r="F147" s="223">
        <v>0</v>
      </c>
      <c r="G147" s="221" t="s">
        <v>48</v>
      </c>
      <c r="H147" s="221" t="s">
        <v>48</v>
      </c>
      <c r="I147" s="224"/>
    </row>
    <row r="148" ht="17.25" customHeight="1" spans="1:9" x14ac:dyDescent="0.25">
      <c r="A148" s="220">
        <v>155</v>
      </c>
      <c r="B148" s="221" t="s">
        <v>604</v>
      </c>
      <c r="C148" s="222" t="s">
        <v>605</v>
      </c>
      <c r="D148" s="221" t="s">
        <v>573</v>
      </c>
      <c r="E148" s="221" t="s">
        <v>27</v>
      </c>
      <c r="F148" s="223">
        <v>0</v>
      </c>
      <c r="G148" s="221" t="s">
        <v>48</v>
      </c>
      <c r="H148" s="221" t="s">
        <v>48</v>
      </c>
      <c r="I148" s="224"/>
    </row>
    <row r="149" ht="17.25" customHeight="1" spans="1:9" x14ac:dyDescent="0.25">
      <c r="A149" s="220">
        <v>156</v>
      </c>
      <c r="B149" s="221" t="s">
        <v>606</v>
      </c>
      <c r="C149" s="222" t="s">
        <v>607</v>
      </c>
      <c r="D149" s="221" t="s">
        <v>573</v>
      </c>
      <c r="E149" s="221" t="s">
        <v>27</v>
      </c>
      <c r="F149" s="223">
        <v>0</v>
      </c>
      <c r="G149" s="221" t="s">
        <v>48</v>
      </c>
      <c r="H149" s="221" t="s">
        <v>48</v>
      </c>
      <c r="I149" s="224"/>
    </row>
    <row r="150" ht="17.25" customHeight="1" spans="1:9" x14ac:dyDescent="0.25">
      <c r="A150" s="220">
        <v>157</v>
      </c>
      <c r="B150" s="221" t="s">
        <v>608</v>
      </c>
      <c r="C150" s="222" t="s">
        <v>609</v>
      </c>
      <c r="D150" s="221" t="s">
        <v>573</v>
      </c>
      <c r="E150" s="221" t="s">
        <v>27</v>
      </c>
      <c r="F150" s="223">
        <v>0</v>
      </c>
      <c r="G150" s="221" t="s">
        <v>48</v>
      </c>
      <c r="H150" s="221" t="s">
        <v>48</v>
      </c>
      <c r="I150" s="224"/>
    </row>
    <row r="151" ht="17.25" customHeight="1" spans="1:9" x14ac:dyDescent="0.25">
      <c r="A151" s="220">
        <v>158</v>
      </c>
      <c r="B151" s="221" t="s">
        <v>610</v>
      </c>
      <c r="C151" s="222" t="s">
        <v>611</v>
      </c>
      <c r="D151" s="221" t="s">
        <v>573</v>
      </c>
      <c r="E151" s="221" t="s">
        <v>27</v>
      </c>
      <c r="F151" s="223">
        <v>0</v>
      </c>
      <c r="G151" s="221" t="s">
        <v>48</v>
      </c>
      <c r="H151" s="221" t="s">
        <v>48</v>
      </c>
      <c r="I151" s="224"/>
    </row>
    <row r="152" ht="17.25" customHeight="1" spans="1:9" x14ac:dyDescent="0.25">
      <c r="A152" s="220">
        <v>159</v>
      </c>
      <c r="B152" s="221" t="s">
        <v>612</v>
      </c>
      <c r="C152" s="222" t="s">
        <v>613</v>
      </c>
      <c r="D152" s="221" t="s">
        <v>573</v>
      </c>
      <c r="E152" s="221" t="s">
        <v>27</v>
      </c>
      <c r="F152" s="223">
        <v>0</v>
      </c>
      <c r="G152" s="221" t="s">
        <v>48</v>
      </c>
      <c r="H152" s="221" t="s">
        <v>48</v>
      </c>
      <c r="I152" s="224"/>
    </row>
    <row r="153" ht="17.25" customHeight="1" spans="1:9" x14ac:dyDescent="0.25">
      <c r="A153" s="220">
        <v>160</v>
      </c>
      <c r="B153" s="221" t="s">
        <v>614</v>
      </c>
      <c r="C153" s="222" t="s">
        <v>615</v>
      </c>
      <c r="D153" s="221" t="s">
        <v>573</v>
      </c>
      <c r="E153" s="221" t="s">
        <v>27</v>
      </c>
      <c r="F153" s="223">
        <v>0</v>
      </c>
      <c r="G153" s="221" t="s">
        <v>48</v>
      </c>
      <c r="H153" s="221" t="s">
        <v>48</v>
      </c>
      <c r="I153" s="224"/>
    </row>
    <row r="154" ht="17.25" customHeight="1" spans="1:9" x14ac:dyDescent="0.25">
      <c r="A154" s="220">
        <v>161</v>
      </c>
      <c r="B154" s="221" t="s">
        <v>616</v>
      </c>
      <c r="C154" s="222" t="s">
        <v>617</v>
      </c>
      <c r="D154" s="221" t="s">
        <v>573</v>
      </c>
      <c r="E154" s="221" t="s">
        <v>27</v>
      </c>
      <c r="F154" s="223">
        <v>0</v>
      </c>
      <c r="G154" s="221" t="s">
        <v>48</v>
      </c>
      <c r="H154" s="221" t="s">
        <v>48</v>
      </c>
      <c r="I154" s="224"/>
    </row>
    <row r="155" ht="17.25" customHeight="1" spans="1:9" x14ac:dyDescent="0.25">
      <c r="A155" s="220">
        <v>162</v>
      </c>
      <c r="B155" s="221" t="s">
        <v>618</v>
      </c>
      <c r="C155" s="222" t="s">
        <v>619</v>
      </c>
      <c r="D155" s="221" t="s">
        <v>573</v>
      </c>
      <c r="E155" s="221" t="s">
        <v>27</v>
      </c>
      <c r="F155" s="223">
        <v>0</v>
      </c>
      <c r="G155" s="221" t="s">
        <v>48</v>
      </c>
      <c r="H155" s="221" t="s">
        <v>48</v>
      </c>
      <c r="I155" s="224"/>
    </row>
    <row r="156" ht="17.25" customHeight="1" spans="1:9" x14ac:dyDescent="0.25">
      <c r="A156" s="220">
        <v>163</v>
      </c>
      <c r="B156" s="221" t="s">
        <v>620</v>
      </c>
      <c r="C156" s="222" t="s">
        <v>621</v>
      </c>
      <c r="D156" s="221" t="s">
        <v>573</v>
      </c>
      <c r="E156" s="221" t="s">
        <v>27</v>
      </c>
      <c r="F156" s="223">
        <v>0</v>
      </c>
      <c r="G156" s="221" t="s">
        <v>48</v>
      </c>
      <c r="H156" s="221" t="s">
        <v>48</v>
      </c>
      <c r="I156" s="224"/>
    </row>
    <row r="157" ht="17.25" customHeight="1" spans="1:9" x14ac:dyDescent="0.25">
      <c r="A157" s="220">
        <v>164</v>
      </c>
      <c r="B157" s="221" t="s">
        <v>622</v>
      </c>
      <c r="C157" s="222" t="s">
        <v>623</v>
      </c>
      <c r="D157" s="221" t="s">
        <v>573</v>
      </c>
      <c r="E157" s="221" t="s">
        <v>27</v>
      </c>
      <c r="F157" s="223">
        <v>0</v>
      </c>
      <c r="G157" s="221" t="s">
        <v>48</v>
      </c>
      <c r="H157" s="221" t="s">
        <v>48</v>
      </c>
      <c r="I157" s="222"/>
    </row>
    <row r="158" ht="17.25" customHeight="1" spans="1:9" x14ac:dyDescent="0.25">
      <c r="A158" s="220">
        <v>165</v>
      </c>
      <c r="B158" s="221" t="s">
        <v>624</v>
      </c>
      <c r="C158" s="222" t="s">
        <v>625</v>
      </c>
      <c r="D158" s="221" t="s">
        <v>573</v>
      </c>
      <c r="E158" s="221" t="s">
        <v>27</v>
      </c>
      <c r="F158" s="223">
        <v>0</v>
      </c>
      <c r="G158" s="221" t="s">
        <v>48</v>
      </c>
      <c r="H158" s="221" t="s">
        <v>48</v>
      </c>
      <c r="I158" s="224"/>
    </row>
    <row r="159" ht="17.25" customHeight="1" spans="1:9" x14ac:dyDescent="0.25">
      <c r="A159" s="220">
        <v>166</v>
      </c>
      <c r="B159" s="221" t="s">
        <v>626</v>
      </c>
      <c r="C159" s="222" t="s">
        <v>627</v>
      </c>
      <c r="D159" s="221" t="s">
        <v>573</v>
      </c>
      <c r="E159" s="221" t="s">
        <v>27</v>
      </c>
      <c r="F159" s="223">
        <v>0</v>
      </c>
      <c r="G159" s="221" t="s">
        <v>48</v>
      </c>
      <c r="H159" s="221" t="s">
        <v>48</v>
      </c>
      <c r="I159" s="224"/>
    </row>
    <row r="160" ht="17.25" customHeight="1" spans="1:9" x14ac:dyDescent="0.25">
      <c r="A160" s="220">
        <v>168</v>
      </c>
      <c r="B160" s="221" t="s">
        <v>628</v>
      </c>
      <c r="C160" s="222" t="s">
        <v>629</v>
      </c>
      <c r="D160" s="221" t="s">
        <v>573</v>
      </c>
      <c r="E160" s="221" t="s">
        <v>27</v>
      </c>
      <c r="F160" s="223">
        <v>0</v>
      </c>
      <c r="G160" s="221" t="s">
        <v>48</v>
      </c>
      <c r="H160" s="221" t="s">
        <v>48</v>
      </c>
      <c r="I160" s="224"/>
    </row>
    <row r="161" ht="17.25" customHeight="1" spans="1:9" x14ac:dyDescent="0.25">
      <c r="A161" s="220">
        <v>169</v>
      </c>
      <c r="B161" s="221" t="s">
        <v>630</v>
      </c>
      <c r="C161" s="222" t="s">
        <v>631</v>
      </c>
      <c r="D161" s="221" t="s">
        <v>573</v>
      </c>
      <c r="E161" s="221" t="s">
        <v>27</v>
      </c>
      <c r="F161" s="223">
        <v>0</v>
      </c>
      <c r="G161" s="221" t="s">
        <v>48</v>
      </c>
      <c r="H161" s="221" t="s">
        <v>48</v>
      </c>
      <c r="I161" s="224"/>
    </row>
    <row r="162" ht="17.25" customHeight="1" spans="1:9" x14ac:dyDescent="0.25">
      <c r="A162" s="220">
        <v>170</v>
      </c>
      <c r="B162" s="221" t="s">
        <v>632</v>
      </c>
      <c r="C162" s="222" t="s">
        <v>633</v>
      </c>
      <c r="D162" s="221" t="s">
        <v>573</v>
      </c>
      <c r="E162" s="221" t="s">
        <v>27</v>
      </c>
      <c r="F162" s="223">
        <v>0</v>
      </c>
      <c r="G162" s="221" t="s">
        <v>48</v>
      </c>
      <c r="H162" s="221" t="s">
        <v>48</v>
      </c>
      <c r="I162" s="224"/>
    </row>
    <row r="163" ht="17.25" customHeight="1" spans="1:9" x14ac:dyDescent="0.25">
      <c r="A163" s="220">
        <v>171</v>
      </c>
      <c r="B163" s="221" t="s">
        <v>634</v>
      </c>
      <c r="C163" s="222" t="s">
        <v>635</v>
      </c>
      <c r="D163" s="221" t="s">
        <v>573</v>
      </c>
      <c r="E163" s="221" t="s">
        <v>27</v>
      </c>
      <c r="F163" s="223">
        <v>0</v>
      </c>
      <c r="G163" s="221" t="s">
        <v>48</v>
      </c>
      <c r="H163" s="221" t="s">
        <v>48</v>
      </c>
      <c r="I163" s="224"/>
    </row>
    <row r="164" ht="17.25" customHeight="1" spans="1:9" x14ac:dyDescent="0.25">
      <c r="A164" s="220">
        <v>172</v>
      </c>
      <c r="B164" s="221" t="s">
        <v>636</v>
      </c>
      <c r="C164" s="222" t="s">
        <v>637</v>
      </c>
      <c r="D164" s="221" t="s">
        <v>573</v>
      </c>
      <c r="E164" s="221" t="s">
        <v>27</v>
      </c>
      <c r="F164" s="223">
        <v>0</v>
      </c>
      <c r="G164" s="221" t="s">
        <v>48</v>
      </c>
      <c r="H164" s="221" t="s">
        <v>48</v>
      </c>
      <c r="I164" s="224"/>
    </row>
    <row r="165" ht="17.25" customHeight="1" spans="1:9" x14ac:dyDescent="0.25">
      <c r="A165" s="220">
        <v>173</v>
      </c>
      <c r="B165" s="221" t="s">
        <v>638</v>
      </c>
      <c r="C165" s="222" t="s">
        <v>639</v>
      </c>
      <c r="D165" s="221" t="s">
        <v>573</v>
      </c>
      <c r="E165" s="221" t="s">
        <v>27</v>
      </c>
      <c r="F165" s="223">
        <v>0</v>
      </c>
      <c r="G165" s="221" t="s">
        <v>48</v>
      </c>
      <c r="H165" s="221" t="s">
        <v>48</v>
      </c>
      <c r="I165" s="224"/>
    </row>
    <row r="166" ht="17.25" customHeight="1" spans="1:9" x14ac:dyDescent="0.25">
      <c r="A166" s="220">
        <v>174</v>
      </c>
      <c r="B166" s="221" t="s">
        <v>640</v>
      </c>
      <c r="C166" s="222" t="s">
        <v>641</v>
      </c>
      <c r="D166" s="221" t="s">
        <v>573</v>
      </c>
      <c r="E166" s="221" t="s">
        <v>27</v>
      </c>
      <c r="F166" s="223">
        <v>0</v>
      </c>
      <c r="G166" s="221" t="s">
        <v>48</v>
      </c>
      <c r="H166" s="221" t="s">
        <v>48</v>
      </c>
      <c r="I166" s="224"/>
    </row>
    <row r="167" ht="17.25" customHeight="1" spans="1:9" x14ac:dyDescent="0.25">
      <c r="A167" s="220">
        <v>175</v>
      </c>
      <c r="B167" s="221" t="s">
        <v>642</v>
      </c>
      <c r="C167" s="222" t="s">
        <v>643</v>
      </c>
      <c r="D167" s="221" t="s">
        <v>573</v>
      </c>
      <c r="E167" s="221" t="s">
        <v>27</v>
      </c>
      <c r="F167" s="223">
        <v>0</v>
      </c>
      <c r="G167" s="221" t="s">
        <v>48</v>
      </c>
      <c r="H167" s="221" t="s">
        <v>48</v>
      </c>
      <c r="I167" s="224"/>
    </row>
    <row r="168" ht="17.25" customHeight="1" spans="1:9" x14ac:dyDescent="0.25">
      <c r="A168" s="220">
        <v>176</v>
      </c>
      <c r="B168" s="221" t="s">
        <v>644</v>
      </c>
      <c r="C168" s="222" t="s">
        <v>645</v>
      </c>
      <c r="D168" s="221" t="s">
        <v>573</v>
      </c>
      <c r="E168" s="221" t="s">
        <v>27</v>
      </c>
      <c r="F168" s="223">
        <v>0</v>
      </c>
      <c r="G168" s="221" t="s">
        <v>48</v>
      </c>
      <c r="H168" s="221" t="s">
        <v>48</v>
      </c>
      <c r="I168" s="224"/>
    </row>
    <row r="169" ht="17.25" customHeight="1" spans="1:9" x14ac:dyDescent="0.25">
      <c r="A169" s="220">
        <v>177</v>
      </c>
      <c r="B169" s="221" t="s">
        <v>646</v>
      </c>
      <c r="C169" s="222" t="s">
        <v>647</v>
      </c>
      <c r="D169" s="221" t="s">
        <v>573</v>
      </c>
      <c r="E169" s="221" t="s">
        <v>27</v>
      </c>
      <c r="F169" s="223">
        <v>0</v>
      </c>
      <c r="G169" s="221" t="s">
        <v>48</v>
      </c>
      <c r="H169" s="221" t="s">
        <v>48</v>
      </c>
      <c r="I169" s="224"/>
    </row>
    <row r="170" ht="17.25" customHeight="1" spans="1:9" x14ac:dyDescent="0.25">
      <c r="A170" s="220">
        <v>178</v>
      </c>
      <c r="B170" s="221" t="s">
        <v>648</v>
      </c>
      <c r="C170" s="222" t="s">
        <v>649</v>
      </c>
      <c r="D170" s="221" t="s">
        <v>573</v>
      </c>
      <c r="E170" s="221" t="s">
        <v>27</v>
      </c>
      <c r="F170" s="223">
        <v>0</v>
      </c>
      <c r="G170" s="221" t="s">
        <v>48</v>
      </c>
      <c r="H170" s="221" t="s">
        <v>48</v>
      </c>
      <c r="I170" s="224"/>
    </row>
    <row r="171" ht="17.25" customHeight="1" spans="1:9" x14ac:dyDescent="0.25">
      <c r="A171" s="220">
        <v>179</v>
      </c>
      <c r="B171" s="221" t="s">
        <v>650</v>
      </c>
      <c r="C171" s="222" t="s">
        <v>651</v>
      </c>
      <c r="D171" s="221" t="s">
        <v>573</v>
      </c>
      <c r="E171" s="221" t="s">
        <v>27</v>
      </c>
      <c r="F171" s="223">
        <v>0</v>
      </c>
      <c r="G171" s="221" t="s">
        <v>48</v>
      </c>
      <c r="H171" s="221" t="s">
        <v>48</v>
      </c>
      <c r="I171" s="224"/>
    </row>
    <row r="172" ht="17.25" customHeight="1" spans="1:9" x14ac:dyDescent="0.25">
      <c r="A172" s="220">
        <v>180</v>
      </c>
      <c r="B172" s="221" t="s">
        <v>652</v>
      </c>
      <c r="C172" s="222" t="s">
        <v>653</v>
      </c>
      <c r="D172" s="221" t="s">
        <v>573</v>
      </c>
      <c r="E172" s="221" t="s">
        <v>27</v>
      </c>
      <c r="F172" s="223">
        <v>0</v>
      </c>
      <c r="G172" s="221" t="s">
        <v>48</v>
      </c>
      <c r="H172" s="221" t="s">
        <v>48</v>
      </c>
      <c r="I172" s="224"/>
    </row>
    <row r="173" ht="17.25" customHeight="1" spans="1:9" x14ac:dyDescent="0.25">
      <c r="A173" s="220">
        <v>181</v>
      </c>
      <c r="B173" s="221" t="s">
        <v>654</v>
      </c>
      <c r="C173" s="222" t="s">
        <v>655</v>
      </c>
      <c r="D173" s="221" t="s">
        <v>573</v>
      </c>
      <c r="E173" s="221" t="s">
        <v>27</v>
      </c>
      <c r="F173" s="223">
        <v>0</v>
      </c>
      <c r="G173" s="221" t="s">
        <v>48</v>
      </c>
      <c r="H173" s="221" t="s">
        <v>48</v>
      </c>
      <c r="I173" s="222" t="s">
        <v>656</v>
      </c>
    </row>
    <row r="174" ht="17.25" customHeight="1" spans="1:9" x14ac:dyDescent="0.25">
      <c r="A174" s="220">
        <v>182</v>
      </c>
      <c r="B174" s="221" t="s">
        <v>657</v>
      </c>
      <c r="C174" s="222" t="s">
        <v>658</v>
      </c>
      <c r="D174" s="221" t="s">
        <v>573</v>
      </c>
      <c r="E174" s="221" t="s">
        <v>27</v>
      </c>
      <c r="F174" s="223">
        <v>0</v>
      </c>
      <c r="G174" s="221" t="s">
        <v>48</v>
      </c>
      <c r="H174" s="221" t="s">
        <v>48</v>
      </c>
      <c r="I174" s="224"/>
    </row>
    <row r="175" ht="17.25" customHeight="1" spans="1:9" x14ac:dyDescent="0.25">
      <c r="A175" s="220">
        <v>183</v>
      </c>
      <c r="B175" s="221" t="s">
        <v>659</v>
      </c>
      <c r="C175" s="222" t="s">
        <v>660</v>
      </c>
      <c r="D175" s="221" t="s">
        <v>573</v>
      </c>
      <c r="E175" s="221" t="s">
        <v>27</v>
      </c>
      <c r="F175" s="223">
        <v>0</v>
      </c>
      <c r="G175" s="221" t="s">
        <v>48</v>
      </c>
      <c r="H175" s="221" t="s">
        <v>48</v>
      </c>
      <c r="I175" s="224"/>
    </row>
    <row r="176" ht="17.25" customHeight="1" spans="1:9" x14ac:dyDescent="0.25">
      <c r="A176" s="220">
        <v>184</v>
      </c>
      <c r="B176" s="221" t="s">
        <v>661</v>
      </c>
      <c r="C176" s="222" t="s">
        <v>662</v>
      </c>
      <c r="D176" s="221" t="s">
        <v>573</v>
      </c>
      <c r="E176" s="221" t="s">
        <v>27</v>
      </c>
      <c r="F176" s="223">
        <v>0</v>
      </c>
      <c r="G176" s="221" t="s">
        <v>48</v>
      </c>
      <c r="H176" s="221" t="s">
        <v>48</v>
      </c>
      <c r="I176" s="224"/>
    </row>
    <row r="177" ht="17.25" customHeight="1" spans="1:9" x14ac:dyDescent="0.25">
      <c r="A177" s="220">
        <v>185</v>
      </c>
      <c r="B177" s="221" t="s">
        <v>663</v>
      </c>
      <c r="C177" s="222" t="s">
        <v>664</v>
      </c>
      <c r="D177" s="221" t="s">
        <v>573</v>
      </c>
      <c r="E177" s="221" t="s">
        <v>27</v>
      </c>
      <c r="F177" s="223">
        <v>0</v>
      </c>
      <c r="G177" s="221" t="s">
        <v>48</v>
      </c>
      <c r="H177" s="221" t="s">
        <v>48</v>
      </c>
      <c r="I177" s="224"/>
    </row>
    <row r="178" ht="17.25" customHeight="1" spans="1:9" x14ac:dyDescent="0.25">
      <c r="A178" s="220">
        <v>186</v>
      </c>
      <c r="B178" s="221" t="s">
        <v>665</v>
      </c>
      <c r="C178" s="222" t="s">
        <v>666</v>
      </c>
      <c r="D178" s="221" t="s">
        <v>573</v>
      </c>
      <c r="E178" s="221" t="s">
        <v>27</v>
      </c>
      <c r="F178" s="223">
        <v>0</v>
      </c>
      <c r="G178" s="221" t="s">
        <v>48</v>
      </c>
      <c r="H178" s="221" t="s">
        <v>48</v>
      </c>
      <c r="I178" s="224"/>
    </row>
    <row r="179" ht="17.25" customHeight="1" spans="1:9" x14ac:dyDescent="0.25">
      <c r="A179" s="220">
        <v>187</v>
      </c>
      <c r="B179" s="221" t="s">
        <v>667</v>
      </c>
      <c r="C179" s="222" t="s">
        <v>668</v>
      </c>
      <c r="D179" s="221" t="s">
        <v>573</v>
      </c>
      <c r="E179" s="221" t="s">
        <v>27</v>
      </c>
      <c r="F179" s="223">
        <v>0</v>
      </c>
      <c r="G179" s="221" t="s">
        <v>48</v>
      </c>
      <c r="H179" s="221" t="s">
        <v>48</v>
      </c>
      <c r="I179" s="224"/>
    </row>
    <row r="180" ht="17.25" customHeight="1" spans="1:9" x14ac:dyDescent="0.25">
      <c r="A180" s="220">
        <v>188</v>
      </c>
      <c r="B180" s="221" t="s">
        <v>669</v>
      </c>
      <c r="C180" s="222" t="s">
        <v>670</v>
      </c>
      <c r="D180" s="221" t="s">
        <v>573</v>
      </c>
      <c r="E180" s="221" t="s">
        <v>27</v>
      </c>
      <c r="F180" s="223">
        <v>0</v>
      </c>
      <c r="G180" s="221" t="s">
        <v>48</v>
      </c>
      <c r="H180" s="221" t="s">
        <v>48</v>
      </c>
      <c r="I180" s="224"/>
    </row>
    <row r="181" ht="17.25" customHeight="1" spans="1:9" x14ac:dyDescent="0.25">
      <c r="A181" s="220">
        <v>189</v>
      </c>
      <c r="B181" s="221" t="s">
        <v>671</v>
      </c>
      <c r="C181" s="222" t="s">
        <v>672</v>
      </c>
      <c r="D181" s="221" t="s">
        <v>573</v>
      </c>
      <c r="E181" s="221" t="s">
        <v>27</v>
      </c>
      <c r="F181" s="223">
        <v>0</v>
      </c>
      <c r="G181" s="221" t="s">
        <v>48</v>
      </c>
      <c r="H181" s="221" t="s">
        <v>48</v>
      </c>
      <c r="I181" s="224"/>
    </row>
    <row r="182" ht="17.25" customHeight="1" spans="1:9" x14ac:dyDescent="0.25">
      <c r="A182" s="220">
        <v>190</v>
      </c>
      <c r="B182" s="221" t="s">
        <v>673</v>
      </c>
      <c r="C182" s="222" t="s">
        <v>674</v>
      </c>
      <c r="D182" s="221" t="s">
        <v>573</v>
      </c>
      <c r="E182" s="221" t="s">
        <v>27</v>
      </c>
      <c r="F182" s="223">
        <v>0</v>
      </c>
      <c r="G182" s="221" t="s">
        <v>48</v>
      </c>
      <c r="H182" s="221" t="s">
        <v>48</v>
      </c>
      <c r="I182" s="224"/>
    </row>
    <row r="183" ht="17.25" customHeight="1" spans="1:9" x14ac:dyDescent="0.25">
      <c r="A183" s="220">
        <v>191</v>
      </c>
      <c r="B183" s="221" t="s">
        <v>675</v>
      </c>
      <c r="C183" s="222" t="s">
        <v>676</v>
      </c>
      <c r="D183" s="221" t="s">
        <v>573</v>
      </c>
      <c r="E183" s="221" t="s">
        <v>27</v>
      </c>
      <c r="F183" s="223">
        <v>0</v>
      </c>
      <c r="G183" s="221" t="s">
        <v>48</v>
      </c>
      <c r="H183" s="221" t="s">
        <v>48</v>
      </c>
      <c r="I183" s="224"/>
    </row>
    <row r="184" ht="17.25" customHeight="1" spans="1:9" x14ac:dyDescent="0.25">
      <c r="A184" s="220">
        <v>192</v>
      </c>
      <c r="B184" s="221" t="s">
        <v>677</v>
      </c>
      <c r="C184" s="222" t="s">
        <v>678</v>
      </c>
      <c r="D184" s="221" t="s">
        <v>573</v>
      </c>
      <c r="E184" s="221" t="s">
        <v>27</v>
      </c>
      <c r="F184" s="223">
        <v>0</v>
      </c>
      <c r="G184" s="221" t="s">
        <v>48</v>
      </c>
      <c r="H184" s="221" t="s">
        <v>48</v>
      </c>
      <c r="I184" s="224"/>
    </row>
    <row r="185" ht="17.25" customHeight="1" spans="1:9" x14ac:dyDescent="0.25">
      <c r="A185" s="220">
        <v>193</v>
      </c>
      <c r="B185" s="221" t="s">
        <v>679</v>
      </c>
      <c r="C185" s="222" t="s">
        <v>680</v>
      </c>
      <c r="D185" s="221" t="s">
        <v>573</v>
      </c>
      <c r="E185" s="221" t="s">
        <v>27</v>
      </c>
      <c r="F185" s="223">
        <v>0</v>
      </c>
      <c r="G185" s="221" t="s">
        <v>48</v>
      </c>
      <c r="H185" s="221" t="s">
        <v>48</v>
      </c>
      <c r="I185" s="224"/>
    </row>
    <row r="186" ht="17.25" customHeight="1" spans="1:9" x14ac:dyDescent="0.25">
      <c r="A186" s="220">
        <v>194</v>
      </c>
      <c r="B186" s="221" t="s">
        <v>681</v>
      </c>
      <c r="C186" s="222" t="s">
        <v>682</v>
      </c>
      <c r="D186" s="221" t="s">
        <v>573</v>
      </c>
      <c r="E186" s="221" t="s">
        <v>27</v>
      </c>
      <c r="F186" s="223">
        <v>0</v>
      </c>
      <c r="G186" s="221" t="s">
        <v>48</v>
      </c>
      <c r="H186" s="221" t="s">
        <v>48</v>
      </c>
      <c r="I186" s="224"/>
    </row>
    <row r="187" ht="17.25" customHeight="1" spans="1:9" x14ac:dyDescent="0.25">
      <c r="A187" s="220">
        <v>195</v>
      </c>
      <c r="B187" s="221" t="s">
        <v>683</v>
      </c>
      <c r="C187" s="222" t="s">
        <v>684</v>
      </c>
      <c r="D187" s="221" t="s">
        <v>573</v>
      </c>
      <c r="E187" s="221" t="s">
        <v>27</v>
      </c>
      <c r="F187" s="223">
        <v>0</v>
      </c>
      <c r="G187" s="221" t="s">
        <v>48</v>
      </c>
      <c r="H187" s="221" t="s">
        <v>48</v>
      </c>
      <c r="I187" s="222"/>
    </row>
    <row r="188" ht="17.25" customHeight="1" spans="1:9" x14ac:dyDescent="0.25">
      <c r="A188" s="220">
        <v>197</v>
      </c>
      <c r="B188" s="221" t="s">
        <v>685</v>
      </c>
      <c r="C188" s="222" t="s">
        <v>686</v>
      </c>
      <c r="D188" s="221" t="s">
        <v>687</v>
      </c>
      <c r="E188" s="221" t="s">
        <v>27</v>
      </c>
      <c r="F188" s="223">
        <v>0</v>
      </c>
      <c r="G188" s="221"/>
      <c r="H188" s="221"/>
      <c r="I188" s="224"/>
    </row>
    <row r="189" ht="17.25" customHeight="1" spans="1:9" x14ac:dyDescent="0.25">
      <c r="A189" s="220">
        <v>198</v>
      </c>
      <c r="B189" s="221" t="s">
        <v>688</v>
      </c>
      <c r="C189" s="222" t="s">
        <v>689</v>
      </c>
      <c r="D189" s="221" t="s">
        <v>687</v>
      </c>
      <c r="E189" s="221" t="s">
        <v>27</v>
      </c>
      <c r="F189" s="223">
        <v>0</v>
      </c>
      <c r="G189" s="221"/>
      <c r="H189" s="221"/>
      <c r="I189" s="224"/>
    </row>
    <row r="190" ht="17.25" customHeight="1" spans="1:9" x14ac:dyDescent="0.25">
      <c r="A190" s="220">
        <v>199</v>
      </c>
      <c r="B190" s="221" t="s">
        <v>690</v>
      </c>
      <c r="C190" s="222" t="s">
        <v>691</v>
      </c>
      <c r="D190" s="221" t="s">
        <v>687</v>
      </c>
      <c r="E190" s="221" t="s">
        <v>27</v>
      </c>
      <c r="F190" s="223">
        <v>0</v>
      </c>
      <c r="G190" s="221"/>
      <c r="H190" s="221"/>
      <c r="I190" s="224"/>
    </row>
    <row r="191" ht="17.25" customHeight="1" spans="1:9" x14ac:dyDescent="0.25">
      <c r="A191" s="220">
        <v>200</v>
      </c>
      <c r="B191" s="221" t="s">
        <v>692</v>
      </c>
      <c r="C191" s="222" t="s">
        <v>693</v>
      </c>
      <c r="D191" s="221" t="s">
        <v>687</v>
      </c>
      <c r="E191" s="221" t="s">
        <v>27</v>
      </c>
      <c r="F191" s="223">
        <v>0</v>
      </c>
      <c r="G191" s="221"/>
      <c r="H191" s="221"/>
      <c r="I191" s="224"/>
    </row>
    <row r="192" ht="17.25" customHeight="1" spans="1:9" x14ac:dyDescent="0.25">
      <c r="A192" s="220">
        <v>201</v>
      </c>
      <c r="B192" s="221" t="s">
        <v>694</v>
      </c>
      <c r="C192" s="222" t="s">
        <v>695</v>
      </c>
      <c r="D192" s="221" t="s">
        <v>687</v>
      </c>
      <c r="E192" s="221" t="s">
        <v>27</v>
      </c>
      <c r="F192" s="223">
        <v>0</v>
      </c>
      <c r="G192" s="221"/>
      <c r="H192" s="221"/>
      <c r="I192" s="224"/>
    </row>
    <row r="193" ht="17.25" customHeight="1" spans="1:9" x14ac:dyDescent="0.25">
      <c r="A193" s="220">
        <v>202</v>
      </c>
      <c r="B193" s="221" t="s">
        <v>696</v>
      </c>
      <c r="C193" s="222" t="s">
        <v>697</v>
      </c>
      <c r="D193" s="221" t="s">
        <v>687</v>
      </c>
      <c r="E193" s="221" t="s">
        <v>27</v>
      </c>
      <c r="F193" s="223">
        <v>0</v>
      </c>
      <c r="G193" s="221"/>
      <c r="H193" s="221"/>
      <c r="I193" s="224"/>
    </row>
    <row r="194" ht="17.25" customHeight="1" spans="1:9" x14ac:dyDescent="0.25">
      <c r="A194" s="220">
        <v>203</v>
      </c>
      <c r="B194" s="221" t="s">
        <v>698</v>
      </c>
      <c r="C194" s="222" t="s">
        <v>699</v>
      </c>
      <c r="D194" s="221" t="s">
        <v>687</v>
      </c>
      <c r="E194" s="221" t="s">
        <v>27</v>
      </c>
      <c r="F194" s="223">
        <v>0</v>
      </c>
      <c r="G194" s="221"/>
      <c r="H194" s="221"/>
      <c r="I194" s="224"/>
    </row>
    <row r="195" ht="17.25" customHeight="1" spans="1:9" x14ac:dyDescent="0.25">
      <c r="A195" s="220">
        <v>204</v>
      </c>
      <c r="B195" s="221" t="s">
        <v>700</v>
      </c>
      <c r="C195" s="222" t="s">
        <v>701</v>
      </c>
      <c r="D195" s="221" t="s">
        <v>687</v>
      </c>
      <c r="E195" s="221" t="s">
        <v>27</v>
      </c>
      <c r="F195" s="223">
        <v>0</v>
      </c>
      <c r="G195" s="221"/>
      <c r="H195" s="221"/>
      <c r="I195" s="224"/>
    </row>
    <row r="196" ht="17.25" customHeight="1" spans="1:9" x14ac:dyDescent="0.25">
      <c r="A196" s="220">
        <v>205</v>
      </c>
      <c r="B196" s="221" t="s">
        <v>702</v>
      </c>
      <c r="C196" s="222" t="s">
        <v>703</v>
      </c>
      <c r="D196" s="221" t="s">
        <v>687</v>
      </c>
      <c r="E196" s="221" t="s">
        <v>27</v>
      </c>
      <c r="F196" s="223">
        <v>0</v>
      </c>
      <c r="G196" s="221"/>
      <c r="H196" s="221"/>
      <c r="I196" s="224"/>
    </row>
    <row r="197" ht="17.25" customHeight="1" spans="1:9" x14ac:dyDescent="0.25">
      <c r="A197" s="220">
        <v>206</v>
      </c>
      <c r="B197" s="221" t="s">
        <v>704</v>
      </c>
      <c r="C197" s="222" t="s">
        <v>705</v>
      </c>
      <c r="D197" s="221" t="s">
        <v>687</v>
      </c>
      <c r="E197" s="221" t="s">
        <v>27</v>
      </c>
      <c r="F197" s="223">
        <v>0</v>
      </c>
      <c r="G197" s="221"/>
      <c r="H197" s="221"/>
      <c r="I197" s="224"/>
    </row>
    <row r="198" ht="17.25" customHeight="1" spans="1:9" x14ac:dyDescent="0.25">
      <c r="A198" s="220">
        <v>207</v>
      </c>
      <c r="B198" s="221" t="s">
        <v>706</v>
      </c>
      <c r="C198" s="222" t="s">
        <v>707</v>
      </c>
      <c r="D198" s="221" t="s">
        <v>687</v>
      </c>
      <c r="E198" s="221" t="s">
        <v>27</v>
      </c>
      <c r="F198" s="223">
        <v>0</v>
      </c>
      <c r="G198" s="221"/>
      <c r="H198" s="221"/>
      <c r="I198" s="224"/>
    </row>
    <row r="199" ht="17.25" customHeight="1" spans="1:9" x14ac:dyDescent="0.25">
      <c r="A199" s="220">
        <v>208</v>
      </c>
      <c r="B199" s="221" t="s">
        <v>708</v>
      </c>
      <c r="C199" s="222" t="s">
        <v>709</v>
      </c>
      <c r="D199" s="221" t="s">
        <v>687</v>
      </c>
      <c r="E199" s="221" t="s">
        <v>27</v>
      </c>
      <c r="F199" s="223">
        <v>0</v>
      </c>
      <c r="G199" s="221"/>
      <c r="H199" s="221"/>
      <c r="I199" s="224"/>
    </row>
    <row r="200" ht="17.25" customHeight="1" spans="1:9" x14ac:dyDescent="0.25">
      <c r="A200" s="220">
        <v>209</v>
      </c>
      <c r="B200" s="221" t="s">
        <v>710</v>
      </c>
      <c r="C200" s="222" t="s">
        <v>711</v>
      </c>
      <c r="D200" s="221" t="s">
        <v>687</v>
      </c>
      <c r="E200" s="221" t="s">
        <v>27</v>
      </c>
      <c r="F200" s="223">
        <v>0</v>
      </c>
      <c r="G200" s="221" t="s">
        <v>48</v>
      </c>
      <c r="H200" s="221" t="s">
        <v>48</v>
      </c>
      <c r="I200" s="224"/>
    </row>
    <row r="201" ht="17.25" customHeight="1" spans="1:9" x14ac:dyDescent="0.25">
      <c r="A201" s="220">
        <v>210</v>
      </c>
      <c r="B201" s="221" t="s">
        <v>712</v>
      </c>
      <c r="C201" s="222" t="s">
        <v>713</v>
      </c>
      <c r="D201" s="221" t="s">
        <v>687</v>
      </c>
      <c r="E201" s="221" t="s">
        <v>27</v>
      </c>
      <c r="F201" s="223">
        <v>0</v>
      </c>
      <c r="G201" s="221"/>
      <c r="H201" s="221"/>
      <c r="I201" s="224"/>
    </row>
    <row r="202" ht="17.25" customHeight="1" spans="1:9" x14ac:dyDescent="0.25">
      <c r="A202" s="220">
        <v>211</v>
      </c>
      <c r="B202" s="221" t="s">
        <v>714</v>
      </c>
      <c r="C202" s="222" t="s">
        <v>715</v>
      </c>
      <c r="D202" s="221" t="s">
        <v>687</v>
      </c>
      <c r="E202" s="221" t="s">
        <v>27</v>
      </c>
      <c r="F202" s="223">
        <v>0</v>
      </c>
      <c r="G202" s="221"/>
      <c r="H202" s="221"/>
      <c r="I202" s="224"/>
    </row>
    <row r="203" ht="17.25" customHeight="1" spans="1:9" x14ac:dyDescent="0.25">
      <c r="A203" s="220">
        <v>212</v>
      </c>
      <c r="B203" s="221" t="s">
        <v>716</v>
      </c>
      <c r="C203" s="222" t="s">
        <v>717</v>
      </c>
      <c r="D203" s="221" t="s">
        <v>687</v>
      </c>
      <c r="E203" s="221" t="s">
        <v>27</v>
      </c>
      <c r="F203" s="223">
        <v>0</v>
      </c>
      <c r="G203" s="221"/>
      <c r="H203" s="221"/>
      <c r="I203" s="224"/>
    </row>
    <row r="204" ht="17.25" customHeight="1" spans="1:9" x14ac:dyDescent="0.25">
      <c r="A204" s="220">
        <v>213</v>
      </c>
      <c r="B204" s="221" t="s">
        <v>718</v>
      </c>
      <c r="C204" s="222" t="s">
        <v>719</v>
      </c>
      <c r="D204" s="221" t="s">
        <v>687</v>
      </c>
      <c r="E204" s="221" t="s">
        <v>27</v>
      </c>
      <c r="F204" s="223">
        <v>0</v>
      </c>
      <c r="G204" s="221"/>
      <c r="H204" s="221"/>
      <c r="I204" s="224"/>
    </row>
    <row r="205" ht="17.25" customHeight="1" spans="1:9" x14ac:dyDescent="0.25">
      <c r="A205" s="220">
        <v>214</v>
      </c>
      <c r="B205" s="221" t="s">
        <v>720</v>
      </c>
      <c r="C205" s="222" t="s">
        <v>721</v>
      </c>
      <c r="D205" s="221" t="s">
        <v>687</v>
      </c>
      <c r="E205" s="221" t="s">
        <v>27</v>
      </c>
      <c r="F205" s="223">
        <v>0</v>
      </c>
      <c r="G205" s="221"/>
      <c r="H205" s="221"/>
      <c r="I205" s="224"/>
    </row>
    <row r="206" ht="17.25" customHeight="1" spans="1:9" x14ac:dyDescent="0.25">
      <c r="A206" s="220">
        <v>215</v>
      </c>
      <c r="B206" s="221" t="s">
        <v>722</v>
      </c>
      <c r="C206" s="222" t="s">
        <v>723</v>
      </c>
      <c r="D206" s="221" t="s">
        <v>687</v>
      </c>
      <c r="E206" s="221" t="s">
        <v>27</v>
      </c>
      <c r="F206" s="223">
        <v>0</v>
      </c>
      <c r="G206" s="221"/>
      <c r="H206" s="221"/>
      <c r="I206" s="224"/>
    </row>
    <row r="207" ht="17.25" customHeight="1" spans="1:9" x14ac:dyDescent="0.25">
      <c r="A207" s="220">
        <v>216</v>
      </c>
      <c r="B207" s="221" t="s">
        <v>724</v>
      </c>
      <c r="C207" s="222" t="s">
        <v>725</v>
      </c>
      <c r="D207" s="221" t="s">
        <v>687</v>
      </c>
      <c r="E207" s="221" t="s">
        <v>27</v>
      </c>
      <c r="F207" s="223">
        <v>0</v>
      </c>
      <c r="G207" s="221"/>
      <c r="H207" s="221"/>
      <c r="I207" s="224"/>
    </row>
    <row r="208" ht="17.25" customHeight="1" spans="1:9" x14ac:dyDescent="0.25">
      <c r="A208" s="220">
        <v>217</v>
      </c>
      <c r="B208" s="221" t="s">
        <v>726</v>
      </c>
      <c r="C208" s="222" t="s">
        <v>727</v>
      </c>
      <c r="D208" s="221" t="s">
        <v>687</v>
      </c>
      <c r="E208" s="221" t="s">
        <v>27</v>
      </c>
      <c r="F208" s="223">
        <v>0</v>
      </c>
      <c r="G208" s="221"/>
      <c r="H208" s="221"/>
      <c r="I208" s="224"/>
    </row>
    <row r="209" ht="17.25" customHeight="1" spans="1:9" x14ac:dyDescent="0.25">
      <c r="A209" s="220">
        <v>218</v>
      </c>
      <c r="B209" s="221" t="s">
        <v>728</v>
      </c>
      <c r="C209" s="222" t="s">
        <v>729</v>
      </c>
      <c r="D209" s="221" t="s">
        <v>687</v>
      </c>
      <c r="E209" s="221" t="s">
        <v>27</v>
      </c>
      <c r="F209" s="223">
        <v>0</v>
      </c>
      <c r="G209" s="221"/>
      <c r="H209" s="221"/>
      <c r="I209" s="224"/>
    </row>
    <row r="210" ht="17.25" customHeight="1" spans="1:9" x14ac:dyDescent="0.25">
      <c r="A210" s="220">
        <v>219</v>
      </c>
      <c r="B210" s="221" t="s">
        <v>730</v>
      </c>
      <c r="C210" s="222" t="s">
        <v>731</v>
      </c>
      <c r="D210" s="221" t="s">
        <v>687</v>
      </c>
      <c r="E210" s="221" t="s">
        <v>27</v>
      </c>
      <c r="F210" s="223">
        <v>0</v>
      </c>
      <c r="G210" s="221"/>
      <c r="H210" s="221"/>
      <c r="I210" s="224"/>
    </row>
    <row r="211" ht="17.25" customHeight="1" spans="1:9" x14ac:dyDescent="0.25">
      <c r="A211" s="220">
        <v>220</v>
      </c>
      <c r="B211" s="221" t="s">
        <v>732</v>
      </c>
      <c r="C211" s="222" t="s">
        <v>733</v>
      </c>
      <c r="D211" s="221" t="s">
        <v>687</v>
      </c>
      <c r="E211" s="221" t="s">
        <v>27</v>
      </c>
      <c r="F211" s="223">
        <v>0</v>
      </c>
      <c r="G211" s="221"/>
      <c r="H211" s="221"/>
      <c r="I211" s="224"/>
    </row>
    <row r="212" ht="17.25" customHeight="1" spans="1:9" x14ac:dyDescent="0.25">
      <c r="A212" s="220">
        <v>221</v>
      </c>
      <c r="B212" s="221" t="s">
        <v>734</v>
      </c>
      <c r="C212" s="222" t="s">
        <v>735</v>
      </c>
      <c r="D212" s="221" t="s">
        <v>687</v>
      </c>
      <c r="E212" s="221" t="s">
        <v>27</v>
      </c>
      <c r="F212" s="223">
        <v>0</v>
      </c>
      <c r="G212" s="221"/>
      <c r="H212" s="221"/>
      <c r="I212" s="224"/>
    </row>
    <row r="213" ht="17.25" customHeight="1" spans="1:9" x14ac:dyDescent="0.25">
      <c r="A213" s="220">
        <v>222</v>
      </c>
      <c r="B213" s="221" t="s">
        <v>736</v>
      </c>
      <c r="C213" s="222" t="s">
        <v>737</v>
      </c>
      <c r="D213" s="221" t="s">
        <v>687</v>
      </c>
      <c r="E213" s="221" t="s">
        <v>27</v>
      </c>
      <c r="F213" s="223">
        <v>0</v>
      </c>
      <c r="G213" s="221"/>
      <c r="H213" s="221"/>
      <c r="I213" s="224"/>
    </row>
    <row r="214" ht="17.25" customHeight="1" spans="1:9" x14ac:dyDescent="0.25">
      <c r="A214" s="220">
        <v>223</v>
      </c>
      <c r="B214" s="221" t="s">
        <v>738</v>
      </c>
      <c r="C214" s="222" t="s">
        <v>739</v>
      </c>
      <c r="D214" s="221" t="s">
        <v>687</v>
      </c>
      <c r="E214" s="221" t="s">
        <v>27</v>
      </c>
      <c r="F214" s="223">
        <v>0</v>
      </c>
      <c r="G214" s="221"/>
      <c r="H214" s="221"/>
      <c r="I214" s="224"/>
    </row>
    <row r="215" ht="17.25" customHeight="1" spans="1:9" x14ac:dyDescent="0.25">
      <c r="A215" s="220">
        <v>224</v>
      </c>
      <c r="B215" s="221" t="s">
        <v>740</v>
      </c>
      <c r="C215" s="222" t="s">
        <v>741</v>
      </c>
      <c r="D215" s="221" t="s">
        <v>687</v>
      </c>
      <c r="E215" s="221" t="s">
        <v>27</v>
      </c>
      <c r="F215" s="223">
        <v>0</v>
      </c>
      <c r="G215" s="221"/>
      <c r="H215" s="221"/>
      <c r="I215" s="224"/>
    </row>
    <row r="216" ht="17.25" customHeight="1" spans="1:9" x14ac:dyDescent="0.25">
      <c r="A216" s="220">
        <v>225</v>
      </c>
      <c r="B216" s="221" t="s">
        <v>742</v>
      </c>
      <c r="C216" s="222" t="s">
        <v>743</v>
      </c>
      <c r="D216" s="221" t="s">
        <v>687</v>
      </c>
      <c r="E216" s="221" t="s">
        <v>27</v>
      </c>
      <c r="F216" s="223">
        <v>0</v>
      </c>
      <c r="G216" s="221"/>
      <c r="H216" s="221"/>
      <c r="I216" s="224"/>
    </row>
    <row r="217" ht="17.25" customHeight="1" spans="1:9" x14ac:dyDescent="0.25">
      <c r="A217" s="220">
        <v>226</v>
      </c>
      <c r="B217" s="221" t="s">
        <v>744</v>
      </c>
      <c r="C217" s="222" t="s">
        <v>745</v>
      </c>
      <c r="D217" s="221" t="s">
        <v>746</v>
      </c>
      <c r="E217" s="221" t="s">
        <v>27</v>
      </c>
      <c r="F217" s="223">
        <v>0</v>
      </c>
      <c r="G217" s="221" t="s">
        <v>48</v>
      </c>
      <c r="H217" s="221" t="s">
        <v>48</v>
      </c>
      <c r="I217" s="222" t="s">
        <v>747</v>
      </c>
    </row>
    <row r="218" ht="17.25" customHeight="1" spans="1:9" x14ac:dyDescent="0.25">
      <c r="A218" s="220">
        <v>227</v>
      </c>
      <c r="B218" s="221" t="s">
        <v>748</v>
      </c>
      <c r="C218" s="222" t="s">
        <v>749</v>
      </c>
      <c r="D218" s="221" t="s">
        <v>746</v>
      </c>
      <c r="E218" s="221" t="s">
        <v>27</v>
      </c>
      <c r="F218" s="223">
        <v>0</v>
      </c>
      <c r="G218" s="221" t="s">
        <v>48</v>
      </c>
      <c r="H218" s="221" t="s">
        <v>48</v>
      </c>
      <c r="I218" s="222" t="s">
        <v>747</v>
      </c>
    </row>
    <row r="219" ht="17.25" customHeight="1" spans="1:9" x14ac:dyDescent="0.25">
      <c r="A219" s="220">
        <v>228</v>
      </c>
      <c r="B219" s="221" t="s">
        <v>750</v>
      </c>
      <c r="C219" s="222" t="s">
        <v>751</v>
      </c>
      <c r="D219" s="221" t="s">
        <v>746</v>
      </c>
      <c r="E219" s="221" t="s">
        <v>27</v>
      </c>
      <c r="F219" s="223">
        <v>0</v>
      </c>
      <c r="G219" s="221" t="s">
        <v>48</v>
      </c>
      <c r="H219" s="221" t="s">
        <v>48</v>
      </c>
      <c r="I219" s="222" t="s">
        <v>752</v>
      </c>
    </row>
    <row r="220" ht="17.25" customHeight="1" spans="1:9" x14ac:dyDescent="0.25">
      <c r="A220" s="220">
        <v>230</v>
      </c>
      <c r="B220" s="221" t="s">
        <v>753</v>
      </c>
      <c r="C220" s="222" t="s">
        <v>754</v>
      </c>
      <c r="D220" s="221" t="s">
        <v>746</v>
      </c>
      <c r="E220" s="221" t="s">
        <v>27</v>
      </c>
      <c r="F220" s="223">
        <v>0</v>
      </c>
      <c r="G220" s="221" t="s">
        <v>48</v>
      </c>
      <c r="H220" s="221" t="s">
        <v>48</v>
      </c>
      <c r="I220" s="222" t="s">
        <v>755</v>
      </c>
    </row>
    <row r="221" ht="17.25" customHeight="1" spans="1:9" x14ac:dyDescent="0.25">
      <c r="A221" s="220">
        <v>231</v>
      </c>
      <c r="B221" s="221" t="s">
        <v>756</v>
      </c>
      <c r="C221" s="222" t="s">
        <v>757</v>
      </c>
      <c r="D221" s="221" t="s">
        <v>746</v>
      </c>
      <c r="E221" s="221" t="s">
        <v>27</v>
      </c>
      <c r="F221" s="223">
        <v>0</v>
      </c>
      <c r="G221" s="221" t="s">
        <v>48</v>
      </c>
      <c r="H221" s="221" t="s">
        <v>48</v>
      </c>
      <c r="I221" s="222" t="s">
        <v>747</v>
      </c>
    </row>
    <row r="222" ht="17.25" customHeight="1" spans="1:9" x14ac:dyDescent="0.25">
      <c r="A222" s="220">
        <v>232</v>
      </c>
      <c r="B222" s="221" t="s">
        <v>758</v>
      </c>
      <c r="C222" s="222" t="s">
        <v>759</v>
      </c>
      <c r="D222" s="221" t="s">
        <v>760</v>
      </c>
      <c r="E222" s="221" t="s">
        <v>27</v>
      </c>
      <c r="F222" s="223">
        <v>0</v>
      </c>
      <c r="G222" s="221"/>
      <c r="H222" s="221"/>
      <c r="I222" s="224"/>
    </row>
    <row r="223" ht="17.25" customHeight="1" spans="1:9" x14ac:dyDescent="0.25">
      <c r="A223" s="220">
        <v>233</v>
      </c>
      <c r="B223" s="221" t="s">
        <v>761</v>
      </c>
      <c r="C223" s="222" t="s">
        <v>762</v>
      </c>
      <c r="D223" s="221" t="s">
        <v>760</v>
      </c>
      <c r="E223" s="221" t="s">
        <v>27</v>
      </c>
      <c r="F223" s="223">
        <v>0</v>
      </c>
      <c r="G223" s="221" t="s">
        <v>48</v>
      </c>
      <c r="H223" s="221" t="s">
        <v>48</v>
      </c>
      <c r="I223" s="224"/>
    </row>
    <row r="224" ht="17.25" customHeight="1" spans="1:9" x14ac:dyDescent="0.25">
      <c r="A224" s="220">
        <v>234</v>
      </c>
      <c r="B224" s="221" t="s">
        <v>763</v>
      </c>
      <c r="C224" s="222" t="s">
        <v>764</v>
      </c>
      <c r="D224" s="221" t="s">
        <v>760</v>
      </c>
      <c r="E224" s="221" t="s">
        <v>27</v>
      </c>
      <c r="F224" s="223">
        <v>0</v>
      </c>
      <c r="G224" s="221" t="s">
        <v>48</v>
      </c>
      <c r="H224" s="221" t="s">
        <v>48</v>
      </c>
      <c r="I224" s="224"/>
    </row>
    <row r="225" ht="17.25" customHeight="1" spans="1:9" x14ac:dyDescent="0.25">
      <c r="A225" s="220">
        <v>235</v>
      </c>
      <c r="B225" s="221" t="s">
        <v>765</v>
      </c>
      <c r="C225" s="222" t="s">
        <v>766</v>
      </c>
      <c r="D225" s="221" t="s">
        <v>760</v>
      </c>
      <c r="E225" s="221" t="s">
        <v>27</v>
      </c>
      <c r="F225" s="223">
        <v>0</v>
      </c>
      <c r="G225" s="221" t="s">
        <v>48</v>
      </c>
      <c r="H225" s="221" t="s">
        <v>48</v>
      </c>
      <c r="I225" s="222"/>
    </row>
    <row r="226" ht="17.25" customHeight="1" spans="1:9" x14ac:dyDescent="0.25">
      <c r="A226" s="220">
        <v>236</v>
      </c>
      <c r="B226" s="221" t="s">
        <v>767</v>
      </c>
      <c r="C226" s="222" t="s">
        <v>768</v>
      </c>
      <c r="D226" s="221" t="s">
        <v>760</v>
      </c>
      <c r="E226" s="221" t="s">
        <v>27</v>
      </c>
      <c r="F226" s="223">
        <v>0</v>
      </c>
      <c r="G226" s="221" t="s">
        <v>48</v>
      </c>
      <c r="H226" s="221" t="s">
        <v>48</v>
      </c>
      <c r="I226" s="224"/>
    </row>
    <row r="227" ht="17.25" customHeight="1" spans="1:9" x14ac:dyDescent="0.25">
      <c r="A227" s="220">
        <v>237</v>
      </c>
      <c r="B227" s="221" t="s">
        <v>769</v>
      </c>
      <c r="C227" s="222" t="s">
        <v>770</v>
      </c>
      <c r="D227" s="221" t="s">
        <v>760</v>
      </c>
      <c r="E227" s="221" t="s">
        <v>27</v>
      </c>
      <c r="F227" s="223">
        <v>0</v>
      </c>
      <c r="G227" s="221" t="s">
        <v>48</v>
      </c>
      <c r="H227" s="221" t="s">
        <v>48</v>
      </c>
      <c r="I227" s="222"/>
    </row>
    <row r="228" ht="17.25" customHeight="1" spans="1:9" x14ac:dyDescent="0.25">
      <c r="A228" s="220">
        <v>238</v>
      </c>
      <c r="B228" s="221" t="s">
        <v>771</v>
      </c>
      <c r="C228" s="222" t="s">
        <v>772</v>
      </c>
      <c r="D228" s="221" t="s">
        <v>760</v>
      </c>
      <c r="E228" s="221" t="s">
        <v>27</v>
      </c>
      <c r="F228" s="223">
        <v>0</v>
      </c>
      <c r="G228" s="221" t="s">
        <v>48</v>
      </c>
      <c r="H228" s="221" t="s">
        <v>48</v>
      </c>
      <c r="I228" s="224"/>
    </row>
    <row r="229" ht="17.25" customHeight="1" spans="1:9" x14ac:dyDescent="0.25">
      <c r="A229" s="220">
        <v>239</v>
      </c>
      <c r="B229" s="221" t="s">
        <v>773</v>
      </c>
      <c r="C229" s="222" t="s">
        <v>774</v>
      </c>
      <c r="D229" s="221" t="s">
        <v>760</v>
      </c>
      <c r="E229" s="221" t="s">
        <v>27</v>
      </c>
      <c r="F229" s="223">
        <v>0</v>
      </c>
      <c r="G229" s="221" t="s">
        <v>48</v>
      </c>
      <c r="H229" s="221" t="s">
        <v>48</v>
      </c>
      <c r="I229" s="222"/>
    </row>
    <row r="230" ht="17.25" customHeight="1" spans="1:9" x14ac:dyDescent="0.25">
      <c r="A230" s="220">
        <v>240</v>
      </c>
      <c r="B230" s="221" t="s">
        <v>775</v>
      </c>
      <c r="C230" s="222" t="s">
        <v>776</v>
      </c>
      <c r="D230" s="221" t="s">
        <v>760</v>
      </c>
      <c r="E230" s="221" t="s">
        <v>27</v>
      </c>
      <c r="F230" s="223">
        <v>0</v>
      </c>
      <c r="G230" s="221" t="s">
        <v>48</v>
      </c>
      <c r="H230" s="221" t="s">
        <v>48</v>
      </c>
      <c r="I230" s="222"/>
    </row>
    <row r="231" ht="17.25" customHeight="1" spans="1:9" x14ac:dyDescent="0.25">
      <c r="A231" s="220">
        <v>241</v>
      </c>
      <c r="B231" s="221" t="s">
        <v>777</v>
      </c>
      <c r="C231" s="222" t="s">
        <v>778</v>
      </c>
      <c r="D231" s="221" t="s">
        <v>760</v>
      </c>
      <c r="E231" s="221" t="s">
        <v>27</v>
      </c>
      <c r="F231" s="223">
        <v>0</v>
      </c>
      <c r="G231" s="221" t="s">
        <v>48</v>
      </c>
      <c r="H231" s="221" t="s">
        <v>48</v>
      </c>
      <c r="I231" s="222"/>
    </row>
    <row r="232" ht="17.25" customHeight="1" spans="1:9" x14ac:dyDescent="0.25">
      <c r="A232" s="220">
        <v>244</v>
      </c>
      <c r="B232" s="221" t="s">
        <v>779</v>
      </c>
      <c r="C232" s="222" t="s">
        <v>780</v>
      </c>
      <c r="D232" s="221" t="s">
        <v>781</v>
      </c>
      <c r="E232" s="221" t="s">
        <v>27</v>
      </c>
      <c r="F232" s="223">
        <v>0</v>
      </c>
      <c r="G232" s="221"/>
      <c r="H232" s="221"/>
      <c r="I232" s="224"/>
    </row>
    <row r="233" ht="17.25" customHeight="1" spans="1:9" x14ac:dyDescent="0.25">
      <c r="A233" s="220">
        <v>245</v>
      </c>
      <c r="B233" s="221" t="s">
        <v>782</v>
      </c>
      <c r="C233" s="222" t="s">
        <v>783</v>
      </c>
      <c r="D233" s="221" t="s">
        <v>781</v>
      </c>
      <c r="E233" s="221" t="s">
        <v>27</v>
      </c>
      <c r="F233" s="223">
        <v>0</v>
      </c>
      <c r="G233" s="221"/>
      <c r="H233" s="221"/>
      <c r="I233" s="224"/>
    </row>
    <row r="234" ht="17.25" customHeight="1" spans="1:9" x14ac:dyDescent="0.25">
      <c r="A234" s="220">
        <v>246</v>
      </c>
      <c r="B234" s="221" t="s">
        <v>784</v>
      </c>
      <c r="C234" s="222" t="s">
        <v>785</v>
      </c>
      <c r="D234" s="221" t="s">
        <v>781</v>
      </c>
      <c r="E234" s="221" t="s">
        <v>27</v>
      </c>
      <c r="F234" s="223">
        <v>0</v>
      </c>
      <c r="G234" s="221"/>
      <c r="H234" s="221"/>
      <c r="I234" s="224"/>
    </row>
    <row r="235" ht="17.25" customHeight="1" spans="1:9" x14ac:dyDescent="0.25">
      <c r="A235" s="220">
        <v>247</v>
      </c>
      <c r="B235" s="221" t="s">
        <v>786</v>
      </c>
      <c r="C235" s="222" t="s">
        <v>787</v>
      </c>
      <c r="D235" s="221" t="s">
        <v>781</v>
      </c>
      <c r="E235" s="221" t="s">
        <v>27</v>
      </c>
      <c r="F235" s="223">
        <v>0</v>
      </c>
      <c r="G235" s="221"/>
      <c r="H235" s="221"/>
      <c r="I235" s="224"/>
    </row>
    <row r="236" ht="17.25" customHeight="1" spans="1:9" x14ac:dyDescent="0.25">
      <c r="A236" s="220">
        <v>248</v>
      </c>
      <c r="B236" s="221" t="s">
        <v>788</v>
      </c>
      <c r="C236" s="222" t="s">
        <v>789</v>
      </c>
      <c r="D236" s="221" t="s">
        <v>781</v>
      </c>
      <c r="E236" s="221" t="s">
        <v>27</v>
      </c>
      <c r="F236" s="223">
        <v>0</v>
      </c>
      <c r="G236" s="221"/>
      <c r="H236" s="221"/>
      <c r="I236" s="224"/>
    </row>
    <row r="237" ht="17.25" customHeight="1" spans="1:9" x14ac:dyDescent="0.25">
      <c r="A237" s="220">
        <v>249</v>
      </c>
      <c r="B237" s="221" t="s">
        <v>790</v>
      </c>
      <c r="C237" s="222" t="s">
        <v>791</v>
      </c>
      <c r="D237" s="221" t="s">
        <v>781</v>
      </c>
      <c r="E237" s="221" t="s">
        <v>27</v>
      </c>
      <c r="F237" s="223">
        <v>0</v>
      </c>
      <c r="G237" s="221"/>
      <c r="H237" s="221"/>
      <c r="I237" s="224"/>
    </row>
    <row r="238" ht="17.25" customHeight="1" spans="1:9" x14ac:dyDescent="0.25">
      <c r="A238" s="220">
        <v>250</v>
      </c>
      <c r="B238" s="221" t="s">
        <v>792</v>
      </c>
      <c r="C238" s="222" t="s">
        <v>793</v>
      </c>
      <c r="D238" s="221" t="s">
        <v>781</v>
      </c>
      <c r="E238" s="221" t="s">
        <v>27</v>
      </c>
      <c r="F238" s="223">
        <v>0</v>
      </c>
      <c r="G238" s="221"/>
      <c r="H238" s="221"/>
      <c r="I238" s="224"/>
    </row>
    <row r="239" ht="17.25" customHeight="1" spans="1:9" x14ac:dyDescent="0.25">
      <c r="A239" s="220">
        <v>251</v>
      </c>
      <c r="B239" s="221" t="s">
        <v>794</v>
      </c>
      <c r="C239" s="222" t="s">
        <v>795</v>
      </c>
      <c r="D239" s="221" t="s">
        <v>796</v>
      </c>
      <c r="E239" s="221" t="s">
        <v>28</v>
      </c>
      <c r="F239" s="223">
        <v>16800</v>
      </c>
      <c r="G239" s="221" t="s">
        <v>71</v>
      </c>
      <c r="H239" s="221" t="s">
        <v>71</v>
      </c>
      <c r="I239" s="222"/>
    </row>
    <row r="240" ht="17.25" customHeight="1" spans="1:9" x14ac:dyDescent="0.25">
      <c r="A240" s="220">
        <v>252</v>
      </c>
      <c r="B240" s="221" t="s">
        <v>797</v>
      </c>
      <c r="C240" s="222" t="s">
        <v>798</v>
      </c>
      <c r="D240" s="221" t="s">
        <v>796</v>
      </c>
      <c r="E240" s="221" t="s">
        <v>28</v>
      </c>
      <c r="F240" s="223">
        <v>7500</v>
      </c>
      <c r="G240" s="221" t="s">
        <v>71</v>
      </c>
      <c r="H240" s="221" t="s">
        <v>71</v>
      </c>
      <c r="I240" s="222"/>
    </row>
    <row r="241" ht="17.25" customHeight="1" spans="1:9" x14ac:dyDescent="0.25">
      <c r="A241" s="220">
        <v>253</v>
      </c>
      <c r="B241" s="221" t="s">
        <v>799</v>
      </c>
      <c r="C241" s="222" t="s">
        <v>800</v>
      </c>
      <c r="D241" s="221" t="s">
        <v>796</v>
      </c>
      <c r="E241" s="221" t="s">
        <v>28</v>
      </c>
      <c r="F241" s="223">
        <v>0</v>
      </c>
      <c r="G241" s="221" t="s">
        <v>71</v>
      </c>
      <c r="H241" s="221" t="s">
        <v>71</v>
      </c>
      <c r="I241" s="224"/>
    </row>
    <row r="242" ht="17.25" customHeight="1" spans="1:9" x14ac:dyDescent="0.25">
      <c r="A242" s="220">
        <v>254</v>
      </c>
      <c r="B242" s="221" t="s">
        <v>801</v>
      </c>
      <c r="C242" s="222" t="s">
        <v>802</v>
      </c>
      <c r="D242" s="221" t="s">
        <v>796</v>
      </c>
      <c r="E242" s="221" t="s">
        <v>28</v>
      </c>
      <c r="F242" s="223">
        <v>0</v>
      </c>
      <c r="G242" s="221" t="s">
        <v>71</v>
      </c>
      <c r="H242" s="221" t="s">
        <v>71</v>
      </c>
      <c r="I242" s="222"/>
    </row>
    <row r="243" ht="17.25" customHeight="1" spans="1:9" x14ac:dyDescent="0.25">
      <c r="A243" s="220">
        <v>255</v>
      </c>
      <c r="B243" s="221" t="s">
        <v>803</v>
      </c>
      <c r="C243" s="222" t="s">
        <v>804</v>
      </c>
      <c r="D243" s="221" t="s">
        <v>805</v>
      </c>
      <c r="E243" s="221" t="s">
        <v>27</v>
      </c>
      <c r="F243" s="223">
        <v>0</v>
      </c>
      <c r="G243" s="221" t="s">
        <v>48</v>
      </c>
      <c r="H243" s="221" t="s">
        <v>48</v>
      </c>
      <c r="I243" s="224"/>
    </row>
    <row r="244" ht="17.25" customHeight="1" spans="1:9" x14ac:dyDescent="0.25">
      <c r="A244" s="220">
        <v>256</v>
      </c>
      <c r="B244" s="221" t="s">
        <v>806</v>
      </c>
      <c r="C244" s="222" t="s">
        <v>807</v>
      </c>
      <c r="D244" s="221" t="s">
        <v>805</v>
      </c>
      <c r="E244" s="221" t="s">
        <v>27</v>
      </c>
      <c r="F244" s="223">
        <v>0</v>
      </c>
      <c r="G244" s="221" t="s">
        <v>48</v>
      </c>
      <c r="H244" s="221" t="s">
        <v>48</v>
      </c>
      <c r="I244" s="224"/>
    </row>
    <row r="245" ht="17.25" customHeight="1" spans="1:9" x14ac:dyDescent="0.25">
      <c r="A245" s="220">
        <v>257</v>
      </c>
      <c r="B245" s="221" t="s">
        <v>808</v>
      </c>
      <c r="C245" s="222" t="s">
        <v>809</v>
      </c>
      <c r="D245" s="221" t="s">
        <v>805</v>
      </c>
      <c r="E245" s="221" t="s">
        <v>27</v>
      </c>
      <c r="F245" s="223">
        <v>0</v>
      </c>
      <c r="G245" s="221" t="s">
        <v>48</v>
      </c>
      <c r="H245" s="221" t="s">
        <v>48</v>
      </c>
      <c r="I245" s="224"/>
    </row>
    <row r="246" ht="17.25" customHeight="1" spans="1:9" x14ac:dyDescent="0.25">
      <c r="A246" s="220">
        <v>258</v>
      </c>
      <c r="B246" s="221" t="s">
        <v>810</v>
      </c>
      <c r="C246" s="222" t="s">
        <v>811</v>
      </c>
      <c r="D246" s="221" t="s">
        <v>805</v>
      </c>
      <c r="E246" s="221" t="s">
        <v>27</v>
      </c>
      <c r="F246" s="223">
        <v>0</v>
      </c>
      <c r="G246" s="221" t="s">
        <v>48</v>
      </c>
      <c r="H246" s="221" t="s">
        <v>48</v>
      </c>
      <c r="I246" s="224"/>
    </row>
    <row r="247" ht="17.25" customHeight="1" spans="1:9" x14ac:dyDescent="0.25">
      <c r="A247" s="220">
        <v>259</v>
      </c>
      <c r="B247" s="221" t="s">
        <v>812</v>
      </c>
      <c r="C247" s="222" t="s">
        <v>813</v>
      </c>
      <c r="D247" s="221" t="s">
        <v>805</v>
      </c>
      <c r="E247" s="221" t="s">
        <v>27</v>
      </c>
      <c r="F247" s="223">
        <v>0</v>
      </c>
      <c r="G247" s="221" t="s">
        <v>48</v>
      </c>
      <c r="H247" s="221" t="s">
        <v>48</v>
      </c>
      <c r="I247" s="224"/>
    </row>
    <row r="248" ht="17.25" customHeight="1" spans="1:9" x14ac:dyDescent="0.25">
      <c r="A248" s="220">
        <v>260</v>
      </c>
      <c r="B248" s="221" t="s">
        <v>814</v>
      </c>
      <c r="C248" s="222" t="s">
        <v>815</v>
      </c>
      <c r="D248" s="221" t="s">
        <v>805</v>
      </c>
      <c r="E248" s="221" t="s">
        <v>27</v>
      </c>
      <c r="F248" s="223">
        <v>0</v>
      </c>
      <c r="G248" s="221" t="s">
        <v>48</v>
      </c>
      <c r="H248" s="221" t="s">
        <v>48</v>
      </c>
      <c r="I248" s="224"/>
    </row>
    <row r="249" ht="17.25" customHeight="1" spans="1:9" x14ac:dyDescent="0.25">
      <c r="A249" s="220">
        <v>261</v>
      </c>
      <c r="B249" s="221" t="s">
        <v>816</v>
      </c>
      <c r="C249" s="222" t="s">
        <v>817</v>
      </c>
      <c r="D249" s="221" t="s">
        <v>805</v>
      </c>
      <c r="E249" s="221" t="s">
        <v>27</v>
      </c>
      <c r="F249" s="223">
        <v>0</v>
      </c>
      <c r="G249" s="221" t="s">
        <v>48</v>
      </c>
      <c r="H249" s="221" t="s">
        <v>48</v>
      </c>
      <c r="I249" s="224"/>
    </row>
    <row r="250" ht="17.25" customHeight="1" spans="1:9" x14ac:dyDescent="0.25">
      <c r="A250" s="220">
        <v>262</v>
      </c>
      <c r="B250" s="221" t="s">
        <v>818</v>
      </c>
      <c r="C250" s="222" t="s">
        <v>819</v>
      </c>
      <c r="D250" s="221" t="s">
        <v>805</v>
      </c>
      <c r="E250" s="221" t="s">
        <v>27</v>
      </c>
      <c r="F250" s="223">
        <v>0</v>
      </c>
      <c r="G250" s="221" t="s">
        <v>48</v>
      </c>
      <c r="H250" s="221" t="s">
        <v>48</v>
      </c>
      <c r="I250" s="224"/>
    </row>
    <row r="251" ht="17.25" customHeight="1" spans="1:9" x14ac:dyDescent="0.25">
      <c r="A251" s="220">
        <v>263</v>
      </c>
      <c r="B251" s="221" t="s">
        <v>820</v>
      </c>
      <c r="C251" s="222" t="s">
        <v>821</v>
      </c>
      <c r="D251" s="221" t="s">
        <v>805</v>
      </c>
      <c r="E251" s="221" t="s">
        <v>27</v>
      </c>
      <c r="F251" s="223">
        <v>0</v>
      </c>
      <c r="G251" s="221" t="s">
        <v>48</v>
      </c>
      <c r="H251" s="221" t="s">
        <v>48</v>
      </c>
      <c r="I251" s="224"/>
    </row>
    <row r="252" ht="17.25" customHeight="1" spans="1:9" x14ac:dyDescent="0.25">
      <c r="A252" s="220">
        <v>264</v>
      </c>
      <c r="B252" s="221" t="s">
        <v>822</v>
      </c>
      <c r="C252" s="222" t="s">
        <v>823</v>
      </c>
      <c r="D252" s="221" t="s">
        <v>805</v>
      </c>
      <c r="E252" s="221" t="s">
        <v>27</v>
      </c>
      <c r="F252" s="223">
        <v>0</v>
      </c>
      <c r="G252" s="221" t="s">
        <v>48</v>
      </c>
      <c r="H252" s="221" t="s">
        <v>48</v>
      </c>
      <c r="I252" s="224"/>
    </row>
    <row r="253" ht="17.25" customHeight="1" spans="1:9" x14ac:dyDescent="0.25">
      <c r="A253" s="220">
        <v>265</v>
      </c>
      <c r="B253" s="221" t="s">
        <v>824</v>
      </c>
      <c r="C253" s="222" t="s">
        <v>825</v>
      </c>
      <c r="D253" s="221" t="s">
        <v>805</v>
      </c>
      <c r="E253" s="221" t="s">
        <v>27</v>
      </c>
      <c r="F253" s="223">
        <v>0</v>
      </c>
      <c r="G253" s="221" t="s">
        <v>48</v>
      </c>
      <c r="H253" s="221" t="s">
        <v>48</v>
      </c>
      <c r="I253" s="224"/>
    </row>
    <row r="254" ht="17.25" customHeight="1" spans="1:9" x14ac:dyDescent="0.25">
      <c r="A254" s="220">
        <v>266</v>
      </c>
      <c r="B254" s="221" t="s">
        <v>826</v>
      </c>
      <c r="C254" s="222" t="s">
        <v>827</v>
      </c>
      <c r="D254" s="221" t="s">
        <v>805</v>
      </c>
      <c r="E254" s="221" t="s">
        <v>27</v>
      </c>
      <c r="F254" s="223">
        <v>0</v>
      </c>
      <c r="G254" s="221" t="s">
        <v>48</v>
      </c>
      <c r="H254" s="221" t="s">
        <v>48</v>
      </c>
      <c r="I254" s="224"/>
    </row>
    <row r="255" ht="17.25" customHeight="1" spans="1:9" x14ac:dyDescent="0.25">
      <c r="A255" s="220">
        <v>267</v>
      </c>
      <c r="B255" s="221" t="s">
        <v>828</v>
      </c>
      <c r="C255" s="222" t="s">
        <v>829</v>
      </c>
      <c r="D255" s="221" t="s">
        <v>805</v>
      </c>
      <c r="E255" s="221" t="s">
        <v>27</v>
      </c>
      <c r="F255" s="223">
        <v>0</v>
      </c>
      <c r="G255" s="221" t="s">
        <v>48</v>
      </c>
      <c r="H255" s="221" t="s">
        <v>48</v>
      </c>
      <c r="I255" s="224"/>
    </row>
    <row r="256" ht="17.25" customHeight="1" spans="1:9" x14ac:dyDescent="0.25">
      <c r="A256" s="220">
        <v>268</v>
      </c>
      <c r="B256" s="221" t="s">
        <v>830</v>
      </c>
      <c r="C256" s="222" t="s">
        <v>831</v>
      </c>
      <c r="D256" s="221" t="s">
        <v>805</v>
      </c>
      <c r="E256" s="221" t="s">
        <v>27</v>
      </c>
      <c r="F256" s="223">
        <v>0</v>
      </c>
      <c r="G256" s="221" t="s">
        <v>48</v>
      </c>
      <c r="H256" s="221" t="s">
        <v>48</v>
      </c>
      <c r="I256" s="224"/>
    </row>
    <row r="257" ht="17.25" customHeight="1" spans="1:9" x14ac:dyDescent="0.25">
      <c r="A257" s="220">
        <v>269</v>
      </c>
      <c r="B257" s="221" t="s">
        <v>832</v>
      </c>
      <c r="C257" s="222" t="s">
        <v>833</v>
      </c>
      <c r="D257" s="221" t="s">
        <v>805</v>
      </c>
      <c r="E257" s="221" t="s">
        <v>27</v>
      </c>
      <c r="F257" s="223">
        <v>0</v>
      </c>
      <c r="G257" s="221" t="s">
        <v>48</v>
      </c>
      <c r="H257" s="221" t="s">
        <v>48</v>
      </c>
      <c r="I257" s="224"/>
    </row>
    <row r="258" ht="17.25" customHeight="1" spans="1:9" x14ac:dyDescent="0.25">
      <c r="A258" s="220">
        <v>270</v>
      </c>
      <c r="B258" s="221" t="s">
        <v>834</v>
      </c>
      <c r="C258" s="222" t="s">
        <v>835</v>
      </c>
      <c r="D258" s="221" t="s">
        <v>805</v>
      </c>
      <c r="E258" s="221" t="s">
        <v>27</v>
      </c>
      <c r="F258" s="223">
        <v>0</v>
      </c>
      <c r="G258" s="221" t="s">
        <v>48</v>
      </c>
      <c r="H258" s="221" t="s">
        <v>48</v>
      </c>
      <c r="I258" s="224"/>
    </row>
    <row r="259" ht="17.25" customHeight="1" spans="1:9" x14ac:dyDescent="0.25">
      <c r="A259" s="220">
        <v>271</v>
      </c>
      <c r="B259" s="221" t="s">
        <v>836</v>
      </c>
      <c r="C259" s="222" t="s">
        <v>837</v>
      </c>
      <c r="D259" s="221" t="s">
        <v>805</v>
      </c>
      <c r="E259" s="221" t="s">
        <v>27</v>
      </c>
      <c r="F259" s="223">
        <v>0</v>
      </c>
      <c r="G259" s="221" t="s">
        <v>48</v>
      </c>
      <c r="H259" s="221" t="s">
        <v>48</v>
      </c>
      <c r="I259" s="224"/>
    </row>
    <row r="260" ht="17.25" customHeight="1" spans="1:9" x14ac:dyDescent="0.25">
      <c r="A260" s="220">
        <v>272</v>
      </c>
      <c r="B260" s="221" t="s">
        <v>838</v>
      </c>
      <c r="C260" s="222" t="s">
        <v>839</v>
      </c>
      <c r="D260" s="221" t="s">
        <v>805</v>
      </c>
      <c r="E260" s="221" t="s">
        <v>27</v>
      </c>
      <c r="F260" s="223">
        <v>0</v>
      </c>
      <c r="G260" s="221" t="s">
        <v>48</v>
      </c>
      <c r="H260" s="221" t="s">
        <v>48</v>
      </c>
      <c r="I260" s="224"/>
    </row>
    <row r="261" ht="17.25" customHeight="1" spans="1:9" x14ac:dyDescent="0.25">
      <c r="A261" s="220">
        <v>273</v>
      </c>
      <c r="B261" s="221" t="s">
        <v>840</v>
      </c>
      <c r="C261" s="222" t="s">
        <v>841</v>
      </c>
      <c r="D261" s="221" t="s">
        <v>805</v>
      </c>
      <c r="E261" s="221" t="s">
        <v>27</v>
      </c>
      <c r="F261" s="223">
        <v>0</v>
      </c>
      <c r="G261" s="221" t="s">
        <v>48</v>
      </c>
      <c r="H261" s="221" t="s">
        <v>48</v>
      </c>
      <c r="I261" s="224"/>
    </row>
    <row r="262" ht="17.25" customHeight="1" spans="1:9" x14ac:dyDescent="0.25">
      <c r="A262" s="220">
        <v>274</v>
      </c>
      <c r="B262" s="221" t="s">
        <v>842</v>
      </c>
      <c r="C262" s="222" t="s">
        <v>843</v>
      </c>
      <c r="D262" s="221" t="s">
        <v>805</v>
      </c>
      <c r="E262" s="221" t="s">
        <v>27</v>
      </c>
      <c r="F262" s="223">
        <v>0</v>
      </c>
      <c r="G262" s="221" t="s">
        <v>48</v>
      </c>
      <c r="H262" s="221" t="s">
        <v>48</v>
      </c>
      <c r="I262" s="224"/>
    </row>
    <row r="263" ht="17.25" customHeight="1" spans="1:9" x14ac:dyDescent="0.25">
      <c r="A263" s="220">
        <v>275</v>
      </c>
      <c r="B263" s="221" t="s">
        <v>844</v>
      </c>
      <c r="C263" s="222" t="s">
        <v>845</v>
      </c>
      <c r="D263" s="221" t="s">
        <v>805</v>
      </c>
      <c r="E263" s="221" t="s">
        <v>27</v>
      </c>
      <c r="F263" s="223">
        <v>0</v>
      </c>
      <c r="G263" s="221" t="s">
        <v>48</v>
      </c>
      <c r="H263" s="221" t="s">
        <v>48</v>
      </c>
      <c r="I263" s="224"/>
    </row>
    <row r="264" ht="17.25" customHeight="1" spans="1:9" x14ac:dyDescent="0.25">
      <c r="A264" s="220">
        <v>276</v>
      </c>
      <c r="B264" s="221" t="s">
        <v>846</v>
      </c>
      <c r="C264" s="222" t="s">
        <v>847</v>
      </c>
      <c r="D264" s="221" t="s">
        <v>805</v>
      </c>
      <c r="E264" s="221" t="s">
        <v>27</v>
      </c>
      <c r="F264" s="223">
        <v>0</v>
      </c>
      <c r="G264" s="221" t="s">
        <v>48</v>
      </c>
      <c r="H264" s="221" t="s">
        <v>48</v>
      </c>
      <c r="I264" s="224"/>
    </row>
    <row r="265" ht="17.25" customHeight="1" spans="1:9" x14ac:dyDescent="0.25">
      <c r="A265" s="220">
        <v>277</v>
      </c>
      <c r="B265" s="221" t="s">
        <v>848</v>
      </c>
      <c r="C265" s="222" t="s">
        <v>849</v>
      </c>
      <c r="D265" s="221" t="s">
        <v>805</v>
      </c>
      <c r="E265" s="221" t="s">
        <v>27</v>
      </c>
      <c r="F265" s="223">
        <v>0</v>
      </c>
      <c r="G265" s="221" t="s">
        <v>48</v>
      </c>
      <c r="H265" s="221" t="s">
        <v>48</v>
      </c>
      <c r="I265" s="224"/>
    </row>
    <row r="266" ht="17.25" customHeight="1" spans="1:9" x14ac:dyDescent="0.25">
      <c r="A266" s="220">
        <v>278</v>
      </c>
      <c r="B266" s="221" t="s">
        <v>850</v>
      </c>
      <c r="C266" s="222" t="s">
        <v>851</v>
      </c>
      <c r="D266" s="221" t="s">
        <v>805</v>
      </c>
      <c r="E266" s="221" t="s">
        <v>27</v>
      </c>
      <c r="F266" s="223">
        <v>0</v>
      </c>
      <c r="G266" s="221" t="s">
        <v>48</v>
      </c>
      <c r="H266" s="221" t="s">
        <v>48</v>
      </c>
      <c r="I266" s="224"/>
    </row>
    <row r="267" ht="17.25" customHeight="1" spans="1:9" x14ac:dyDescent="0.25">
      <c r="A267" s="220">
        <v>279</v>
      </c>
      <c r="B267" s="221" t="s">
        <v>852</v>
      </c>
      <c r="C267" s="222" t="s">
        <v>853</v>
      </c>
      <c r="D267" s="221" t="s">
        <v>805</v>
      </c>
      <c r="E267" s="221" t="s">
        <v>27</v>
      </c>
      <c r="F267" s="223">
        <v>0</v>
      </c>
      <c r="G267" s="221" t="s">
        <v>48</v>
      </c>
      <c r="H267" s="221" t="s">
        <v>48</v>
      </c>
      <c r="I267" s="224"/>
    </row>
    <row r="268" ht="17.25" customHeight="1" spans="1:9" x14ac:dyDescent="0.25">
      <c r="A268" s="220">
        <v>280</v>
      </c>
      <c r="B268" s="221" t="s">
        <v>854</v>
      </c>
      <c r="C268" s="222" t="s">
        <v>855</v>
      </c>
      <c r="D268" s="221" t="s">
        <v>805</v>
      </c>
      <c r="E268" s="221" t="s">
        <v>27</v>
      </c>
      <c r="F268" s="223">
        <v>0</v>
      </c>
      <c r="G268" s="221" t="s">
        <v>48</v>
      </c>
      <c r="H268" s="221" t="s">
        <v>48</v>
      </c>
      <c r="I268" s="224"/>
    </row>
    <row r="269" ht="17.25" customHeight="1" spans="1:9" x14ac:dyDescent="0.25">
      <c r="A269" s="220">
        <v>281</v>
      </c>
      <c r="B269" s="221" t="s">
        <v>856</v>
      </c>
      <c r="C269" s="222" t="s">
        <v>857</v>
      </c>
      <c r="D269" s="221" t="s">
        <v>805</v>
      </c>
      <c r="E269" s="221" t="s">
        <v>27</v>
      </c>
      <c r="F269" s="223">
        <v>0</v>
      </c>
      <c r="G269" s="221" t="s">
        <v>48</v>
      </c>
      <c r="H269" s="221" t="s">
        <v>48</v>
      </c>
      <c r="I269" s="224"/>
    </row>
    <row r="270" ht="17.25" customHeight="1" spans="1:9" x14ac:dyDescent="0.25">
      <c r="A270" s="220">
        <v>282</v>
      </c>
      <c r="B270" s="221" t="s">
        <v>858</v>
      </c>
      <c r="C270" s="222" t="s">
        <v>859</v>
      </c>
      <c r="D270" s="221" t="s">
        <v>805</v>
      </c>
      <c r="E270" s="221" t="s">
        <v>27</v>
      </c>
      <c r="F270" s="223">
        <v>0</v>
      </c>
      <c r="G270" s="221" t="s">
        <v>48</v>
      </c>
      <c r="H270" s="221" t="s">
        <v>48</v>
      </c>
      <c r="I270" s="224"/>
    </row>
    <row r="271" ht="17.25" customHeight="1" spans="1:9" x14ac:dyDescent="0.25">
      <c r="A271" s="220">
        <v>283</v>
      </c>
      <c r="B271" s="221" t="s">
        <v>860</v>
      </c>
      <c r="C271" s="222" t="s">
        <v>861</v>
      </c>
      <c r="D271" s="221" t="s">
        <v>805</v>
      </c>
      <c r="E271" s="221" t="s">
        <v>27</v>
      </c>
      <c r="F271" s="223">
        <v>0</v>
      </c>
      <c r="G271" s="221" t="s">
        <v>48</v>
      </c>
      <c r="H271" s="221" t="s">
        <v>48</v>
      </c>
      <c r="I271" s="224"/>
    </row>
    <row r="272" ht="17.25" customHeight="1" spans="1:9" x14ac:dyDescent="0.25">
      <c r="A272" s="220">
        <v>284</v>
      </c>
      <c r="B272" s="221" t="s">
        <v>862</v>
      </c>
      <c r="C272" s="222" t="s">
        <v>863</v>
      </c>
      <c r="D272" s="221" t="s">
        <v>805</v>
      </c>
      <c r="E272" s="221" t="s">
        <v>27</v>
      </c>
      <c r="F272" s="223">
        <v>0</v>
      </c>
      <c r="G272" s="221" t="s">
        <v>48</v>
      </c>
      <c r="H272" s="221" t="s">
        <v>48</v>
      </c>
      <c r="I272" s="224"/>
    </row>
    <row r="273" ht="17.25" customHeight="1" spans="1:9" x14ac:dyDescent="0.25">
      <c r="A273" s="220">
        <v>285</v>
      </c>
      <c r="B273" s="221" t="s">
        <v>864</v>
      </c>
      <c r="C273" s="222" t="s">
        <v>865</v>
      </c>
      <c r="D273" s="221" t="s">
        <v>805</v>
      </c>
      <c r="E273" s="221" t="s">
        <v>27</v>
      </c>
      <c r="F273" s="223">
        <v>0</v>
      </c>
      <c r="G273" s="221" t="s">
        <v>48</v>
      </c>
      <c r="H273" s="221" t="s">
        <v>48</v>
      </c>
      <c r="I273" s="224"/>
    </row>
    <row r="274" ht="17.25" customHeight="1" spans="1:9" x14ac:dyDescent="0.25">
      <c r="A274" s="220">
        <v>286</v>
      </c>
      <c r="B274" s="221" t="s">
        <v>866</v>
      </c>
      <c r="C274" s="222" t="s">
        <v>867</v>
      </c>
      <c r="D274" s="221" t="s">
        <v>805</v>
      </c>
      <c r="E274" s="221" t="s">
        <v>27</v>
      </c>
      <c r="F274" s="223">
        <v>0</v>
      </c>
      <c r="G274" s="221" t="s">
        <v>48</v>
      </c>
      <c r="H274" s="221" t="s">
        <v>48</v>
      </c>
      <c r="I274" s="224"/>
    </row>
    <row r="275" ht="17.25" customHeight="1" spans="1:9" x14ac:dyDescent="0.25">
      <c r="A275" s="220">
        <v>287</v>
      </c>
      <c r="B275" s="221" t="s">
        <v>868</v>
      </c>
      <c r="C275" s="222" t="s">
        <v>869</v>
      </c>
      <c r="D275" s="221" t="s">
        <v>805</v>
      </c>
      <c r="E275" s="221" t="s">
        <v>27</v>
      </c>
      <c r="F275" s="223">
        <v>0</v>
      </c>
      <c r="G275" s="221" t="s">
        <v>48</v>
      </c>
      <c r="H275" s="221" t="s">
        <v>48</v>
      </c>
      <c r="I275" s="224"/>
    </row>
    <row r="276" ht="17.25" customHeight="1" spans="1:9" x14ac:dyDescent="0.25">
      <c r="A276" s="220">
        <v>288</v>
      </c>
      <c r="B276" s="221" t="s">
        <v>870</v>
      </c>
      <c r="C276" s="222" t="s">
        <v>871</v>
      </c>
      <c r="D276" s="221" t="s">
        <v>805</v>
      </c>
      <c r="E276" s="221" t="s">
        <v>27</v>
      </c>
      <c r="F276" s="223">
        <v>0</v>
      </c>
      <c r="G276" s="221" t="s">
        <v>48</v>
      </c>
      <c r="H276" s="221" t="s">
        <v>48</v>
      </c>
      <c r="I276" s="224"/>
    </row>
    <row r="277" ht="17.25" customHeight="1" spans="1:9" x14ac:dyDescent="0.25">
      <c r="A277" s="220">
        <v>289</v>
      </c>
      <c r="B277" s="221" t="s">
        <v>872</v>
      </c>
      <c r="C277" s="222" t="s">
        <v>873</v>
      </c>
      <c r="D277" s="221" t="s">
        <v>805</v>
      </c>
      <c r="E277" s="221" t="s">
        <v>27</v>
      </c>
      <c r="F277" s="223">
        <v>0</v>
      </c>
      <c r="G277" s="221" t="s">
        <v>48</v>
      </c>
      <c r="H277" s="221" t="s">
        <v>48</v>
      </c>
      <c r="I277" s="224"/>
    </row>
    <row r="278" ht="17.25" customHeight="1" spans="1:9" x14ac:dyDescent="0.25">
      <c r="A278" s="220">
        <v>290</v>
      </c>
      <c r="B278" s="221" t="s">
        <v>874</v>
      </c>
      <c r="C278" s="222" t="s">
        <v>875</v>
      </c>
      <c r="D278" s="221" t="s">
        <v>805</v>
      </c>
      <c r="E278" s="221" t="s">
        <v>27</v>
      </c>
      <c r="F278" s="223">
        <v>0</v>
      </c>
      <c r="G278" s="221" t="s">
        <v>48</v>
      </c>
      <c r="H278" s="221" t="s">
        <v>48</v>
      </c>
      <c r="I278" s="224"/>
    </row>
    <row r="279" ht="17.25" customHeight="1" spans="1:9" x14ac:dyDescent="0.25">
      <c r="A279" s="220">
        <v>291</v>
      </c>
      <c r="B279" s="221" t="s">
        <v>876</v>
      </c>
      <c r="C279" s="222" t="s">
        <v>877</v>
      </c>
      <c r="D279" s="221" t="s">
        <v>805</v>
      </c>
      <c r="E279" s="221" t="s">
        <v>27</v>
      </c>
      <c r="F279" s="223">
        <v>0</v>
      </c>
      <c r="G279" s="221" t="s">
        <v>48</v>
      </c>
      <c r="H279" s="221" t="s">
        <v>48</v>
      </c>
      <c r="I279" s="224"/>
    </row>
    <row r="280" ht="17.25" customHeight="1" spans="1:9" x14ac:dyDescent="0.25">
      <c r="A280" s="220">
        <v>292</v>
      </c>
      <c r="B280" s="221" t="s">
        <v>878</v>
      </c>
      <c r="C280" s="222" t="s">
        <v>879</v>
      </c>
      <c r="D280" s="221" t="s">
        <v>805</v>
      </c>
      <c r="E280" s="221" t="s">
        <v>27</v>
      </c>
      <c r="F280" s="223">
        <v>0</v>
      </c>
      <c r="G280" s="221" t="s">
        <v>48</v>
      </c>
      <c r="H280" s="221" t="s">
        <v>48</v>
      </c>
      <c r="I280" s="224"/>
    </row>
    <row r="281" ht="17.25" customHeight="1" spans="1:9" x14ac:dyDescent="0.25">
      <c r="A281" s="220">
        <v>293</v>
      </c>
      <c r="B281" s="221" t="s">
        <v>880</v>
      </c>
      <c r="C281" s="222" t="s">
        <v>881</v>
      </c>
      <c r="D281" s="221" t="s">
        <v>805</v>
      </c>
      <c r="E281" s="221" t="s">
        <v>27</v>
      </c>
      <c r="F281" s="223">
        <v>0</v>
      </c>
      <c r="G281" s="221" t="s">
        <v>48</v>
      </c>
      <c r="H281" s="221" t="s">
        <v>48</v>
      </c>
      <c r="I281" s="224"/>
    </row>
    <row r="282" ht="17.25" customHeight="1" spans="1:9" x14ac:dyDescent="0.25">
      <c r="A282" s="220">
        <v>294</v>
      </c>
      <c r="B282" s="221" t="s">
        <v>882</v>
      </c>
      <c r="C282" s="222" t="s">
        <v>883</v>
      </c>
      <c r="D282" s="221" t="s">
        <v>805</v>
      </c>
      <c r="E282" s="221" t="s">
        <v>27</v>
      </c>
      <c r="F282" s="223">
        <v>0</v>
      </c>
      <c r="G282" s="221" t="s">
        <v>48</v>
      </c>
      <c r="H282" s="221" t="s">
        <v>48</v>
      </c>
      <c r="I282" s="224"/>
    </row>
    <row r="283" ht="17.25" customHeight="1" spans="1:9" x14ac:dyDescent="0.25">
      <c r="A283" s="220">
        <v>295</v>
      </c>
      <c r="B283" s="221" t="s">
        <v>884</v>
      </c>
      <c r="C283" s="222" t="s">
        <v>885</v>
      </c>
      <c r="D283" s="221" t="s">
        <v>805</v>
      </c>
      <c r="E283" s="221" t="s">
        <v>27</v>
      </c>
      <c r="F283" s="223">
        <v>0</v>
      </c>
      <c r="G283" s="221" t="s">
        <v>48</v>
      </c>
      <c r="H283" s="221" t="s">
        <v>48</v>
      </c>
      <c r="I283" s="224"/>
    </row>
    <row r="284" ht="17.25" customHeight="1" spans="1:9" x14ac:dyDescent="0.25">
      <c r="A284" s="220">
        <v>296</v>
      </c>
      <c r="B284" s="221" t="s">
        <v>886</v>
      </c>
      <c r="C284" s="222" t="s">
        <v>887</v>
      </c>
      <c r="D284" s="221" t="s">
        <v>805</v>
      </c>
      <c r="E284" s="221" t="s">
        <v>27</v>
      </c>
      <c r="F284" s="223">
        <v>0</v>
      </c>
      <c r="G284" s="221" t="s">
        <v>48</v>
      </c>
      <c r="H284" s="221" t="s">
        <v>48</v>
      </c>
      <c r="I284" s="224"/>
    </row>
    <row r="285" ht="17.25" customHeight="1" spans="1:9" x14ac:dyDescent="0.25">
      <c r="A285" s="220">
        <v>297</v>
      </c>
      <c r="B285" s="221" t="s">
        <v>888</v>
      </c>
      <c r="C285" s="222" t="s">
        <v>889</v>
      </c>
      <c r="D285" s="221" t="s">
        <v>805</v>
      </c>
      <c r="E285" s="221" t="s">
        <v>27</v>
      </c>
      <c r="F285" s="223">
        <v>0</v>
      </c>
      <c r="G285" s="221" t="s">
        <v>48</v>
      </c>
      <c r="H285" s="221" t="s">
        <v>48</v>
      </c>
      <c r="I285" s="222"/>
    </row>
    <row r="286" ht="17.25" customHeight="1" spans="1:9" x14ac:dyDescent="0.25">
      <c r="A286" s="220">
        <v>298</v>
      </c>
      <c r="B286" s="221" t="s">
        <v>890</v>
      </c>
      <c r="C286" s="222" t="s">
        <v>891</v>
      </c>
      <c r="D286" s="221" t="s">
        <v>805</v>
      </c>
      <c r="E286" s="221" t="s">
        <v>27</v>
      </c>
      <c r="F286" s="223">
        <v>0</v>
      </c>
      <c r="G286" s="221" t="s">
        <v>48</v>
      </c>
      <c r="H286" s="221" t="s">
        <v>48</v>
      </c>
      <c r="I286" s="224"/>
    </row>
    <row r="287" ht="17.25" customHeight="1" spans="1:9" x14ac:dyDescent="0.25">
      <c r="A287" s="220">
        <v>299</v>
      </c>
      <c r="B287" s="221" t="s">
        <v>892</v>
      </c>
      <c r="C287" s="222" t="s">
        <v>893</v>
      </c>
      <c r="D287" s="221" t="s">
        <v>805</v>
      </c>
      <c r="E287" s="221" t="s">
        <v>27</v>
      </c>
      <c r="F287" s="223">
        <v>0</v>
      </c>
      <c r="G287" s="221" t="s">
        <v>48</v>
      </c>
      <c r="H287" s="221" t="s">
        <v>48</v>
      </c>
      <c r="I287" s="224"/>
    </row>
    <row r="288" ht="17.25" customHeight="1" spans="1:9" x14ac:dyDescent="0.25">
      <c r="A288" s="220">
        <v>300</v>
      </c>
      <c r="B288" s="221" t="s">
        <v>894</v>
      </c>
      <c r="C288" s="222" t="s">
        <v>895</v>
      </c>
      <c r="D288" s="221" t="s">
        <v>805</v>
      </c>
      <c r="E288" s="221" t="s">
        <v>27</v>
      </c>
      <c r="F288" s="223">
        <v>0</v>
      </c>
      <c r="G288" s="221" t="s">
        <v>48</v>
      </c>
      <c r="H288" s="221" t="s">
        <v>48</v>
      </c>
      <c r="I288" s="224"/>
    </row>
    <row r="289" ht="17.25" customHeight="1" spans="1:9" x14ac:dyDescent="0.25">
      <c r="A289" s="220">
        <v>301</v>
      </c>
      <c r="B289" s="221" t="s">
        <v>896</v>
      </c>
      <c r="C289" s="222" t="s">
        <v>897</v>
      </c>
      <c r="D289" s="221" t="s">
        <v>805</v>
      </c>
      <c r="E289" s="221" t="s">
        <v>27</v>
      </c>
      <c r="F289" s="223">
        <v>0</v>
      </c>
      <c r="G289" s="221" t="s">
        <v>48</v>
      </c>
      <c r="H289" s="221" t="s">
        <v>48</v>
      </c>
      <c r="I289" s="224"/>
    </row>
    <row r="290" ht="17.25" customHeight="1" spans="1:9" x14ac:dyDescent="0.25">
      <c r="A290" s="220">
        <v>302</v>
      </c>
      <c r="B290" s="221" t="s">
        <v>898</v>
      </c>
      <c r="C290" s="222" t="s">
        <v>899</v>
      </c>
      <c r="D290" s="221" t="s">
        <v>805</v>
      </c>
      <c r="E290" s="221" t="s">
        <v>27</v>
      </c>
      <c r="F290" s="223">
        <v>0</v>
      </c>
      <c r="G290" s="221" t="s">
        <v>48</v>
      </c>
      <c r="H290" s="221" t="s">
        <v>48</v>
      </c>
      <c r="I290" s="224"/>
    </row>
    <row r="291" ht="17.25" customHeight="1" spans="1:9" x14ac:dyDescent="0.25">
      <c r="A291" s="220">
        <v>303</v>
      </c>
      <c r="B291" s="221" t="s">
        <v>900</v>
      </c>
      <c r="C291" s="222" t="s">
        <v>901</v>
      </c>
      <c r="D291" s="221" t="s">
        <v>805</v>
      </c>
      <c r="E291" s="221" t="s">
        <v>27</v>
      </c>
      <c r="F291" s="223">
        <v>0</v>
      </c>
      <c r="G291" s="221" t="s">
        <v>48</v>
      </c>
      <c r="H291" s="221" t="s">
        <v>48</v>
      </c>
      <c r="I291" s="224"/>
    </row>
    <row r="292" ht="17.25" customHeight="1" spans="1:9" x14ac:dyDescent="0.25">
      <c r="A292" s="220">
        <v>304</v>
      </c>
      <c r="B292" s="221" t="s">
        <v>902</v>
      </c>
      <c r="C292" s="222" t="s">
        <v>903</v>
      </c>
      <c r="D292" s="221" t="s">
        <v>805</v>
      </c>
      <c r="E292" s="221" t="s">
        <v>27</v>
      </c>
      <c r="F292" s="223">
        <v>0</v>
      </c>
      <c r="G292" s="221" t="s">
        <v>48</v>
      </c>
      <c r="H292" s="221" t="s">
        <v>48</v>
      </c>
      <c r="I292" s="224"/>
    </row>
    <row r="293" ht="17.25" customHeight="1" spans="1:9" x14ac:dyDescent="0.25">
      <c r="A293" s="220">
        <v>305</v>
      </c>
      <c r="B293" s="221" t="s">
        <v>904</v>
      </c>
      <c r="C293" s="222" t="s">
        <v>905</v>
      </c>
      <c r="D293" s="221" t="s">
        <v>805</v>
      </c>
      <c r="E293" s="221" t="s">
        <v>27</v>
      </c>
      <c r="F293" s="223">
        <v>0</v>
      </c>
      <c r="G293" s="221" t="s">
        <v>48</v>
      </c>
      <c r="H293" s="221" t="s">
        <v>48</v>
      </c>
      <c r="I293" s="224"/>
    </row>
    <row r="294" ht="17.25" customHeight="1" spans="1:9" x14ac:dyDescent="0.25">
      <c r="A294" s="220">
        <v>306</v>
      </c>
      <c r="B294" s="221" t="s">
        <v>906</v>
      </c>
      <c r="C294" s="222" t="s">
        <v>907</v>
      </c>
      <c r="D294" s="221" t="s">
        <v>805</v>
      </c>
      <c r="E294" s="221" t="s">
        <v>27</v>
      </c>
      <c r="F294" s="223">
        <v>0</v>
      </c>
      <c r="G294" s="221" t="s">
        <v>48</v>
      </c>
      <c r="H294" s="221" t="s">
        <v>48</v>
      </c>
      <c r="I294" s="224"/>
    </row>
    <row r="295" ht="17.25" customHeight="1" spans="1:9" x14ac:dyDescent="0.25">
      <c r="A295" s="220">
        <v>307</v>
      </c>
      <c r="B295" s="221" t="s">
        <v>908</v>
      </c>
      <c r="C295" s="222" t="s">
        <v>909</v>
      </c>
      <c r="D295" s="221" t="s">
        <v>805</v>
      </c>
      <c r="E295" s="221" t="s">
        <v>27</v>
      </c>
      <c r="F295" s="223">
        <v>0</v>
      </c>
      <c r="G295" s="221" t="s">
        <v>48</v>
      </c>
      <c r="H295" s="221" t="s">
        <v>48</v>
      </c>
      <c r="I295" s="224"/>
    </row>
    <row r="296" ht="17.25" customHeight="1" spans="1:9" x14ac:dyDescent="0.25">
      <c r="A296" s="220">
        <v>308</v>
      </c>
      <c r="B296" s="221" t="s">
        <v>910</v>
      </c>
      <c r="C296" s="222" t="s">
        <v>911</v>
      </c>
      <c r="D296" s="221" t="s">
        <v>805</v>
      </c>
      <c r="E296" s="221" t="s">
        <v>27</v>
      </c>
      <c r="F296" s="223">
        <v>0</v>
      </c>
      <c r="G296" s="221" t="s">
        <v>48</v>
      </c>
      <c r="H296" s="221" t="s">
        <v>48</v>
      </c>
      <c r="I296" s="224"/>
    </row>
    <row r="297" ht="17.25" customHeight="1" spans="1:9" x14ac:dyDescent="0.25">
      <c r="A297" s="220">
        <v>309</v>
      </c>
      <c r="B297" s="221" t="s">
        <v>912</v>
      </c>
      <c r="C297" s="222" t="s">
        <v>913</v>
      </c>
      <c r="D297" s="221" t="s">
        <v>805</v>
      </c>
      <c r="E297" s="221" t="s">
        <v>27</v>
      </c>
      <c r="F297" s="223">
        <v>0</v>
      </c>
      <c r="G297" s="221" t="s">
        <v>48</v>
      </c>
      <c r="H297" s="221" t="s">
        <v>48</v>
      </c>
      <c r="I297" s="224"/>
    </row>
    <row r="298" ht="17.25" customHeight="1" spans="1:9" x14ac:dyDescent="0.25">
      <c r="A298" s="220">
        <v>310</v>
      </c>
      <c r="B298" s="221" t="s">
        <v>914</v>
      </c>
      <c r="C298" s="222" t="s">
        <v>915</v>
      </c>
      <c r="D298" s="221" t="s">
        <v>805</v>
      </c>
      <c r="E298" s="221" t="s">
        <v>27</v>
      </c>
      <c r="F298" s="223">
        <v>0</v>
      </c>
      <c r="G298" s="221" t="s">
        <v>48</v>
      </c>
      <c r="H298" s="221" t="s">
        <v>48</v>
      </c>
      <c r="I298" s="224"/>
    </row>
    <row r="299" ht="17.25" customHeight="1" spans="1:9" x14ac:dyDescent="0.25">
      <c r="A299" s="220">
        <v>311</v>
      </c>
      <c r="B299" s="221" t="s">
        <v>916</v>
      </c>
      <c r="C299" s="222" t="s">
        <v>917</v>
      </c>
      <c r="D299" s="221" t="s">
        <v>805</v>
      </c>
      <c r="E299" s="221" t="s">
        <v>27</v>
      </c>
      <c r="F299" s="223">
        <v>0</v>
      </c>
      <c r="G299" s="221" t="s">
        <v>48</v>
      </c>
      <c r="H299" s="221" t="s">
        <v>48</v>
      </c>
      <c r="I299" s="224"/>
    </row>
    <row r="300" ht="17.25" customHeight="1" spans="1:9" x14ac:dyDescent="0.25">
      <c r="A300" s="220">
        <v>312</v>
      </c>
      <c r="B300" s="221" t="s">
        <v>918</v>
      </c>
      <c r="C300" s="222" t="s">
        <v>919</v>
      </c>
      <c r="D300" s="221" t="s">
        <v>805</v>
      </c>
      <c r="E300" s="221" t="s">
        <v>27</v>
      </c>
      <c r="F300" s="223">
        <v>0</v>
      </c>
      <c r="G300" s="221" t="s">
        <v>48</v>
      </c>
      <c r="H300" s="221" t="s">
        <v>48</v>
      </c>
      <c r="I300" s="224"/>
    </row>
    <row r="301" ht="17.25" customHeight="1" spans="1:9" x14ac:dyDescent="0.25">
      <c r="A301" s="220">
        <v>313</v>
      </c>
      <c r="B301" s="221" t="s">
        <v>920</v>
      </c>
      <c r="C301" s="222" t="s">
        <v>921</v>
      </c>
      <c r="D301" s="221" t="s">
        <v>805</v>
      </c>
      <c r="E301" s="221" t="s">
        <v>27</v>
      </c>
      <c r="F301" s="223">
        <v>0</v>
      </c>
      <c r="G301" s="221" t="s">
        <v>48</v>
      </c>
      <c r="H301" s="221" t="s">
        <v>48</v>
      </c>
      <c r="I301" s="224"/>
    </row>
    <row r="302" ht="17.25" customHeight="1" spans="1:9" x14ac:dyDescent="0.25">
      <c r="A302" s="220">
        <v>314</v>
      </c>
      <c r="B302" s="221" t="s">
        <v>922</v>
      </c>
      <c r="C302" s="222" t="s">
        <v>923</v>
      </c>
      <c r="D302" s="221" t="s">
        <v>805</v>
      </c>
      <c r="E302" s="221" t="s">
        <v>27</v>
      </c>
      <c r="F302" s="223">
        <v>0</v>
      </c>
      <c r="G302" s="221" t="s">
        <v>48</v>
      </c>
      <c r="H302" s="221" t="s">
        <v>48</v>
      </c>
      <c r="I302" s="224"/>
    </row>
    <row r="303" ht="17.25" customHeight="1" spans="1:9" x14ac:dyDescent="0.25">
      <c r="A303" s="220">
        <v>315</v>
      </c>
      <c r="B303" s="221" t="s">
        <v>924</v>
      </c>
      <c r="C303" s="222" t="s">
        <v>925</v>
      </c>
      <c r="D303" s="221" t="s">
        <v>805</v>
      </c>
      <c r="E303" s="221" t="s">
        <v>27</v>
      </c>
      <c r="F303" s="223">
        <v>0</v>
      </c>
      <c r="G303" s="221" t="s">
        <v>48</v>
      </c>
      <c r="H303" s="221" t="s">
        <v>48</v>
      </c>
      <c r="I303" s="224"/>
    </row>
    <row r="304" ht="17.25" customHeight="1" spans="1:9" x14ac:dyDescent="0.25">
      <c r="A304" s="220">
        <v>316</v>
      </c>
      <c r="B304" s="221" t="s">
        <v>926</v>
      </c>
      <c r="C304" s="222" t="s">
        <v>927</v>
      </c>
      <c r="D304" s="221" t="s">
        <v>805</v>
      </c>
      <c r="E304" s="221" t="s">
        <v>27</v>
      </c>
      <c r="F304" s="223">
        <v>0</v>
      </c>
      <c r="G304" s="221" t="s">
        <v>48</v>
      </c>
      <c r="H304" s="221" t="s">
        <v>48</v>
      </c>
      <c r="I304" s="224"/>
    </row>
    <row r="305" ht="17.25" customHeight="1" spans="1:9" x14ac:dyDescent="0.25">
      <c r="A305" s="220">
        <v>317</v>
      </c>
      <c r="B305" s="221" t="s">
        <v>928</v>
      </c>
      <c r="C305" s="222" t="s">
        <v>929</v>
      </c>
      <c r="D305" s="221" t="s">
        <v>805</v>
      </c>
      <c r="E305" s="221" t="s">
        <v>27</v>
      </c>
      <c r="F305" s="223">
        <v>0</v>
      </c>
      <c r="G305" s="221" t="s">
        <v>48</v>
      </c>
      <c r="H305" s="221" t="s">
        <v>48</v>
      </c>
      <c r="I305" s="224"/>
    </row>
    <row r="306" ht="17.25" customHeight="1" spans="1:9" x14ac:dyDescent="0.25">
      <c r="A306" s="220">
        <v>318</v>
      </c>
      <c r="B306" s="221" t="s">
        <v>930</v>
      </c>
      <c r="C306" s="222" t="s">
        <v>931</v>
      </c>
      <c r="D306" s="221" t="s">
        <v>805</v>
      </c>
      <c r="E306" s="221" t="s">
        <v>27</v>
      </c>
      <c r="F306" s="223">
        <v>0</v>
      </c>
      <c r="G306" s="221" t="s">
        <v>48</v>
      </c>
      <c r="H306" s="221" t="s">
        <v>48</v>
      </c>
      <c r="I306" s="224"/>
    </row>
    <row r="307" ht="17.25" customHeight="1" spans="1:9" x14ac:dyDescent="0.25">
      <c r="A307" s="220">
        <v>319</v>
      </c>
      <c r="B307" s="221" t="s">
        <v>932</v>
      </c>
      <c r="C307" s="222" t="s">
        <v>933</v>
      </c>
      <c r="D307" s="221" t="s">
        <v>805</v>
      </c>
      <c r="E307" s="221" t="s">
        <v>27</v>
      </c>
      <c r="F307" s="223">
        <v>0</v>
      </c>
      <c r="G307" s="221" t="s">
        <v>48</v>
      </c>
      <c r="H307" s="221" t="s">
        <v>48</v>
      </c>
      <c r="I307" s="224"/>
    </row>
    <row r="308" ht="17.25" customHeight="1" spans="1:9" x14ac:dyDescent="0.25">
      <c r="A308" s="220">
        <v>320</v>
      </c>
      <c r="B308" s="221" t="s">
        <v>934</v>
      </c>
      <c r="C308" s="222" t="s">
        <v>935</v>
      </c>
      <c r="D308" s="221" t="s">
        <v>805</v>
      </c>
      <c r="E308" s="221" t="s">
        <v>27</v>
      </c>
      <c r="F308" s="223">
        <v>0</v>
      </c>
      <c r="G308" s="221" t="s">
        <v>48</v>
      </c>
      <c r="H308" s="221" t="s">
        <v>48</v>
      </c>
      <c r="I308" s="224"/>
    </row>
    <row r="309" ht="17.25" customHeight="1" spans="1:9" x14ac:dyDescent="0.25">
      <c r="A309" s="220">
        <v>321</v>
      </c>
      <c r="B309" s="221" t="s">
        <v>936</v>
      </c>
      <c r="C309" s="222" t="s">
        <v>937</v>
      </c>
      <c r="D309" s="221" t="s">
        <v>805</v>
      </c>
      <c r="E309" s="221" t="s">
        <v>27</v>
      </c>
      <c r="F309" s="223">
        <v>0</v>
      </c>
      <c r="G309" s="221" t="s">
        <v>48</v>
      </c>
      <c r="H309" s="221" t="s">
        <v>48</v>
      </c>
      <c r="I309" s="224"/>
    </row>
    <row r="310" ht="17.25" customHeight="1" spans="1:9" x14ac:dyDescent="0.25">
      <c r="A310" s="220">
        <v>322</v>
      </c>
      <c r="B310" s="221" t="s">
        <v>938</v>
      </c>
      <c r="C310" s="222" t="s">
        <v>939</v>
      </c>
      <c r="D310" s="221" t="s">
        <v>805</v>
      </c>
      <c r="E310" s="221" t="s">
        <v>27</v>
      </c>
      <c r="F310" s="223">
        <v>0</v>
      </c>
      <c r="G310" s="221" t="s">
        <v>48</v>
      </c>
      <c r="H310" s="221" t="s">
        <v>48</v>
      </c>
      <c r="I310" s="224"/>
    </row>
    <row r="311" ht="17.25" customHeight="1" spans="1:9" x14ac:dyDescent="0.25">
      <c r="A311" s="220">
        <v>323</v>
      </c>
      <c r="B311" s="221" t="s">
        <v>940</v>
      </c>
      <c r="C311" s="222" t="s">
        <v>941</v>
      </c>
      <c r="D311" s="221" t="s">
        <v>805</v>
      </c>
      <c r="E311" s="221" t="s">
        <v>27</v>
      </c>
      <c r="F311" s="223">
        <v>0</v>
      </c>
      <c r="G311" s="221" t="s">
        <v>48</v>
      </c>
      <c r="H311" s="221" t="s">
        <v>48</v>
      </c>
      <c r="I311" s="224"/>
    </row>
    <row r="312" ht="17.25" customHeight="1" spans="1:9" x14ac:dyDescent="0.25">
      <c r="A312" s="220">
        <v>324</v>
      </c>
      <c r="B312" s="221" t="s">
        <v>942</v>
      </c>
      <c r="C312" s="222" t="s">
        <v>943</v>
      </c>
      <c r="D312" s="221" t="s">
        <v>805</v>
      </c>
      <c r="E312" s="221" t="s">
        <v>27</v>
      </c>
      <c r="F312" s="223">
        <v>0</v>
      </c>
      <c r="G312" s="221" t="s">
        <v>48</v>
      </c>
      <c r="H312" s="221" t="s">
        <v>48</v>
      </c>
      <c r="I312" s="224"/>
    </row>
    <row r="313" ht="17.25" customHeight="1" spans="1:9" x14ac:dyDescent="0.25">
      <c r="A313" s="220">
        <v>325</v>
      </c>
      <c r="B313" s="221" t="s">
        <v>944</v>
      </c>
      <c r="C313" s="222" t="s">
        <v>945</v>
      </c>
      <c r="D313" s="221" t="s">
        <v>805</v>
      </c>
      <c r="E313" s="221" t="s">
        <v>27</v>
      </c>
      <c r="F313" s="223">
        <v>0</v>
      </c>
      <c r="G313" s="221" t="s">
        <v>48</v>
      </c>
      <c r="H313" s="221" t="s">
        <v>48</v>
      </c>
      <c r="I313" s="224"/>
    </row>
    <row r="314" ht="17.25" customHeight="1" spans="1:9" x14ac:dyDescent="0.25">
      <c r="A314" s="220">
        <v>326</v>
      </c>
      <c r="B314" s="221" t="s">
        <v>946</v>
      </c>
      <c r="C314" s="222" t="s">
        <v>947</v>
      </c>
      <c r="D314" s="221" t="s">
        <v>805</v>
      </c>
      <c r="E314" s="221" t="s">
        <v>27</v>
      </c>
      <c r="F314" s="223">
        <v>0</v>
      </c>
      <c r="G314" s="221" t="s">
        <v>48</v>
      </c>
      <c r="H314" s="221" t="s">
        <v>48</v>
      </c>
      <c r="I314" s="224"/>
    </row>
    <row r="315" ht="17.25" customHeight="1" spans="1:9" x14ac:dyDescent="0.25">
      <c r="A315" s="220">
        <v>328</v>
      </c>
      <c r="B315" s="221" t="s">
        <v>948</v>
      </c>
      <c r="C315" s="222" t="s">
        <v>949</v>
      </c>
      <c r="D315" s="221" t="s">
        <v>805</v>
      </c>
      <c r="E315" s="221" t="s">
        <v>27</v>
      </c>
      <c r="F315" s="223">
        <v>0</v>
      </c>
      <c r="G315" s="221" t="s">
        <v>48</v>
      </c>
      <c r="H315" s="221" t="s">
        <v>48</v>
      </c>
      <c r="I315" s="224"/>
    </row>
    <row r="316" ht="17.25" customHeight="1" spans="1:9" x14ac:dyDescent="0.25">
      <c r="A316" s="220">
        <v>329</v>
      </c>
      <c r="B316" s="221" t="s">
        <v>950</v>
      </c>
      <c r="C316" s="222" t="s">
        <v>951</v>
      </c>
      <c r="D316" s="221" t="s">
        <v>805</v>
      </c>
      <c r="E316" s="221" t="s">
        <v>27</v>
      </c>
      <c r="F316" s="223">
        <v>0</v>
      </c>
      <c r="G316" s="221" t="s">
        <v>48</v>
      </c>
      <c r="H316" s="221" t="s">
        <v>48</v>
      </c>
      <c r="I316" s="224"/>
    </row>
    <row r="317" ht="17.25" customHeight="1" spans="1:9" x14ac:dyDescent="0.25">
      <c r="A317" s="220">
        <v>330</v>
      </c>
      <c r="B317" s="221" t="s">
        <v>952</v>
      </c>
      <c r="C317" s="222" t="s">
        <v>953</v>
      </c>
      <c r="D317" s="221" t="s">
        <v>805</v>
      </c>
      <c r="E317" s="221" t="s">
        <v>27</v>
      </c>
      <c r="F317" s="223">
        <v>0</v>
      </c>
      <c r="G317" s="221" t="s">
        <v>48</v>
      </c>
      <c r="H317" s="221" t="s">
        <v>48</v>
      </c>
      <c r="I317" s="224"/>
    </row>
    <row r="318" ht="17.25" customHeight="1" spans="1:9" x14ac:dyDescent="0.25">
      <c r="A318" s="220">
        <v>331</v>
      </c>
      <c r="B318" s="221" t="s">
        <v>954</v>
      </c>
      <c r="C318" s="222" t="s">
        <v>955</v>
      </c>
      <c r="D318" s="221" t="s">
        <v>805</v>
      </c>
      <c r="E318" s="221" t="s">
        <v>27</v>
      </c>
      <c r="F318" s="223">
        <v>0</v>
      </c>
      <c r="G318" s="221" t="s">
        <v>48</v>
      </c>
      <c r="H318" s="221" t="s">
        <v>48</v>
      </c>
      <c r="I318" s="224"/>
    </row>
    <row r="319" ht="17.25" customHeight="1" spans="1:9" x14ac:dyDescent="0.25">
      <c r="A319" s="220">
        <v>332</v>
      </c>
      <c r="B319" s="221" t="s">
        <v>956</v>
      </c>
      <c r="C319" s="222" t="s">
        <v>957</v>
      </c>
      <c r="D319" s="221" t="s">
        <v>805</v>
      </c>
      <c r="E319" s="221" t="s">
        <v>27</v>
      </c>
      <c r="F319" s="223">
        <v>0</v>
      </c>
      <c r="G319" s="221" t="s">
        <v>48</v>
      </c>
      <c r="H319" s="221" t="s">
        <v>48</v>
      </c>
      <c r="I319" s="222"/>
    </row>
    <row r="320" ht="17.25" customHeight="1" spans="1:9" x14ac:dyDescent="0.25">
      <c r="A320" s="220">
        <v>333</v>
      </c>
      <c r="B320" s="221" t="s">
        <v>958</v>
      </c>
      <c r="C320" s="222" t="s">
        <v>959</v>
      </c>
      <c r="D320" s="221" t="s">
        <v>805</v>
      </c>
      <c r="E320" s="221" t="s">
        <v>27</v>
      </c>
      <c r="F320" s="223">
        <v>0</v>
      </c>
      <c r="G320" s="221" t="s">
        <v>48</v>
      </c>
      <c r="H320" s="221" t="s">
        <v>48</v>
      </c>
      <c r="I320" s="224"/>
    </row>
    <row r="321" ht="17.25" customHeight="1" spans="1:9" x14ac:dyDescent="0.25">
      <c r="A321" s="220">
        <v>334</v>
      </c>
      <c r="B321" s="221" t="s">
        <v>960</v>
      </c>
      <c r="C321" s="222" t="s">
        <v>961</v>
      </c>
      <c r="D321" s="221" t="s">
        <v>805</v>
      </c>
      <c r="E321" s="221" t="s">
        <v>27</v>
      </c>
      <c r="F321" s="223">
        <v>0</v>
      </c>
      <c r="G321" s="221" t="s">
        <v>48</v>
      </c>
      <c r="H321" s="221" t="s">
        <v>48</v>
      </c>
      <c r="I321" s="224"/>
    </row>
    <row r="322" ht="17.25" customHeight="1" spans="1:9" x14ac:dyDescent="0.25">
      <c r="A322" s="220">
        <v>335</v>
      </c>
      <c r="B322" s="221" t="s">
        <v>962</v>
      </c>
      <c r="C322" s="222" t="s">
        <v>963</v>
      </c>
      <c r="D322" s="221" t="s">
        <v>964</v>
      </c>
      <c r="E322" s="221" t="s">
        <v>27</v>
      </c>
      <c r="F322" s="223">
        <v>0</v>
      </c>
      <c r="G322" s="221" t="s">
        <v>48</v>
      </c>
      <c r="H322" s="221" t="s">
        <v>48</v>
      </c>
      <c r="I322" s="222" t="s">
        <v>656</v>
      </c>
    </row>
    <row r="323" ht="17.25" customHeight="1" spans="1:9" x14ac:dyDescent="0.25">
      <c r="A323" s="220">
        <v>336</v>
      </c>
      <c r="B323" s="221" t="s">
        <v>965</v>
      </c>
      <c r="C323" s="222" t="s">
        <v>966</v>
      </c>
      <c r="D323" s="221" t="s">
        <v>964</v>
      </c>
      <c r="E323" s="221" t="s">
        <v>27</v>
      </c>
      <c r="F323" s="223">
        <v>0</v>
      </c>
      <c r="G323" s="221" t="s">
        <v>48</v>
      </c>
      <c r="H323" s="221" t="s">
        <v>48</v>
      </c>
      <c r="I323" s="222" t="s">
        <v>967</v>
      </c>
    </row>
    <row r="324" ht="17.25" customHeight="1" spans="1:9" x14ac:dyDescent="0.25">
      <c r="A324" s="220">
        <v>338</v>
      </c>
      <c r="B324" s="221" t="s">
        <v>968</v>
      </c>
      <c r="C324" s="222" t="s">
        <v>969</v>
      </c>
      <c r="D324" s="221" t="s">
        <v>70</v>
      </c>
      <c r="E324" s="221" t="s">
        <v>395</v>
      </c>
      <c r="F324" s="223">
        <v>11200</v>
      </c>
      <c r="G324" s="221" t="s">
        <v>46</v>
      </c>
      <c r="H324" s="221" t="s">
        <v>71</v>
      </c>
      <c r="I324" s="222"/>
    </row>
    <row r="325" ht="17.25" customHeight="1" spans="1:9" x14ac:dyDescent="0.25">
      <c r="A325" s="220">
        <v>339</v>
      </c>
      <c r="B325" s="221" t="s">
        <v>970</v>
      </c>
      <c r="C325" s="222" t="s">
        <v>971</v>
      </c>
      <c r="D325" s="221" t="s">
        <v>70</v>
      </c>
      <c r="E325" s="221" t="s">
        <v>395</v>
      </c>
      <c r="F325" s="223">
        <v>11200</v>
      </c>
      <c r="G325" s="221" t="s">
        <v>46</v>
      </c>
      <c r="H325" s="221" t="s">
        <v>71</v>
      </c>
      <c r="I325" s="222"/>
    </row>
    <row r="326" ht="17.25" customHeight="1" spans="1:9" x14ac:dyDescent="0.25">
      <c r="A326" s="220">
        <v>340</v>
      </c>
      <c r="B326" s="221" t="s">
        <v>972</v>
      </c>
      <c r="C326" s="222" t="s">
        <v>973</v>
      </c>
      <c r="D326" s="221" t="s">
        <v>70</v>
      </c>
      <c r="E326" s="221" t="s">
        <v>395</v>
      </c>
      <c r="F326" s="223">
        <v>11200</v>
      </c>
      <c r="G326" s="221" t="s">
        <v>46</v>
      </c>
      <c r="H326" s="221" t="s">
        <v>71</v>
      </c>
      <c r="I326" s="222"/>
    </row>
    <row r="327" ht="17.25" customHeight="1" spans="1:9" x14ac:dyDescent="0.25">
      <c r="A327" s="220">
        <v>341</v>
      </c>
      <c r="B327" s="221" t="s">
        <v>974</v>
      </c>
      <c r="C327" s="222" t="s">
        <v>975</v>
      </c>
      <c r="D327" s="221" t="s">
        <v>70</v>
      </c>
      <c r="E327" s="221" t="s">
        <v>395</v>
      </c>
      <c r="F327" s="223">
        <v>11200</v>
      </c>
      <c r="G327" s="221" t="s">
        <v>46</v>
      </c>
      <c r="H327" s="221" t="s">
        <v>71</v>
      </c>
      <c r="I327" s="222"/>
    </row>
    <row r="328" ht="17.25" customHeight="1" spans="1:9" x14ac:dyDescent="0.25">
      <c r="A328" s="220">
        <v>342</v>
      </c>
      <c r="B328" s="221" t="s">
        <v>976</v>
      </c>
      <c r="C328" s="222" t="s">
        <v>977</v>
      </c>
      <c r="D328" s="221" t="s">
        <v>70</v>
      </c>
      <c r="E328" s="221" t="s">
        <v>395</v>
      </c>
      <c r="F328" s="223">
        <v>11200</v>
      </c>
      <c r="G328" s="221" t="s">
        <v>46</v>
      </c>
      <c r="H328" s="221" t="s">
        <v>71</v>
      </c>
      <c r="I328" s="222"/>
    </row>
    <row r="329" ht="17.25" customHeight="1" spans="1:9" x14ac:dyDescent="0.25">
      <c r="A329" s="220">
        <v>343</v>
      </c>
      <c r="B329" s="221" t="s">
        <v>978</v>
      </c>
      <c r="C329" s="222" t="s">
        <v>979</v>
      </c>
      <c r="D329" s="221" t="s">
        <v>70</v>
      </c>
      <c r="E329" s="221" t="s">
        <v>395</v>
      </c>
      <c r="F329" s="223">
        <v>11200</v>
      </c>
      <c r="G329" s="221" t="s">
        <v>46</v>
      </c>
      <c r="H329" s="221" t="s">
        <v>71</v>
      </c>
      <c r="I329" s="222"/>
    </row>
    <row r="330" ht="17.25" customHeight="1" spans="1:9" x14ac:dyDescent="0.25">
      <c r="A330" s="220">
        <v>344</v>
      </c>
      <c r="B330" s="221" t="s">
        <v>980</v>
      </c>
      <c r="C330" s="222" t="s">
        <v>981</v>
      </c>
      <c r="D330" s="221" t="s">
        <v>70</v>
      </c>
      <c r="E330" s="221" t="s">
        <v>395</v>
      </c>
      <c r="F330" s="223">
        <v>11200</v>
      </c>
      <c r="G330" s="221" t="s">
        <v>46</v>
      </c>
      <c r="H330" s="221" t="s">
        <v>71</v>
      </c>
      <c r="I330" s="222"/>
    </row>
    <row r="331" ht="17.25" customHeight="1" spans="1:9" x14ac:dyDescent="0.25">
      <c r="A331" s="220">
        <v>345</v>
      </c>
      <c r="B331" s="221" t="s">
        <v>982</v>
      </c>
      <c r="C331" s="222" t="s">
        <v>983</v>
      </c>
      <c r="D331" s="221" t="s">
        <v>70</v>
      </c>
      <c r="E331" s="221" t="s">
        <v>395</v>
      </c>
      <c r="F331" s="223">
        <v>11200</v>
      </c>
      <c r="G331" s="221" t="s">
        <v>46</v>
      </c>
      <c r="H331" s="221" t="s">
        <v>71</v>
      </c>
      <c r="I331" s="222"/>
    </row>
    <row r="332" ht="17.25" customHeight="1" spans="1:9" x14ac:dyDescent="0.25">
      <c r="A332" s="220">
        <v>346</v>
      </c>
      <c r="B332" s="221" t="s">
        <v>984</v>
      </c>
      <c r="C332" s="222" t="s">
        <v>985</v>
      </c>
      <c r="D332" s="221" t="s">
        <v>70</v>
      </c>
      <c r="E332" s="221" t="s">
        <v>395</v>
      </c>
      <c r="F332" s="223">
        <v>11200</v>
      </c>
      <c r="G332" s="221" t="s">
        <v>46</v>
      </c>
      <c r="H332" s="221" t="s">
        <v>71</v>
      </c>
      <c r="I332" s="222"/>
    </row>
    <row r="333" ht="17.25" customHeight="1" spans="1:9" x14ac:dyDescent="0.25">
      <c r="A333" s="220">
        <v>347</v>
      </c>
      <c r="B333" s="221" t="s">
        <v>986</v>
      </c>
      <c r="C333" s="222" t="s">
        <v>987</v>
      </c>
      <c r="D333" s="221" t="s">
        <v>70</v>
      </c>
      <c r="E333" s="221" t="s">
        <v>395</v>
      </c>
      <c r="F333" s="223">
        <v>11200</v>
      </c>
      <c r="G333" s="221" t="s">
        <v>46</v>
      </c>
      <c r="H333" s="221" t="s">
        <v>71</v>
      </c>
      <c r="I333" s="222"/>
    </row>
    <row r="334" ht="17.25" customHeight="1" spans="1:9" x14ac:dyDescent="0.25">
      <c r="A334" s="220">
        <v>348</v>
      </c>
      <c r="B334" s="221" t="s">
        <v>988</v>
      </c>
      <c r="C334" s="222" t="s">
        <v>989</v>
      </c>
      <c r="D334" s="221" t="s">
        <v>70</v>
      </c>
      <c r="E334" s="221" t="s">
        <v>395</v>
      </c>
      <c r="F334" s="223">
        <v>11200</v>
      </c>
      <c r="G334" s="221" t="s">
        <v>46</v>
      </c>
      <c r="H334" s="221" t="s">
        <v>71</v>
      </c>
      <c r="I334" s="222"/>
    </row>
    <row r="335" ht="17.25" customHeight="1" spans="1:9" x14ac:dyDescent="0.25">
      <c r="A335" s="220">
        <v>349</v>
      </c>
      <c r="B335" s="221" t="s">
        <v>990</v>
      </c>
      <c r="C335" s="222" t="s">
        <v>991</v>
      </c>
      <c r="D335" s="221" t="s">
        <v>70</v>
      </c>
      <c r="E335" s="221" t="s">
        <v>395</v>
      </c>
      <c r="F335" s="223">
        <v>11200</v>
      </c>
      <c r="G335" s="221" t="s">
        <v>46</v>
      </c>
      <c r="H335" s="221" t="s">
        <v>71</v>
      </c>
      <c r="I335" s="222"/>
    </row>
    <row r="336" ht="17.25" customHeight="1" spans="1:9" x14ac:dyDescent="0.25">
      <c r="A336" s="220">
        <v>350</v>
      </c>
      <c r="B336" s="221" t="s">
        <v>992</v>
      </c>
      <c r="C336" s="222" t="s">
        <v>993</v>
      </c>
      <c r="D336" s="221" t="s">
        <v>70</v>
      </c>
      <c r="E336" s="221" t="s">
        <v>395</v>
      </c>
      <c r="F336" s="223">
        <v>11200</v>
      </c>
      <c r="G336" s="221" t="s">
        <v>46</v>
      </c>
      <c r="H336" s="221" t="s">
        <v>71</v>
      </c>
      <c r="I336" s="222"/>
    </row>
    <row r="337" ht="17.25" customHeight="1" spans="1:9" x14ac:dyDescent="0.25">
      <c r="A337" s="220">
        <v>351</v>
      </c>
      <c r="B337" s="221" t="s">
        <v>994</v>
      </c>
      <c r="C337" s="222" t="s">
        <v>995</v>
      </c>
      <c r="D337" s="221" t="s">
        <v>70</v>
      </c>
      <c r="E337" s="221" t="s">
        <v>395</v>
      </c>
      <c r="F337" s="223">
        <v>11200</v>
      </c>
      <c r="G337" s="221" t="s">
        <v>46</v>
      </c>
      <c r="H337" s="221" t="s">
        <v>71</v>
      </c>
      <c r="I337" s="222"/>
    </row>
    <row r="338" ht="17.25" customHeight="1" spans="1:9" x14ac:dyDescent="0.25">
      <c r="A338" s="220">
        <v>352</v>
      </c>
      <c r="B338" s="221" t="s">
        <v>996</v>
      </c>
      <c r="C338" s="222" t="s">
        <v>997</v>
      </c>
      <c r="D338" s="221" t="s">
        <v>70</v>
      </c>
      <c r="E338" s="221" t="s">
        <v>395</v>
      </c>
      <c r="F338" s="223">
        <v>11200</v>
      </c>
      <c r="G338" s="221" t="s">
        <v>46</v>
      </c>
      <c r="H338" s="221" t="s">
        <v>71</v>
      </c>
      <c r="I338" s="222"/>
    </row>
    <row r="339" ht="17.25" customHeight="1" spans="1:9" x14ac:dyDescent="0.25">
      <c r="A339" s="220">
        <v>353</v>
      </c>
      <c r="B339" s="221" t="s">
        <v>998</v>
      </c>
      <c r="C339" s="222" t="s">
        <v>999</v>
      </c>
      <c r="D339" s="221" t="s">
        <v>70</v>
      </c>
      <c r="E339" s="221" t="s">
        <v>395</v>
      </c>
      <c r="F339" s="223">
        <v>11200</v>
      </c>
      <c r="G339" s="221" t="s">
        <v>46</v>
      </c>
      <c r="H339" s="221" t="s">
        <v>71</v>
      </c>
      <c r="I339" s="222"/>
    </row>
    <row r="340" ht="17.25" customHeight="1" spans="1:9" x14ac:dyDescent="0.25">
      <c r="A340" s="220">
        <v>354</v>
      </c>
      <c r="B340" s="221" t="s">
        <v>1000</v>
      </c>
      <c r="C340" s="222" t="s">
        <v>1001</v>
      </c>
      <c r="D340" s="221" t="s">
        <v>70</v>
      </c>
      <c r="E340" s="221" t="s">
        <v>395</v>
      </c>
      <c r="F340" s="223">
        <v>11200</v>
      </c>
      <c r="G340" s="221" t="s">
        <v>46</v>
      </c>
      <c r="H340" s="221" t="s">
        <v>71</v>
      </c>
      <c r="I340" s="222"/>
    </row>
    <row r="341" ht="17.25" customHeight="1" spans="1:9" x14ac:dyDescent="0.25">
      <c r="A341" s="220">
        <v>355</v>
      </c>
      <c r="B341" s="221" t="s">
        <v>1002</v>
      </c>
      <c r="C341" s="222" t="s">
        <v>1003</v>
      </c>
      <c r="D341" s="221" t="s">
        <v>70</v>
      </c>
      <c r="E341" s="221" t="s">
        <v>395</v>
      </c>
      <c r="F341" s="223">
        <v>11200</v>
      </c>
      <c r="G341" s="221" t="s">
        <v>46</v>
      </c>
      <c r="H341" s="221" t="s">
        <v>71</v>
      </c>
      <c r="I341" s="222"/>
    </row>
    <row r="342" ht="17.25" customHeight="1" spans="1:9" x14ac:dyDescent="0.25">
      <c r="A342" s="220">
        <v>356</v>
      </c>
      <c r="B342" s="221" t="s">
        <v>1004</v>
      </c>
      <c r="C342" s="222" t="s">
        <v>1005</v>
      </c>
      <c r="D342" s="221" t="s">
        <v>70</v>
      </c>
      <c r="E342" s="221" t="s">
        <v>395</v>
      </c>
      <c r="F342" s="223">
        <v>11200</v>
      </c>
      <c r="G342" s="221" t="s">
        <v>46</v>
      </c>
      <c r="H342" s="221" t="s">
        <v>71</v>
      </c>
      <c r="I342" s="222"/>
    </row>
    <row r="343" ht="17.25" customHeight="1" spans="1:9" x14ac:dyDescent="0.25">
      <c r="A343" s="220">
        <v>357</v>
      </c>
      <c r="B343" s="221" t="s">
        <v>1006</v>
      </c>
      <c r="C343" s="222" t="s">
        <v>1007</v>
      </c>
      <c r="D343" s="221" t="s">
        <v>70</v>
      </c>
      <c r="E343" s="221" t="s">
        <v>395</v>
      </c>
      <c r="F343" s="223">
        <v>11200</v>
      </c>
      <c r="G343" s="221" t="s">
        <v>46</v>
      </c>
      <c r="H343" s="221" t="s">
        <v>71</v>
      </c>
      <c r="I343" s="222"/>
    </row>
    <row r="344" ht="17.25" customHeight="1" spans="1:9" x14ac:dyDescent="0.25">
      <c r="A344" s="220">
        <v>359</v>
      </c>
      <c r="B344" s="221" t="s">
        <v>1008</v>
      </c>
      <c r="C344" s="222" t="s">
        <v>1009</v>
      </c>
      <c r="D344" s="221" t="s">
        <v>70</v>
      </c>
      <c r="E344" s="221" t="s">
        <v>395</v>
      </c>
      <c r="F344" s="223">
        <v>11200</v>
      </c>
      <c r="G344" s="221" t="s">
        <v>46</v>
      </c>
      <c r="H344" s="221" t="s">
        <v>71</v>
      </c>
      <c r="I344" s="222"/>
    </row>
    <row r="345" ht="17.25" customHeight="1" spans="1:9" x14ac:dyDescent="0.25">
      <c r="A345" s="220">
        <v>360</v>
      </c>
      <c r="B345" s="221" t="s">
        <v>1010</v>
      </c>
      <c r="C345" s="222" t="s">
        <v>1011</v>
      </c>
      <c r="D345" s="221" t="s">
        <v>70</v>
      </c>
      <c r="E345" s="221" t="s">
        <v>395</v>
      </c>
      <c r="F345" s="223">
        <v>11200</v>
      </c>
      <c r="G345" s="221" t="s">
        <v>46</v>
      </c>
      <c r="H345" s="221" t="s">
        <v>71</v>
      </c>
      <c r="I345" s="222"/>
    </row>
    <row r="346" ht="17.25" customHeight="1" spans="1:9" x14ac:dyDescent="0.25">
      <c r="A346" s="220">
        <v>361</v>
      </c>
      <c r="B346" s="221" t="s">
        <v>1012</v>
      </c>
      <c r="C346" s="222" t="s">
        <v>1013</v>
      </c>
      <c r="D346" s="221" t="s">
        <v>70</v>
      </c>
      <c r="E346" s="221" t="s">
        <v>395</v>
      </c>
      <c r="F346" s="223">
        <v>11200</v>
      </c>
      <c r="G346" s="221" t="s">
        <v>46</v>
      </c>
      <c r="H346" s="221" t="s">
        <v>71</v>
      </c>
      <c r="I346" s="222"/>
    </row>
    <row r="347" ht="17.25" customHeight="1" spans="1:9" x14ac:dyDescent="0.25">
      <c r="A347" s="220">
        <v>363</v>
      </c>
      <c r="B347" s="221" t="s">
        <v>1014</v>
      </c>
      <c r="C347" s="222" t="s">
        <v>1015</v>
      </c>
      <c r="D347" s="221" t="s">
        <v>70</v>
      </c>
      <c r="E347" s="221" t="s">
        <v>395</v>
      </c>
      <c r="F347" s="223">
        <v>11200</v>
      </c>
      <c r="G347" s="221" t="s">
        <v>46</v>
      </c>
      <c r="H347" s="221" t="s">
        <v>71</v>
      </c>
      <c r="I347" s="222" t="s">
        <v>1016</v>
      </c>
    </row>
    <row r="348" ht="17.25" customHeight="1" spans="1:9" x14ac:dyDescent="0.25">
      <c r="A348" s="220">
        <v>364</v>
      </c>
      <c r="B348" s="221" t="s">
        <v>1017</v>
      </c>
      <c r="C348" s="222" t="s">
        <v>1018</v>
      </c>
      <c r="D348" s="221" t="s">
        <v>70</v>
      </c>
      <c r="E348" s="221" t="s">
        <v>395</v>
      </c>
      <c r="F348" s="223">
        <v>11200</v>
      </c>
      <c r="G348" s="221" t="s">
        <v>46</v>
      </c>
      <c r="H348" s="221" t="s">
        <v>71</v>
      </c>
      <c r="I348" s="222"/>
    </row>
    <row r="349" ht="17.25" customHeight="1" spans="1:9" x14ac:dyDescent="0.25">
      <c r="A349" s="220">
        <v>365</v>
      </c>
      <c r="B349" s="221" t="s">
        <v>1019</v>
      </c>
      <c r="C349" s="222" t="s">
        <v>1020</v>
      </c>
      <c r="D349" s="221" t="s">
        <v>70</v>
      </c>
      <c r="E349" s="221" t="s">
        <v>395</v>
      </c>
      <c r="F349" s="223">
        <v>11200</v>
      </c>
      <c r="G349" s="221" t="s">
        <v>46</v>
      </c>
      <c r="H349" s="221" t="s">
        <v>71</v>
      </c>
      <c r="I349" s="222"/>
    </row>
    <row r="350" ht="17.25" customHeight="1" spans="1:9" x14ac:dyDescent="0.25">
      <c r="A350" s="220">
        <v>366</v>
      </c>
      <c r="B350" s="221" t="s">
        <v>1021</v>
      </c>
      <c r="C350" s="222" t="s">
        <v>1022</v>
      </c>
      <c r="D350" s="221" t="s">
        <v>70</v>
      </c>
      <c r="E350" s="221" t="s">
        <v>395</v>
      </c>
      <c r="F350" s="223">
        <v>11200</v>
      </c>
      <c r="G350" s="221" t="s">
        <v>46</v>
      </c>
      <c r="H350" s="221" t="s">
        <v>71</v>
      </c>
      <c r="I350" s="222"/>
    </row>
    <row r="351" ht="17.25" customHeight="1" spans="1:9" x14ac:dyDescent="0.25">
      <c r="A351" s="220">
        <v>367</v>
      </c>
      <c r="B351" s="221" t="s">
        <v>1023</v>
      </c>
      <c r="C351" s="222" t="s">
        <v>1024</v>
      </c>
      <c r="D351" s="221" t="s">
        <v>70</v>
      </c>
      <c r="E351" s="221" t="s">
        <v>395</v>
      </c>
      <c r="F351" s="223">
        <v>11200</v>
      </c>
      <c r="G351" s="221" t="s">
        <v>46</v>
      </c>
      <c r="H351" s="221" t="s">
        <v>71</v>
      </c>
      <c r="I351" s="222"/>
    </row>
    <row r="352" ht="17.25" customHeight="1" spans="1:9" x14ac:dyDescent="0.25">
      <c r="A352" s="220">
        <v>368</v>
      </c>
      <c r="B352" s="221" t="s">
        <v>1025</v>
      </c>
      <c r="C352" s="222" t="s">
        <v>1026</v>
      </c>
      <c r="D352" s="221" t="s">
        <v>70</v>
      </c>
      <c r="E352" s="221" t="s">
        <v>395</v>
      </c>
      <c r="F352" s="223">
        <v>11200</v>
      </c>
      <c r="G352" s="221" t="s">
        <v>46</v>
      </c>
      <c r="H352" s="221" t="s">
        <v>71</v>
      </c>
      <c r="I352" s="222"/>
    </row>
    <row r="353" ht="17.25" customHeight="1" spans="1:9" x14ac:dyDescent="0.25">
      <c r="A353" s="220">
        <v>369</v>
      </c>
      <c r="B353" s="221" t="s">
        <v>1027</v>
      </c>
      <c r="C353" s="222" t="s">
        <v>1028</v>
      </c>
      <c r="D353" s="221" t="s">
        <v>70</v>
      </c>
      <c r="E353" s="221" t="s">
        <v>395</v>
      </c>
      <c r="F353" s="223">
        <v>11200</v>
      </c>
      <c r="G353" s="221" t="s">
        <v>46</v>
      </c>
      <c r="H353" s="221" t="s">
        <v>71</v>
      </c>
      <c r="I353" s="222"/>
    </row>
    <row r="354" ht="17.25" customHeight="1" spans="1:9" x14ac:dyDescent="0.25">
      <c r="A354" s="220">
        <v>370</v>
      </c>
      <c r="B354" s="221" t="s">
        <v>1029</v>
      </c>
      <c r="C354" s="222" t="s">
        <v>1030</v>
      </c>
      <c r="D354" s="221" t="s">
        <v>70</v>
      </c>
      <c r="E354" s="221" t="s">
        <v>395</v>
      </c>
      <c r="F354" s="223">
        <v>11200</v>
      </c>
      <c r="G354" s="221" t="s">
        <v>46</v>
      </c>
      <c r="H354" s="221" t="s">
        <v>71</v>
      </c>
      <c r="I354" s="222"/>
    </row>
    <row r="355" ht="17.25" customHeight="1" spans="1:9" x14ac:dyDescent="0.25">
      <c r="A355" s="220">
        <v>371</v>
      </c>
      <c r="B355" s="221" t="s">
        <v>1031</v>
      </c>
      <c r="C355" s="222" t="s">
        <v>1032</v>
      </c>
      <c r="D355" s="221" t="s">
        <v>70</v>
      </c>
      <c r="E355" s="221" t="s">
        <v>395</v>
      </c>
      <c r="F355" s="223">
        <v>11200</v>
      </c>
      <c r="G355" s="221" t="s">
        <v>46</v>
      </c>
      <c r="H355" s="221" t="s">
        <v>71</v>
      </c>
      <c r="I355" s="222"/>
    </row>
    <row r="356" ht="17.25" customHeight="1" spans="1:9" x14ac:dyDescent="0.25">
      <c r="A356" s="220">
        <v>372</v>
      </c>
      <c r="B356" s="221" t="s">
        <v>1033</v>
      </c>
      <c r="C356" s="222" t="s">
        <v>1034</v>
      </c>
      <c r="D356" s="221" t="s">
        <v>70</v>
      </c>
      <c r="E356" s="221" t="s">
        <v>395</v>
      </c>
      <c r="F356" s="223">
        <v>11200</v>
      </c>
      <c r="G356" s="221" t="s">
        <v>46</v>
      </c>
      <c r="H356" s="221" t="s">
        <v>71</v>
      </c>
      <c r="I356" s="222"/>
    </row>
    <row r="357" ht="17.25" customHeight="1" spans="1:9" x14ac:dyDescent="0.25">
      <c r="A357" s="220">
        <v>373</v>
      </c>
      <c r="B357" s="221" t="s">
        <v>1035</v>
      </c>
      <c r="C357" s="222" t="s">
        <v>1036</v>
      </c>
      <c r="D357" s="221" t="s">
        <v>70</v>
      </c>
      <c r="E357" s="221" t="s">
        <v>395</v>
      </c>
      <c r="F357" s="223">
        <v>11200</v>
      </c>
      <c r="G357" s="221" t="s">
        <v>46</v>
      </c>
      <c r="H357" s="221" t="s">
        <v>71</v>
      </c>
      <c r="I357" s="222"/>
    </row>
    <row r="358" ht="17.25" customHeight="1" spans="1:9" x14ac:dyDescent="0.25">
      <c r="A358" s="220">
        <v>374</v>
      </c>
      <c r="B358" s="221" t="s">
        <v>1037</v>
      </c>
      <c r="C358" s="222" t="s">
        <v>1038</v>
      </c>
      <c r="D358" s="221" t="s">
        <v>70</v>
      </c>
      <c r="E358" s="221" t="s">
        <v>395</v>
      </c>
      <c r="F358" s="223">
        <v>11200</v>
      </c>
      <c r="G358" s="221" t="s">
        <v>46</v>
      </c>
      <c r="H358" s="221" t="s">
        <v>71</v>
      </c>
      <c r="I358" s="222"/>
    </row>
    <row r="359" ht="17.25" customHeight="1" spans="1:9" x14ac:dyDescent="0.25">
      <c r="A359" s="220">
        <v>375</v>
      </c>
      <c r="B359" s="221" t="s">
        <v>1039</v>
      </c>
      <c r="C359" s="222" t="s">
        <v>1040</v>
      </c>
      <c r="D359" s="221" t="s">
        <v>70</v>
      </c>
      <c r="E359" s="221" t="s">
        <v>395</v>
      </c>
      <c r="F359" s="223">
        <v>11200</v>
      </c>
      <c r="G359" s="221" t="s">
        <v>46</v>
      </c>
      <c r="H359" s="221" t="s">
        <v>71</v>
      </c>
      <c r="I359" s="222"/>
    </row>
    <row r="360" ht="17.25" customHeight="1" spans="1:9" x14ac:dyDescent="0.25">
      <c r="A360" s="220">
        <v>376</v>
      </c>
      <c r="B360" s="221" t="s">
        <v>1041</v>
      </c>
      <c r="C360" s="222" t="s">
        <v>1042</v>
      </c>
      <c r="D360" s="221" t="s">
        <v>70</v>
      </c>
      <c r="E360" s="221" t="s">
        <v>395</v>
      </c>
      <c r="F360" s="223">
        <v>11200</v>
      </c>
      <c r="G360" s="221" t="s">
        <v>46</v>
      </c>
      <c r="H360" s="221" t="s">
        <v>71</v>
      </c>
      <c r="I360" s="222"/>
    </row>
    <row r="361" ht="17.25" customHeight="1" spans="1:9" x14ac:dyDescent="0.25">
      <c r="A361" s="220">
        <v>377</v>
      </c>
      <c r="B361" s="221" t="s">
        <v>1043</v>
      </c>
      <c r="C361" s="222" t="s">
        <v>1044</v>
      </c>
      <c r="D361" s="221" t="s">
        <v>70</v>
      </c>
      <c r="E361" s="221" t="s">
        <v>395</v>
      </c>
      <c r="F361" s="223">
        <v>11200</v>
      </c>
      <c r="G361" s="221" t="s">
        <v>46</v>
      </c>
      <c r="H361" s="221" t="s">
        <v>71</v>
      </c>
      <c r="I361" s="222"/>
    </row>
    <row r="362" ht="17.25" customHeight="1" spans="1:9" x14ac:dyDescent="0.25">
      <c r="A362" s="220">
        <v>378</v>
      </c>
      <c r="B362" s="221" t="s">
        <v>1045</v>
      </c>
      <c r="C362" s="222" t="s">
        <v>1046</v>
      </c>
      <c r="D362" s="221" t="s">
        <v>70</v>
      </c>
      <c r="E362" s="221" t="s">
        <v>395</v>
      </c>
      <c r="F362" s="223">
        <v>11200</v>
      </c>
      <c r="G362" s="221" t="s">
        <v>46</v>
      </c>
      <c r="H362" s="221" t="s">
        <v>71</v>
      </c>
      <c r="I362" s="222"/>
    </row>
    <row r="363" ht="17.25" customHeight="1" spans="1:9" x14ac:dyDescent="0.25">
      <c r="A363" s="220">
        <v>380</v>
      </c>
      <c r="B363" s="221" t="s">
        <v>1047</v>
      </c>
      <c r="C363" s="222" t="s">
        <v>1048</v>
      </c>
      <c r="D363" s="221" t="s">
        <v>70</v>
      </c>
      <c r="E363" s="221" t="s">
        <v>395</v>
      </c>
      <c r="F363" s="223">
        <v>11200</v>
      </c>
      <c r="G363" s="221" t="s">
        <v>46</v>
      </c>
      <c r="H363" s="221" t="s">
        <v>71</v>
      </c>
      <c r="I363" s="222"/>
    </row>
    <row r="364" ht="17.25" customHeight="1" spans="1:9" x14ac:dyDescent="0.25">
      <c r="A364" s="220">
        <v>381</v>
      </c>
      <c r="B364" s="221" t="s">
        <v>1049</v>
      </c>
      <c r="C364" s="222" t="s">
        <v>1050</v>
      </c>
      <c r="D364" s="221" t="s">
        <v>70</v>
      </c>
      <c r="E364" s="221" t="s">
        <v>395</v>
      </c>
      <c r="F364" s="223">
        <v>11200</v>
      </c>
      <c r="G364" s="221" t="s">
        <v>46</v>
      </c>
      <c r="H364" s="221" t="s">
        <v>71</v>
      </c>
      <c r="I364" s="222"/>
    </row>
    <row r="365" ht="17.25" customHeight="1" spans="1:9" x14ac:dyDescent="0.25">
      <c r="A365" s="220">
        <v>382</v>
      </c>
      <c r="B365" s="221" t="s">
        <v>1051</v>
      </c>
      <c r="C365" s="222" t="s">
        <v>1052</v>
      </c>
      <c r="D365" s="221" t="s">
        <v>70</v>
      </c>
      <c r="E365" s="221" t="s">
        <v>395</v>
      </c>
      <c r="F365" s="223">
        <v>11200</v>
      </c>
      <c r="G365" s="221" t="s">
        <v>46</v>
      </c>
      <c r="H365" s="221" t="s">
        <v>71</v>
      </c>
      <c r="I365" s="222"/>
    </row>
    <row r="366" ht="17.25" customHeight="1" spans="1:9" x14ac:dyDescent="0.25">
      <c r="A366" s="220">
        <v>383</v>
      </c>
      <c r="B366" s="221" t="s">
        <v>1053</v>
      </c>
      <c r="C366" s="222" t="s">
        <v>1054</v>
      </c>
      <c r="D366" s="221" t="s">
        <v>70</v>
      </c>
      <c r="E366" s="221" t="s">
        <v>395</v>
      </c>
      <c r="F366" s="223">
        <v>11200</v>
      </c>
      <c r="G366" s="221" t="s">
        <v>46</v>
      </c>
      <c r="H366" s="221" t="s">
        <v>71</v>
      </c>
      <c r="I366" s="222"/>
    </row>
    <row r="367" ht="17.25" customHeight="1" spans="1:9" x14ac:dyDescent="0.25">
      <c r="A367" s="220">
        <v>384</v>
      </c>
      <c r="B367" s="221" t="s">
        <v>1055</v>
      </c>
      <c r="C367" s="222" t="s">
        <v>1056</v>
      </c>
      <c r="D367" s="221" t="s">
        <v>70</v>
      </c>
      <c r="E367" s="221" t="s">
        <v>395</v>
      </c>
      <c r="F367" s="223">
        <v>11200</v>
      </c>
      <c r="G367" s="221" t="s">
        <v>46</v>
      </c>
      <c r="H367" s="221" t="s">
        <v>71</v>
      </c>
      <c r="I367" s="222"/>
    </row>
    <row r="368" ht="17.25" customHeight="1" spans="1:9" x14ac:dyDescent="0.25">
      <c r="A368" s="220">
        <v>385</v>
      </c>
      <c r="B368" s="221" t="s">
        <v>1057</v>
      </c>
      <c r="C368" s="222" t="s">
        <v>1058</v>
      </c>
      <c r="D368" s="221" t="s">
        <v>70</v>
      </c>
      <c r="E368" s="221" t="s">
        <v>395</v>
      </c>
      <c r="F368" s="223">
        <v>11200</v>
      </c>
      <c r="G368" s="221" t="s">
        <v>46</v>
      </c>
      <c r="H368" s="221" t="s">
        <v>71</v>
      </c>
      <c r="I368" s="222"/>
    </row>
    <row r="369" ht="17.25" customHeight="1" spans="1:9" x14ac:dyDescent="0.25">
      <c r="A369" s="220">
        <v>386</v>
      </c>
      <c r="B369" s="221" t="s">
        <v>1059</v>
      </c>
      <c r="C369" s="222" t="s">
        <v>1060</v>
      </c>
      <c r="D369" s="221" t="s">
        <v>70</v>
      </c>
      <c r="E369" s="221" t="s">
        <v>395</v>
      </c>
      <c r="F369" s="223">
        <v>11200</v>
      </c>
      <c r="G369" s="221" t="s">
        <v>46</v>
      </c>
      <c r="H369" s="221" t="s">
        <v>71</v>
      </c>
      <c r="I369" s="222"/>
    </row>
    <row r="370" ht="17.25" customHeight="1" spans="1:9" x14ac:dyDescent="0.25">
      <c r="A370" s="220">
        <v>387</v>
      </c>
      <c r="B370" s="221" t="s">
        <v>1061</v>
      </c>
      <c r="C370" s="222" t="s">
        <v>1062</v>
      </c>
      <c r="D370" s="221" t="s">
        <v>70</v>
      </c>
      <c r="E370" s="221" t="s">
        <v>395</v>
      </c>
      <c r="F370" s="223">
        <v>11200</v>
      </c>
      <c r="G370" s="221" t="s">
        <v>46</v>
      </c>
      <c r="H370" s="221" t="s">
        <v>71</v>
      </c>
      <c r="I370" s="222"/>
    </row>
    <row r="371" ht="17.25" customHeight="1" spans="1:9" x14ac:dyDescent="0.25">
      <c r="A371" s="220">
        <v>388</v>
      </c>
      <c r="B371" s="221" t="s">
        <v>1063</v>
      </c>
      <c r="C371" s="222" t="s">
        <v>1064</v>
      </c>
      <c r="D371" s="221" t="s">
        <v>70</v>
      </c>
      <c r="E371" s="221" t="s">
        <v>395</v>
      </c>
      <c r="F371" s="223">
        <v>11200</v>
      </c>
      <c r="G371" s="221" t="s">
        <v>46</v>
      </c>
      <c r="H371" s="221" t="s">
        <v>71</v>
      </c>
      <c r="I371" s="222"/>
    </row>
    <row r="372" ht="17.25" customHeight="1" spans="1:9" x14ac:dyDescent="0.25">
      <c r="A372" s="220">
        <v>389</v>
      </c>
      <c r="B372" s="221" t="s">
        <v>1065</v>
      </c>
      <c r="C372" s="222" t="s">
        <v>1066</v>
      </c>
      <c r="D372" s="221" t="s">
        <v>70</v>
      </c>
      <c r="E372" s="221" t="s">
        <v>395</v>
      </c>
      <c r="F372" s="223">
        <v>11200</v>
      </c>
      <c r="G372" s="221" t="s">
        <v>46</v>
      </c>
      <c r="H372" s="221" t="s">
        <v>71</v>
      </c>
      <c r="I372" s="222"/>
    </row>
    <row r="373" ht="17.25" customHeight="1" spans="1:9" x14ac:dyDescent="0.25">
      <c r="A373" s="220">
        <v>390</v>
      </c>
      <c r="B373" s="221" t="s">
        <v>1067</v>
      </c>
      <c r="C373" s="222" t="s">
        <v>1068</v>
      </c>
      <c r="D373" s="221" t="s">
        <v>70</v>
      </c>
      <c r="E373" s="221" t="s">
        <v>395</v>
      </c>
      <c r="F373" s="223">
        <v>11200</v>
      </c>
      <c r="G373" s="221" t="s">
        <v>46</v>
      </c>
      <c r="H373" s="221" t="s">
        <v>71</v>
      </c>
      <c r="I373" s="222"/>
    </row>
    <row r="374" ht="17.25" customHeight="1" spans="1:9" x14ac:dyDescent="0.25">
      <c r="A374" s="220">
        <v>391</v>
      </c>
      <c r="B374" s="221" t="s">
        <v>1069</v>
      </c>
      <c r="C374" s="222" t="s">
        <v>1070</v>
      </c>
      <c r="D374" s="221" t="s">
        <v>70</v>
      </c>
      <c r="E374" s="221" t="s">
        <v>395</v>
      </c>
      <c r="F374" s="223">
        <v>11200</v>
      </c>
      <c r="G374" s="221" t="s">
        <v>46</v>
      </c>
      <c r="H374" s="221" t="s">
        <v>71</v>
      </c>
      <c r="I374" s="222"/>
    </row>
    <row r="375" ht="17.25" customHeight="1" spans="1:9" x14ac:dyDescent="0.25">
      <c r="A375" s="220">
        <v>392</v>
      </c>
      <c r="B375" s="221" t="s">
        <v>1071</v>
      </c>
      <c r="C375" s="222" t="s">
        <v>1072</v>
      </c>
      <c r="D375" s="221" t="s">
        <v>70</v>
      </c>
      <c r="E375" s="221" t="s">
        <v>395</v>
      </c>
      <c r="F375" s="223">
        <v>11200</v>
      </c>
      <c r="G375" s="221" t="s">
        <v>46</v>
      </c>
      <c r="H375" s="221" t="s">
        <v>71</v>
      </c>
      <c r="I375" s="222"/>
    </row>
    <row r="376" ht="17.25" customHeight="1" spans="1:9" x14ac:dyDescent="0.25">
      <c r="A376" s="220">
        <v>393</v>
      </c>
      <c r="B376" s="221" t="s">
        <v>1073</v>
      </c>
      <c r="C376" s="222" t="s">
        <v>1074</v>
      </c>
      <c r="D376" s="221" t="s">
        <v>70</v>
      </c>
      <c r="E376" s="221" t="s">
        <v>395</v>
      </c>
      <c r="F376" s="223">
        <v>11200</v>
      </c>
      <c r="G376" s="221" t="s">
        <v>46</v>
      </c>
      <c r="H376" s="221" t="s">
        <v>71</v>
      </c>
      <c r="I376" s="222"/>
    </row>
    <row r="377" ht="17.25" customHeight="1" spans="1:9" x14ac:dyDescent="0.25">
      <c r="A377" s="220">
        <v>394</v>
      </c>
      <c r="B377" s="221" t="s">
        <v>1075</v>
      </c>
      <c r="C377" s="222" t="s">
        <v>1076</v>
      </c>
      <c r="D377" s="221" t="s">
        <v>70</v>
      </c>
      <c r="E377" s="221" t="s">
        <v>395</v>
      </c>
      <c r="F377" s="223">
        <v>11200</v>
      </c>
      <c r="G377" s="221" t="s">
        <v>46</v>
      </c>
      <c r="H377" s="221" t="s">
        <v>71</v>
      </c>
      <c r="I377" s="222"/>
    </row>
    <row r="378" ht="17.25" customHeight="1" spans="1:9" x14ac:dyDescent="0.25">
      <c r="A378" s="220">
        <v>395</v>
      </c>
      <c r="B378" s="221" t="s">
        <v>1077</v>
      </c>
      <c r="C378" s="222" t="s">
        <v>1078</v>
      </c>
      <c r="D378" s="221" t="s">
        <v>70</v>
      </c>
      <c r="E378" s="221" t="s">
        <v>395</v>
      </c>
      <c r="F378" s="223">
        <v>11200</v>
      </c>
      <c r="G378" s="221" t="s">
        <v>46</v>
      </c>
      <c r="H378" s="221" t="s">
        <v>71</v>
      </c>
      <c r="I378" s="222"/>
    </row>
    <row r="379" ht="17.25" customHeight="1" spans="1:9" x14ac:dyDescent="0.25">
      <c r="A379" s="220">
        <v>396</v>
      </c>
      <c r="B379" s="221" t="s">
        <v>1079</v>
      </c>
      <c r="C379" s="222" t="s">
        <v>1080</v>
      </c>
      <c r="D379" s="221" t="s">
        <v>70</v>
      </c>
      <c r="E379" s="221" t="s">
        <v>395</v>
      </c>
      <c r="F379" s="223">
        <v>11200</v>
      </c>
      <c r="G379" s="221" t="s">
        <v>46</v>
      </c>
      <c r="H379" s="221" t="s">
        <v>71</v>
      </c>
      <c r="I379" s="222"/>
    </row>
    <row r="380" ht="17.25" customHeight="1" spans="1:9" x14ac:dyDescent="0.25">
      <c r="A380" s="220">
        <v>397</v>
      </c>
      <c r="B380" s="221" t="s">
        <v>1081</v>
      </c>
      <c r="C380" s="222" t="s">
        <v>1082</v>
      </c>
      <c r="D380" s="221" t="s">
        <v>70</v>
      </c>
      <c r="E380" s="221" t="s">
        <v>395</v>
      </c>
      <c r="F380" s="223">
        <v>11200</v>
      </c>
      <c r="G380" s="221" t="s">
        <v>46</v>
      </c>
      <c r="H380" s="221" t="s">
        <v>71</v>
      </c>
      <c r="I380" s="222"/>
    </row>
    <row r="381" ht="17.25" customHeight="1" spans="1:9" x14ac:dyDescent="0.25">
      <c r="A381" s="220">
        <v>398</v>
      </c>
      <c r="B381" s="221" t="s">
        <v>1083</v>
      </c>
      <c r="C381" s="222" t="s">
        <v>1084</v>
      </c>
      <c r="D381" s="221" t="s">
        <v>70</v>
      </c>
      <c r="E381" s="221" t="s">
        <v>395</v>
      </c>
      <c r="F381" s="223">
        <v>11200</v>
      </c>
      <c r="G381" s="221" t="s">
        <v>46</v>
      </c>
      <c r="H381" s="221" t="s">
        <v>71</v>
      </c>
      <c r="I381" s="222"/>
    </row>
    <row r="382" ht="17.25" customHeight="1" spans="1:9" x14ac:dyDescent="0.25">
      <c r="A382" s="220">
        <v>399</v>
      </c>
      <c r="B382" s="221" t="s">
        <v>1085</v>
      </c>
      <c r="C382" s="222" t="s">
        <v>1086</v>
      </c>
      <c r="D382" s="221" t="s">
        <v>70</v>
      </c>
      <c r="E382" s="221" t="s">
        <v>395</v>
      </c>
      <c r="F382" s="223">
        <v>11200</v>
      </c>
      <c r="G382" s="221" t="s">
        <v>46</v>
      </c>
      <c r="H382" s="221" t="s">
        <v>71</v>
      </c>
      <c r="I382" s="222"/>
    </row>
    <row r="383" ht="17.25" customHeight="1" spans="1:9" x14ac:dyDescent="0.25">
      <c r="A383" s="220">
        <v>400</v>
      </c>
      <c r="B383" s="221" t="s">
        <v>1087</v>
      </c>
      <c r="C383" s="222" t="s">
        <v>1088</v>
      </c>
      <c r="D383" s="221" t="s">
        <v>70</v>
      </c>
      <c r="E383" s="221" t="s">
        <v>395</v>
      </c>
      <c r="F383" s="223">
        <v>11200</v>
      </c>
      <c r="G383" s="221" t="s">
        <v>46</v>
      </c>
      <c r="H383" s="221" t="s">
        <v>71</v>
      </c>
      <c r="I383" s="222"/>
    </row>
    <row r="384" ht="17.25" customHeight="1" spans="1:9" x14ac:dyDescent="0.25">
      <c r="A384" s="220">
        <v>401</v>
      </c>
      <c r="B384" s="221" t="s">
        <v>1089</v>
      </c>
      <c r="C384" s="222" t="s">
        <v>1090</v>
      </c>
      <c r="D384" s="221" t="s">
        <v>70</v>
      </c>
      <c r="E384" s="221" t="s">
        <v>395</v>
      </c>
      <c r="F384" s="223">
        <v>11200</v>
      </c>
      <c r="G384" s="221" t="s">
        <v>46</v>
      </c>
      <c r="H384" s="221" t="s">
        <v>71</v>
      </c>
      <c r="I384" s="222"/>
    </row>
    <row r="385" ht="17.25" customHeight="1" spans="1:9" x14ac:dyDescent="0.25">
      <c r="A385" s="220">
        <v>402</v>
      </c>
      <c r="B385" s="221" t="s">
        <v>1091</v>
      </c>
      <c r="C385" s="222" t="s">
        <v>1092</v>
      </c>
      <c r="D385" s="221" t="s">
        <v>70</v>
      </c>
      <c r="E385" s="221" t="s">
        <v>395</v>
      </c>
      <c r="F385" s="223">
        <v>11200</v>
      </c>
      <c r="G385" s="221" t="s">
        <v>46</v>
      </c>
      <c r="H385" s="221" t="s">
        <v>71</v>
      </c>
      <c r="I385" s="222"/>
    </row>
    <row r="386" ht="17.25" customHeight="1" spans="1:9" x14ac:dyDescent="0.25">
      <c r="A386" s="220">
        <v>403</v>
      </c>
      <c r="B386" s="221" t="s">
        <v>1093</v>
      </c>
      <c r="C386" s="222" t="s">
        <v>1094</v>
      </c>
      <c r="D386" s="221" t="s">
        <v>70</v>
      </c>
      <c r="E386" s="221" t="s">
        <v>395</v>
      </c>
      <c r="F386" s="223">
        <v>11200</v>
      </c>
      <c r="G386" s="221" t="s">
        <v>46</v>
      </c>
      <c r="H386" s="221" t="s">
        <v>71</v>
      </c>
      <c r="I386" s="222"/>
    </row>
    <row r="387" ht="17.25" customHeight="1" spans="1:9" x14ac:dyDescent="0.25">
      <c r="A387" s="220">
        <v>404</v>
      </c>
      <c r="B387" s="221" t="s">
        <v>1095</v>
      </c>
      <c r="C387" s="222" t="s">
        <v>1096</v>
      </c>
      <c r="D387" s="221" t="s">
        <v>70</v>
      </c>
      <c r="E387" s="221" t="s">
        <v>395</v>
      </c>
      <c r="F387" s="223">
        <v>11200</v>
      </c>
      <c r="G387" s="221" t="s">
        <v>46</v>
      </c>
      <c r="H387" s="221" t="s">
        <v>71</v>
      </c>
      <c r="I387" s="222"/>
    </row>
    <row r="388" ht="17.25" customHeight="1" spans="1:9" x14ac:dyDescent="0.25">
      <c r="A388" s="220">
        <v>405</v>
      </c>
      <c r="B388" s="221" t="s">
        <v>1097</v>
      </c>
      <c r="C388" s="222" t="s">
        <v>1098</v>
      </c>
      <c r="D388" s="221" t="s">
        <v>70</v>
      </c>
      <c r="E388" s="221" t="s">
        <v>395</v>
      </c>
      <c r="F388" s="223">
        <v>11200</v>
      </c>
      <c r="G388" s="221" t="s">
        <v>46</v>
      </c>
      <c r="H388" s="221" t="s">
        <v>71</v>
      </c>
      <c r="I388" s="222"/>
    </row>
    <row r="389" ht="17.25" customHeight="1" spans="1:9" x14ac:dyDescent="0.25">
      <c r="A389" s="220">
        <v>406</v>
      </c>
      <c r="B389" s="221" t="s">
        <v>1099</v>
      </c>
      <c r="C389" s="222" t="s">
        <v>1100</v>
      </c>
      <c r="D389" s="221" t="s">
        <v>70</v>
      </c>
      <c r="E389" s="221" t="s">
        <v>395</v>
      </c>
      <c r="F389" s="223">
        <v>11200</v>
      </c>
      <c r="G389" s="221" t="s">
        <v>46</v>
      </c>
      <c r="H389" s="221" t="s">
        <v>71</v>
      </c>
      <c r="I389" s="222"/>
    </row>
    <row r="390" ht="17.25" customHeight="1" spans="1:9" x14ac:dyDescent="0.25">
      <c r="A390" s="220">
        <v>407</v>
      </c>
      <c r="B390" s="221" t="s">
        <v>1101</v>
      </c>
      <c r="C390" s="222" t="s">
        <v>1102</v>
      </c>
      <c r="D390" s="221" t="s">
        <v>70</v>
      </c>
      <c r="E390" s="221" t="s">
        <v>395</v>
      </c>
      <c r="F390" s="223">
        <v>11200</v>
      </c>
      <c r="G390" s="221" t="s">
        <v>46</v>
      </c>
      <c r="H390" s="221" t="s">
        <v>71</v>
      </c>
      <c r="I390" s="222"/>
    </row>
    <row r="391" ht="17.25" customHeight="1" spans="1:9" x14ac:dyDescent="0.25">
      <c r="A391" s="220">
        <v>408</v>
      </c>
      <c r="B391" s="221" t="s">
        <v>1103</v>
      </c>
      <c r="C391" s="222" t="s">
        <v>1104</v>
      </c>
      <c r="D391" s="221" t="s">
        <v>70</v>
      </c>
      <c r="E391" s="221" t="s">
        <v>395</v>
      </c>
      <c r="F391" s="223">
        <v>11200</v>
      </c>
      <c r="G391" s="221" t="s">
        <v>46</v>
      </c>
      <c r="H391" s="221" t="s">
        <v>71</v>
      </c>
      <c r="I391" s="222"/>
    </row>
    <row r="392" ht="17.25" customHeight="1" spans="1:9" x14ac:dyDescent="0.25">
      <c r="A392" s="220">
        <v>409</v>
      </c>
      <c r="B392" s="221" t="s">
        <v>1105</v>
      </c>
      <c r="C392" s="222" t="s">
        <v>1106</v>
      </c>
      <c r="D392" s="221" t="s">
        <v>70</v>
      </c>
      <c r="E392" s="221" t="s">
        <v>395</v>
      </c>
      <c r="F392" s="223">
        <v>11200</v>
      </c>
      <c r="G392" s="221" t="s">
        <v>46</v>
      </c>
      <c r="H392" s="221" t="s">
        <v>71</v>
      </c>
      <c r="I392" s="222"/>
    </row>
    <row r="393" ht="17.25" customHeight="1" spans="1:9" x14ac:dyDescent="0.25">
      <c r="A393" s="220">
        <v>410</v>
      </c>
      <c r="B393" s="221" t="s">
        <v>1107</v>
      </c>
      <c r="C393" s="222" t="s">
        <v>1108</v>
      </c>
      <c r="D393" s="221" t="s">
        <v>70</v>
      </c>
      <c r="E393" s="221" t="s">
        <v>395</v>
      </c>
      <c r="F393" s="223">
        <v>11200</v>
      </c>
      <c r="G393" s="221" t="s">
        <v>46</v>
      </c>
      <c r="H393" s="221" t="s">
        <v>71</v>
      </c>
      <c r="I393" s="222"/>
    </row>
    <row r="394" ht="17.25" customHeight="1" spans="1:9" x14ac:dyDescent="0.25">
      <c r="A394" s="220">
        <v>411</v>
      </c>
      <c r="B394" s="221" t="s">
        <v>1109</v>
      </c>
      <c r="C394" s="222" t="s">
        <v>1110</v>
      </c>
      <c r="D394" s="221" t="s">
        <v>70</v>
      </c>
      <c r="E394" s="221" t="s">
        <v>395</v>
      </c>
      <c r="F394" s="223">
        <v>11200</v>
      </c>
      <c r="G394" s="221" t="s">
        <v>46</v>
      </c>
      <c r="H394" s="221" t="s">
        <v>71</v>
      </c>
      <c r="I394" s="222" t="s">
        <v>1111</v>
      </c>
    </row>
    <row r="395" ht="17.25" customHeight="1" spans="1:9" x14ac:dyDescent="0.25">
      <c r="A395" s="220">
        <v>412</v>
      </c>
      <c r="B395" s="221" t="s">
        <v>1112</v>
      </c>
      <c r="C395" s="222" t="s">
        <v>1113</v>
      </c>
      <c r="D395" s="221" t="s">
        <v>70</v>
      </c>
      <c r="E395" s="221" t="s">
        <v>395</v>
      </c>
      <c r="F395" s="223">
        <v>11200</v>
      </c>
      <c r="G395" s="221" t="s">
        <v>46</v>
      </c>
      <c r="H395" s="221" t="s">
        <v>71</v>
      </c>
      <c r="I395" s="222"/>
    </row>
    <row r="396" ht="17.25" customHeight="1" spans="1:9" x14ac:dyDescent="0.25">
      <c r="A396" s="220">
        <v>413</v>
      </c>
      <c r="B396" s="221" t="s">
        <v>1114</v>
      </c>
      <c r="C396" s="222" t="s">
        <v>1115</v>
      </c>
      <c r="D396" s="221" t="s">
        <v>70</v>
      </c>
      <c r="E396" s="221" t="s">
        <v>395</v>
      </c>
      <c r="F396" s="223">
        <v>11200</v>
      </c>
      <c r="G396" s="221" t="s">
        <v>46</v>
      </c>
      <c r="H396" s="221" t="s">
        <v>71</v>
      </c>
      <c r="I396" s="222"/>
    </row>
    <row r="397" ht="17.25" customHeight="1" spans="1:9" x14ac:dyDescent="0.25">
      <c r="A397" s="220">
        <v>414</v>
      </c>
      <c r="B397" s="221" t="s">
        <v>1116</v>
      </c>
      <c r="C397" s="222" t="s">
        <v>1117</v>
      </c>
      <c r="D397" s="221" t="s">
        <v>70</v>
      </c>
      <c r="E397" s="221" t="s">
        <v>395</v>
      </c>
      <c r="F397" s="223">
        <v>11200</v>
      </c>
      <c r="G397" s="221" t="s">
        <v>46</v>
      </c>
      <c r="H397" s="221" t="s">
        <v>71</v>
      </c>
      <c r="I397" s="222" t="s">
        <v>1118</v>
      </c>
    </row>
    <row r="398" ht="17.25" customHeight="1" spans="1:9" x14ac:dyDescent="0.25">
      <c r="A398" s="220">
        <v>415</v>
      </c>
      <c r="B398" s="221" t="s">
        <v>1119</v>
      </c>
      <c r="C398" s="222" t="s">
        <v>1120</v>
      </c>
      <c r="D398" s="221" t="s">
        <v>70</v>
      </c>
      <c r="E398" s="221" t="s">
        <v>395</v>
      </c>
      <c r="F398" s="223">
        <v>11200</v>
      </c>
      <c r="G398" s="221" t="s">
        <v>46</v>
      </c>
      <c r="H398" s="221" t="s">
        <v>71</v>
      </c>
      <c r="I398" s="222"/>
    </row>
    <row r="399" ht="17.25" customHeight="1" spans="1:9" x14ac:dyDescent="0.25">
      <c r="A399" s="220">
        <v>416</v>
      </c>
      <c r="B399" s="221" t="s">
        <v>1121</v>
      </c>
      <c r="C399" s="222" t="s">
        <v>1122</v>
      </c>
      <c r="D399" s="221" t="s">
        <v>70</v>
      </c>
      <c r="E399" s="221" t="s">
        <v>395</v>
      </c>
      <c r="F399" s="223">
        <v>11200</v>
      </c>
      <c r="G399" s="221" t="s">
        <v>46</v>
      </c>
      <c r="H399" s="221" t="s">
        <v>71</v>
      </c>
      <c r="I399" s="222"/>
    </row>
    <row r="400" ht="17.25" customHeight="1" spans="1:9" x14ac:dyDescent="0.25">
      <c r="A400" s="220">
        <v>417</v>
      </c>
      <c r="B400" s="221" t="s">
        <v>1123</v>
      </c>
      <c r="C400" s="222" t="s">
        <v>1124</v>
      </c>
      <c r="D400" s="221" t="s">
        <v>70</v>
      </c>
      <c r="E400" s="221" t="s">
        <v>395</v>
      </c>
      <c r="F400" s="223">
        <v>11200</v>
      </c>
      <c r="G400" s="221" t="s">
        <v>46</v>
      </c>
      <c r="H400" s="221" t="s">
        <v>71</v>
      </c>
      <c r="I400" s="222"/>
    </row>
    <row r="401" ht="17.25" customHeight="1" spans="1:9" x14ac:dyDescent="0.25">
      <c r="A401" s="220">
        <v>418</v>
      </c>
      <c r="B401" s="221" t="s">
        <v>1125</v>
      </c>
      <c r="C401" s="222" t="s">
        <v>1126</v>
      </c>
      <c r="D401" s="221" t="s">
        <v>70</v>
      </c>
      <c r="E401" s="221" t="s">
        <v>395</v>
      </c>
      <c r="F401" s="223">
        <v>11200</v>
      </c>
      <c r="G401" s="221" t="s">
        <v>46</v>
      </c>
      <c r="H401" s="221" t="s">
        <v>71</v>
      </c>
      <c r="I401" s="222"/>
    </row>
    <row r="402" ht="17.25" customHeight="1" spans="1:9" x14ac:dyDescent="0.25">
      <c r="A402" s="220">
        <v>419</v>
      </c>
      <c r="B402" s="221" t="s">
        <v>1127</v>
      </c>
      <c r="C402" s="222" t="s">
        <v>1128</v>
      </c>
      <c r="D402" s="221" t="s">
        <v>70</v>
      </c>
      <c r="E402" s="221" t="s">
        <v>395</v>
      </c>
      <c r="F402" s="223">
        <v>11200</v>
      </c>
      <c r="G402" s="221" t="s">
        <v>46</v>
      </c>
      <c r="H402" s="221" t="s">
        <v>71</v>
      </c>
      <c r="I402" s="222"/>
    </row>
    <row r="403" ht="17.25" customHeight="1" spans="1:9" x14ac:dyDescent="0.25">
      <c r="A403" s="220">
        <v>420</v>
      </c>
      <c r="B403" s="221" t="s">
        <v>1129</v>
      </c>
      <c r="C403" s="222" t="s">
        <v>1130</v>
      </c>
      <c r="D403" s="221" t="s">
        <v>70</v>
      </c>
      <c r="E403" s="221" t="s">
        <v>395</v>
      </c>
      <c r="F403" s="223">
        <v>11200</v>
      </c>
      <c r="G403" s="221" t="s">
        <v>46</v>
      </c>
      <c r="H403" s="221" t="s">
        <v>71</v>
      </c>
      <c r="I403" s="222"/>
    </row>
    <row r="404" ht="17.25" customHeight="1" spans="1:9" x14ac:dyDescent="0.25">
      <c r="A404" s="220">
        <v>421</v>
      </c>
      <c r="B404" s="221" t="s">
        <v>1131</v>
      </c>
      <c r="C404" s="222" t="s">
        <v>1132</v>
      </c>
      <c r="D404" s="221" t="s">
        <v>70</v>
      </c>
      <c r="E404" s="221" t="s">
        <v>395</v>
      </c>
      <c r="F404" s="223">
        <v>11200</v>
      </c>
      <c r="G404" s="221" t="s">
        <v>46</v>
      </c>
      <c r="H404" s="221" t="s">
        <v>71</v>
      </c>
      <c r="I404" s="222"/>
    </row>
    <row r="405" ht="17.25" customHeight="1" spans="1:9" x14ac:dyDescent="0.25">
      <c r="A405" s="220">
        <v>422</v>
      </c>
      <c r="B405" s="221" t="s">
        <v>1133</v>
      </c>
      <c r="C405" s="222" t="s">
        <v>1134</v>
      </c>
      <c r="D405" s="221" t="s">
        <v>70</v>
      </c>
      <c r="E405" s="221" t="s">
        <v>395</v>
      </c>
      <c r="F405" s="223">
        <v>11200</v>
      </c>
      <c r="G405" s="221" t="s">
        <v>46</v>
      </c>
      <c r="H405" s="221" t="s">
        <v>71</v>
      </c>
      <c r="I405" s="222"/>
    </row>
    <row r="406" ht="17.25" customHeight="1" spans="1:9" x14ac:dyDescent="0.25">
      <c r="A406" s="220">
        <v>423</v>
      </c>
      <c r="B406" s="221" t="s">
        <v>1135</v>
      </c>
      <c r="C406" s="222" t="s">
        <v>1136</v>
      </c>
      <c r="D406" s="221" t="s">
        <v>70</v>
      </c>
      <c r="E406" s="221" t="s">
        <v>395</v>
      </c>
      <c r="F406" s="223">
        <v>11200</v>
      </c>
      <c r="G406" s="221" t="s">
        <v>46</v>
      </c>
      <c r="H406" s="221" t="s">
        <v>71</v>
      </c>
      <c r="I406" s="222"/>
    </row>
    <row r="407" ht="17.25" customHeight="1" spans="1:9" x14ac:dyDescent="0.25">
      <c r="A407" s="220">
        <v>424</v>
      </c>
      <c r="B407" s="221" t="s">
        <v>1137</v>
      </c>
      <c r="C407" s="222" t="s">
        <v>1138</v>
      </c>
      <c r="D407" s="221" t="s">
        <v>70</v>
      </c>
      <c r="E407" s="221" t="s">
        <v>395</v>
      </c>
      <c r="F407" s="223">
        <v>11200</v>
      </c>
      <c r="G407" s="221" t="s">
        <v>46</v>
      </c>
      <c r="H407" s="221" t="s">
        <v>71</v>
      </c>
      <c r="I407" s="222"/>
    </row>
    <row r="408" ht="17.25" customHeight="1" spans="1:9" x14ac:dyDescent="0.25">
      <c r="A408" s="220">
        <v>425</v>
      </c>
      <c r="B408" s="221" t="s">
        <v>1139</v>
      </c>
      <c r="C408" s="222" t="s">
        <v>1140</v>
      </c>
      <c r="D408" s="221" t="s">
        <v>70</v>
      </c>
      <c r="E408" s="221" t="s">
        <v>395</v>
      </c>
      <c r="F408" s="223">
        <v>11200</v>
      </c>
      <c r="G408" s="221" t="s">
        <v>46</v>
      </c>
      <c r="H408" s="221" t="s">
        <v>71</v>
      </c>
      <c r="I408" s="222"/>
    </row>
    <row r="409" ht="17.25" customHeight="1" spans="1:9" x14ac:dyDescent="0.25">
      <c r="A409" s="220">
        <v>426</v>
      </c>
      <c r="B409" s="221" t="s">
        <v>1141</v>
      </c>
      <c r="C409" s="222" t="s">
        <v>1142</v>
      </c>
      <c r="D409" s="221" t="s">
        <v>70</v>
      </c>
      <c r="E409" s="221" t="s">
        <v>395</v>
      </c>
      <c r="F409" s="223">
        <v>11200</v>
      </c>
      <c r="G409" s="221" t="s">
        <v>46</v>
      </c>
      <c r="H409" s="221" t="s">
        <v>71</v>
      </c>
      <c r="I409" s="222"/>
    </row>
    <row r="410" ht="17.25" customHeight="1" spans="1:9" x14ac:dyDescent="0.25">
      <c r="A410" s="220">
        <v>427</v>
      </c>
      <c r="B410" s="221" t="s">
        <v>1143</v>
      </c>
      <c r="C410" s="222" t="s">
        <v>1144</v>
      </c>
      <c r="D410" s="221" t="s">
        <v>70</v>
      </c>
      <c r="E410" s="221" t="s">
        <v>395</v>
      </c>
      <c r="F410" s="223">
        <v>11200</v>
      </c>
      <c r="G410" s="221" t="s">
        <v>46</v>
      </c>
      <c r="H410" s="221" t="s">
        <v>71</v>
      </c>
      <c r="I410" s="222"/>
    </row>
    <row r="411" ht="17.25" customHeight="1" spans="1:9" x14ac:dyDescent="0.25">
      <c r="A411" s="220">
        <v>428</v>
      </c>
      <c r="B411" s="221" t="s">
        <v>1145</v>
      </c>
      <c r="C411" s="222" t="s">
        <v>1146</v>
      </c>
      <c r="D411" s="221" t="s">
        <v>70</v>
      </c>
      <c r="E411" s="221" t="s">
        <v>395</v>
      </c>
      <c r="F411" s="223">
        <v>11200</v>
      </c>
      <c r="G411" s="221" t="s">
        <v>46</v>
      </c>
      <c r="H411" s="221" t="s">
        <v>71</v>
      </c>
      <c r="I411" s="222"/>
    </row>
    <row r="412" ht="17.25" customHeight="1" spans="1:9" x14ac:dyDescent="0.25">
      <c r="A412" s="220">
        <v>429</v>
      </c>
      <c r="B412" s="221" t="s">
        <v>1147</v>
      </c>
      <c r="C412" s="222" t="s">
        <v>1148</v>
      </c>
      <c r="D412" s="221" t="s">
        <v>70</v>
      </c>
      <c r="E412" s="221" t="s">
        <v>395</v>
      </c>
      <c r="F412" s="223">
        <v>11200</v>
      </c>
      <c r="G412" s="221" t="s">
        <v>46</v>
      </c>
      <c r="H412" s="221" t="s">
        <v>71</v>
      </c>
      <c r="I412" s="222"/>
    </row>
    <row r="413" ht="17.25" customHeight="1" spans="1:9" x14ac:dyDescent="0.25">
      <c r="A413" s="220">
        <v>430</v>
      </c>
      <c r="B413" s="221" t="s">
        <v>1149</v>
      </c>
      <c r="C413" s="222" t="s">
        <v>1150</v>
      </c>
      <c r="D413" s="221" t="s">
        <v>70</v>
      </c>
      <c r="E413" s="221" t="s">
        <v>395</v>
      </c>
      <c r="F413" s="223">
        <v>11200</v>
      </c>
      <c r="G413" s="221" t="s">
        <v>46</v>
      </c>
      <c r="H413" s="221" t="s">
        <v>71</v>
      </c>
      <c r="I413" s="222"/>
    </row>
    <row r="414" ht="17.25" customHeight="1" spans="1:9" x14ac:dyDescent="0.25">
      <c r="A414" s="220">
        <v>431</v>
      </c>
      <c r="B414" s="221" t="s">
        <v>1151</v>
      </c>
      <c r="C414" s="222" t="s">
        <v>1152</v>
      </c>
      <c r="D414" s="221" t="s">
        <v>70</v>
      </c>
      <c r="E414" s="221" t="s">
        <v>395</v>
      </c>
      <c r="F414" s="223">
        <v>11200</v>
      </c>
      <c r="G414" s="221" t="s">
        <v>46</v>
      </c>
      <c r="H414" s="221" t="s">
        <v>71</v>
      </c>
      <c r="I414" s="222"/>
    </row>
    <row r="415" ht="17.25" customHeight="1" spans="1:9" x14ac:dyDescent="0.25">
      <c r="A415" s="220">
        <v>432</v>
      </c>
      <c r="B415" s="221" t="s">
        <v>1153</v>
      </c>
      <c r="C415" s="222" t="s">
        <v>1154</v>
      </c>
      <c r="D415" s="221" t="s">
        <v>70</v>
      </c>
      <c r="E415" s="221" t="s">
        <v>395</v>
      </c>
      <c r="F415" s="223">
        <v>11200</v>
      </c>
      <c r="G415" s="221" t="s">
        <v>46</v>
      </c>
      <c r="H415" s="221" t="s">
        <v>71</v>
      </c>
      <c r="I415" s="222"/>
    </row>
    <row r="416" ht="17.25" customHeight="1" spans="1:9" x14ac:dyDescent="0.25">
      <c r="A416" s="220">
        <v>433</v>
      </c>
      <c r="B416" s="221" t="s">
        <v>1155</v>
      </c>
      <c r="C416" s="222" t="s">
        <v>1156</v>
      </c>
      <c r="D416" s="221" t="s">
        <v>70</v>
      </c>
      <c r="E416" s="221" t="s">
        <v>395</v>
      </c>
      <c r="F416" s="223">
        <v>11200</v>
      </c>
      <c r="G416" s="221" t="s">
        <v>46</v>
      </c>
      <c r="H416" s="221" t="s">
        <v>71</v>
      </c>
      <c r="I416" s="222"/>
    </row>
    <row r="417" ht="17.25" customHeight="1" spans="1:9" x14ac:dyDescent="0.25">
      <c r="A417" s="220">
        <v>434</v>
      </c>
      <c r="B417" s="221" t="s">
        <v>1157</v>
      </c>
      <c r="C417" s="222" t="s">
        <v>1158</v>
      </c>
      <c r="D417" s="221" t="s">
        <v>70</v>
      </c>
      <c r="E417" s="221" t="s">
        <v>395</v>
      </c>
      <c r="F417" s="223">
        <v>11200</v>
      </c>
      <c r="G417" s="221" t="s">
        <v>46</v>
      </c>
      <c r="H417" s="221" t="s">
        <v>71</v>
      </c>
      <c r="I417" s="222"/>
    </row>
    <row r="418" ht="17.25" customHeight="1" spans="1:9" x14ac:dyDescent="0.25">
      <c r="A418" s="220">
        <v>435</v>
      </c>
      <c r="B418" s="221" t="s">
        <v>1159</v>
      </c>
      <c r="C418" s="222" t="s">
        <v>1160</v>
      </c>
      <c r="D418" s="221" t="s">
        <v>70</v>
      </c>
      <c r="E418" s="221" t="s">
        <v>395</v>
      </c>
      <c r="F418" s="223">
        <v>11200</v>
      </c>
      <c r="G418" s="221" t="s">
        <v>46</v>
      </c>
      <c r="H418" s="221" t="s">
        <v>71</v>
      </c>
      <c r="I418" s="222"/>
    </row>
    <row r="419" ht="17.25" customHeight="1" spans="1:9" x14ac:dyDescent="0.25">
      <c r="A419" s="220">
        <v>436</v>
      </c>
      <c r="B419" s="221" t="s">
        <v>1161</v>
      </c>
      <c r="C419" s="222" t="s">
        <v>1162</v>
      </c>
      <c r="D419" s="221" t="s">
        <v>70</v>
      </c>
      <c r="E419" s="221" t="s">
        <v>395</v>
      </c>
      <c r="F419" s="223">
        <v>11200</v>
      </c>
      <c r="G419" s="221" t="s">
        <v>46</v>
      </c>
      <c r="H419" s="221" t="s">
        <v>71</v>
      </c>
      <c r="I419" s="222"/>
    </row>
    <row r="420" ht="17.25" customHeight="1" spans="1:9" x14ac:dyDescent="0.25">
      <c r="A420" s="220">
        <v>437</v>
      </c>
      <c r="B420" s="221" t="s">
        <v>1163</v>
      </c>
      <c r="C420" s="222" t="s">
        <v>1164</v>
      </c>
      <c r="D420" s="221" t="s">
        <v>70</v>
      </c>
      <c r="E420" s="221" t="s">
        <v>395</v>
      </c>
      <c r="F420" s="223">
        <v>11200</v>
      </c>
      <c r="G420" s="221" t="s">
        <v>46</v>
      </c>
      <c r="H420" s="221" t="s">
        <v>71</v>
      </c>
      <c r="I420" s="222"/>
    </row>
    <row r="421" ht="17.25" customHeight="1" spans="1:9" x14ac:dyDescent="0.25">
      <c r="A421" s="220">
        <v>438</v>
      </c>
      <c r="B421" s="221" t="s">
        <v>1165</v>
      </c>
      <c r="C421" s="222" t="s">
        <v>1166</v>
      </c>
      <c r="D421" s="221" t="s">
        <v>70</v>
      </c>
      <c r="E421" s="221" t="s">
        <v>395</v>
      </c>
      <c r="F421" s="223">
        <v>11200</v>
      </c>
      <c r="G421" s="221" t="s">
        <v>46</v>
      </c>
      <c r="H421" s="221" t="s">
        <v>71</v>
      </c>
      <c r="I421" s="222"/>
    </row>
    <row r="422" ht="17.25" customHeight="1" spans="1:9" x14ac:dyDescent="0.25">
      <c r="A422" s="220">
        <v>439</v>
      </c>
      <c r="B422" s="221" t="s">
        <v>1167</v>
      </c>
      <c r="C422" s="222" t="s">
        <v>1168</v>
      </c>
      <c r="D422" s="221" t="s">
        <v>70</v>
      </c>
      <c r="E422" s="221" t="s">
        <v>395</v>
      </c>
      <c r="F422" s="223">
        <v>11200</v>
      </c>
      <c r="G422" s="221" t="s">
        <v>46</v>
      </c>
      <c r="H422" s="221" t="s">
        <v>71</v>
      </c>
      <c r="I422" s="222"/>
    </row>
    <row r="423" ht="17.25" customHeight="1" spans="1:9" x14ac:dyDescent="0.25">
      <c r="A423" s="220">
        <v>440</v>
      </c>
      <c r="B423" s="221" t="s">
        <v>1169</v>
      </c>
      <c r="C423" s="222" t="s">
        <v>1170</v>
      </c>
      <c r="D423" s="221" t="s">
        <v>70</v>
      </c>
      <c r="E423" s="221" t="s">
        <v>395</v>
      </c>
      <c r="F423" s="223">
        <v>11200</v>
      </c>
      <c r="G423" s="221" t="s">
        <v>46</v>
      </c>
      <c r="H423" s="221" t="s">
        <v>71</v>
      </c>
      <c r="I423" s="222"/>
    </row>
    <row r="424" ht="17.25" customHeight="1" spans="1:9" x14ac:dyDescent="0.25">
      <c r="A424" s="220">
        <v>441</v>
      </c>
      <c r="B424" s="221" t="s">
        <v>1171</v>
      </c>
      <c r="C424" s="222" t="s">
        <v>1172</v>
      </c>
      <c r="D424" s="221" t="s">
        <v>70</v>
      </c>
      <c r="E424" s="221" t="s">
        <v>395</v>
      </c>
      <c r="F424" s="223">
        <v>11200</v>
      </c>
      <c r="G424" s="221" t="s">
        <v>46</v>
      </c>
      <c r="H424" s="221" t="s">
        <v>71</v>
      </c>
      <c r="I424" s="222"/>
    </row>
    <row r="425" ht="17.25" customHeight="1" spans="1:9" x14ac:dyDescent="0.25">
      <c r="A425" s="220">
        <v>442</v>
      </c>
      <c r="B425" s="221" t="s">
        <v>1173</v>
      </c>
      <c r="C425" s="222" t="s">
        <v>1174</v>
      </c>
      <c r="D425" s="221" t="s">
        <v>70</v>
      </c>
      <c r="E425" s="221" t="s">
        <v>395</v>
      </c>
      <c r="F425" s="223">
        <v>11200</v>
      </c>
      <c r="G425" s="221" t="s">
        <v>46</v>
      </c>
      <c r="H425" s="221" t="s">
        <v>71</v>
      </c>
      <c r="I425" s="222"/>
    </row>
    <row r="426" ht="17.25" customHeight="1" spans="1:9" x14ac:dyDescent="0.25">
      <c r="A426" s="220">
        <v>443</v>
      </c>
      <c r="B426" s="221" t="s">
        <v>1175</v>
      </c>
      <c r="C426" s="222" t="s">
        <v>1176</v>
      </c>
      <c r="D426" s="221" t="s">
        <v>70</v>
      </c>
      <c r="E426" s="221" t="s">
        <v>395</v>
      </c>
      <c r="F426" s="223">
        <v>11200</v>
      </c>
      <c r="G426" s="221" t="s">
        <v>46</v>
      </c>
      <c r="H426" s="221" t="s">
        <v>71</v>
      </c>
      <c r="I426" s="222"/>
    </row>
    <row r="427" ht="17.25" customHeight="1" spans="1:9" x14ac:dyDescent="0.25">
      <c r="A427" s="220">
        <v>444</v>
      </c>
      <c r="B427" s="221" t="s">
        <v>1177</v>
      </c>
      <c r="C427" s="222" t="s">
        <v>1178</v>
      </c>
      <c r="D427" s="221" t="s">
        <v>70</v>
      </c>
      <c r="E427" s="221" t="s">
        <v>395</v>
      </c>
      <c r="F427" s="223">
        <v>11200</v>
      </c>
      <c r="G427" s="221" t="s">
        <v>46</v>
      </c>
      <c r="H427" s="221" t="s">
        <v>71</v>
      </c>
      <c r="I427" s="222"/>
    </row>
    <row r="428" ht="17.25" customHeight="1" spans="1:9" x14ac:dyDescent="0.25">
      <c r="A428" s="220">
        <v>445</v>
      </c>
      <c r="B428" s="221" t="s">
        <v>1179</v>
      </c>
      <c r="C428" s="222" t="s">
        <v>1180</v>
      </c>
      <c r="D428" s="221" t="s">
        <v>70</v>
      </c>
      <c r="E428" s="221" t="s">
        <v>395</v>
      </c>
      <c r="F428" s="223">
        <v>11200</v>
      </c>
      <c r="G428" s="221" t="s">
        <v>46</v>
      </c>
      <c r="H428" s="221" t="s">
        <v>71</v>
      </c>
      <c r="I428" s="222"/>
    </row>
    <row r="429" ht="17.25" customHeight="1" spans="1:9" x14ac:dyDescent="0.25">
      <c r="A429" s="220">
        <v>446</v>
      </c>
      <c r="B429" s="221" t="s">
        <v>1181</v>
      </c>
      <c r="C429" s="222" t="s">
        <v>1182</v>
      </c>
      <c r="D429" s="221" t="s">
        <v>70</v>
      </c>
      <c r="E429" s="221" t="s">
        <v>395</v>
      </c>
      <c r="F429" s="223">
        <v>11200</v>
      </c>
      <c r="G429" s="221" t="s">
        <v>46</v>
      </c>
      <c r="H429" s="221" t="s">
        <v>71</v>
      </c>
      <c r="I429" s="222"/>
    </row>
    <row r="430" ht="17.25" customHeight="1" spans="1:9" x14ac:dyDescent="0.25">
      <c r="A430" s="220">
        <v>447</v>
      </c>
      <c r="B430" s="221" t="s">
        <v>1183</v>
      </c>
      <c r="C430" s="222" t="s">
        <v>1184</v>
      </c>
      <c r="D430" s="221" t="s">
        <v>70</v>
      </c>
      <c r="E430" s="221" t="s">
        <v>395</v>
      </c>
      <c r="F430" s="223">
        <v>11200</v>
      </c>
      <c r="G430" s="221" t="s">
        <v>46</v>
      </c>
      <c r="H430" s="221" t="s">
        <v>71</v>
      </c>
      <c r="I430" s="222"/>
    </row>
    <row r="431" ht="17.25" customHeight="1" spans="1:9" x14ac:dyDescent="0.25">
      <c r="A431" s="220">
        <v>448</v>
      </c>
      <c r="B431" s="221" t="s">
        <v>1185</v>
      </c>
      <c r="C431" s="222" t="s">
        <v>1186</v>
      </c>
      <c r="D431" s="221" t="s">
        <v>70</v>
      </c>
      <c r="E431" s="221" t="s">
        <v>395</v>
      </c>
      <c r="F431" s="223">
        <v>11200</v>
      </c>
      <c r="G431" s="221" t="s">
        <v>46</v>
      </c>
      <c r="H431" s="221" t="s">
        <v>71</v>
      </c>
      <c r="I431" s="222"/>
    </row>
    <row r="432" ht="17.25" customHeight="1" spans="1:9" x14ac:dyDescent="0.25">
      <c r="A432" s="220">
        <v>449</v>
      </c>
      <c r="B432" s="221" t="s">
        <v>1187</v>
      </c>
      <c r="C432" s="222" t="s">
        <v>1188</v>
      </c>
      <c r="D432" s="221" t="s">
        <v>70</v>
      </c>
      <c r="E432" s="221" t="s">
        <v>395</v>
      </c>
      <c r="F432" s="223">
        <v>11200</v>
      </c>
      <c r="G432" s="221" t="s">
        <v>46</v>
      </c>
      <c r="H432" s="221" t="s">
        <v>71</v>
      </c>
      <c r="I432" s="222"/>
    </row>
    <row r="433" ht="17.25" customHeight="1" spans="1:9" x14ac:dyDescent="0.25">
      <c r="A433" s="220">
        <v>450</v>
      </c>
      <c r="B433" s="221" t="s">
        <v>1189</v>
      </c>
      <c r="C433" s="222" t="s">
        <v>1190</v>
      </c>
      <c r="D433" s="221" t="s">
        <v>70</v>
      </c>
      <c r="E433" s="221" t="s">
        <v>395</v>
      </c>
      <c r="F433" s="223">
        <v>11200</v>
      </c>
      <c r="G433" s="221" t="s">
        <v>46</v>
      </c>
      <c r="H433" s="221" t="s">
        <v>71</v>
      </c>
      <c r="I433" s="222"/>
    </row>
    <row r="434" ht="17.25" customHeight="1" spans="1:9" x14ac:dyDescent="0.25">
      <c r="A434" s="220">
        <v>451</v>
      </c>
      <c r="B434" s="221" t="s">
        <v>1191</v>
      </c>
      <c r="C434" s="222" t="s">
        <v>1192</v>
      </c>
      <c r="D434" s="221" t="s">
        <v>70</v>
      </c>
      <c r="E434" s="221" t="s">
        <v>395</v>
      </c>
      <c r="F434" s="223">
        <v>11200</v>
      </c>
      <c r="G434" s="221" t="s">
        <v>46</v>
      </c>
      <c r="H434" s="221" t="s">
        <v>71</v>
      </c>
      <c r="I434" s="222"/>
    </row>
    <row r="435" ht="17.25" customHeight="1" spans="1:9" x14ac:dyDescent="0.25">
      <c r="A435" s="220">
        <v>452</v>
      </c>
      <c r="B435" s="221" t="s">
        <v>1193</v>
      </c>
      <c r="C435" s="222" t="s">
        <v>1194</v>
      </c>
      <c r="D435" s="221" t="s">
        <v>70</v>
      </c>
      <c r="E435" s="221" t="s">
        <v>395</v>
      </c>
      <c r="F435" s="223">
        <v>11200</v>
      </c>
      <c r="G435" s="221" t="s">
        <v>46</v>
      </c>
      <c r="H435" s="221" t="s">
        <v>71</v>
      </c>
      <c r="I435" s="222"/>
    </row>
    <row r="436" ht="17.25" customHeight="1" spans="1:9" x14ac:dyDescent="0.25">
      <c r="A436" s="220">
        <v>453</v>
      </c>
      <c r="B436" s="221" t="s">
        <v>1195</v>
      </c>
      <c r="C436" s="222" t="s">
        <v>1196</v>
      </c>
      <c r="D436" s="221" t="s">
        <v>70</v>
      </c>
      <c r="E436" s="221" t="s">
        <v>395</v>
      </c>
      <c r="F436" s="223">
        <v>11200</v>
      </c>
      <c r="G436" s="221" t="s">
        <v>46</v>
      </c>
      <c r="H436" s="221" t="s">
        <v>71</v>
      </c>
      <c r="I436" s="222"/>
    </row>
    <row r="437" ht="17.25" customHeight="1" spans="1:9" x14ac:dyDescent="0.25">
      <c r="A437" s="220">
        <v>454</v>
      </c>
      <c r="B437" s="221" t="s">
        <v>1197</v>
      </c>
      <c r="C437" s="222" t="s">
        <v>1198</v>
      </c>
      <c r="D437" s="221" t="s">
        <v>70</v>
      </c>
      <c r="E437" s="221" t="s">
        <v>395</v>
      </c>
      <c r="F437" s="223">
        <v>11200</v>
      </c>
      <c r="G437" s="221" t="s">
        <v>46</v>
      </c>
      <c r="H437" s="221" t="s">
        <v>71</v>
      </c>
      <c r="I437" s="222"/>
    </row>
    <row r="438" ht="17.25" customHeight="1" spans="1:9" x14ac:dyDescent="0.25">
      <c r="A438" s="220">
        <v>455</v>
      </c>
      <c r="B438" s="221" t="s">
        <v>1199</v>
      </c>
      <c r="C438" s="222" t="s">
        <v>1200</v>
      </c>
      <c r="D438" s="221" t="s">
        <v>70</v>
      </c>
      <c r="E438" s="221" t="s">
        <v>395</v>
      </c>
      <c r="F438" s="223">
        <v>11200</v>
      </c>
      <c r="G438" s="221" t="s">
        <v>46</v>
      </c>
      <c r="H438" s="221" t="s">
        <v>71</v>
      </c>
      <c r="I438" s="222"/>
    </row>
    <row r="439" ht="17.25" customHeight="1" spans="1:9" x14ac:dyDescent="0.25">
      <c r="A439" s="220">
        <v>456</v>
      </c>
      <c r="B439" s="221" t="s">
        <v>1201</v>
      </c>
      <c r="C439" s="222" t="s">
        <v>1202</v>
      </c>
      <c r="D439" s="221" t="s">
        <v>70</v>
      </c>
      <c r="E439" s="221" t="s">
        <v>395</v>
      </c>
      <c r="F439" s="223">
        <v>11200</v>
      </c>
      <c r="G439" s="221" t="s">
        <v>46</v>
      </c>
      <c r="H439" s="221" t="s">
        <v>71</v>
      </c>
      <c r="I439" s="224"/>
    </row>
    <row r="440" ht="17.25" customHeight="1" spans="1:9" x14ac:dyDescent="0.25">
      <c r="A440" s="220">
        <v>457</v>
      </c>
      <c r="B440" s="221" t="s">
        <v>1203</v>
      </c>
      <c r="C440" s="222" t="s">
        <v>1204</v>
      </c>
      <c r="D440" s="221" t="s">
        <v>70</v>
      </c>
      <c r="E440" s="221" t="s">
        <v>395</v>
      </c>
      <c r="F440" s="223">
        <v>11200</v>
      </c>
      <c r="G440" s="221" t="s">
        <v>46</v>
      </c>
      <c r="H440" s="221" t="s">
        <v>71</v>
      </c>
      <c r="I440" s="222"/>
    </row>
    <row r="441" ht="17.25" customHeight="1" spans="1:9" x14ac:dyDescent="0.25">
      <c r="A441" s="220">
        <v>458</v>
      </c>
      <c r="B441" s="221" t="s">
        <v>1205</v>
      </c>
      <c r="C441" s="222" t="s">
        <v>1206</v>
      </c>
      <c r="D441" s="221" t="s">
        <v>70</v>
      </c>
      <c r="E441" s="221" t="s">
        <v>395</v>
      </c>
      <c r="F441" s="223">
        <v>11200</v>
      </c>
      <c r="G441" s="221" t="s">
        <v>46</v>
      </c>
      <c r="H441" s="221" t="s">
        <v>71</v>
      </c>
      <c r="I441" s="222"/>
    </row>
    <row r="442" ht="17.25" customHeight="1" spans="1:9" x14ac:dyDescent="0.25">
      <c r="A442" s="220">
        <v>459</v>
      </c>
      <c r="B442" s="221" t="s">
        <v>1207</v>
      </c>
      <c r="C442" s="222" t="s">
        <v>1208</v>
      </c>
      <c r="D442" s="221" t="s">
        <v>70</v>
      </c>
      <c r="E442" s="221" t="s">
        <v>395</v>
      </c>
      <c r="F442" s="223">
        <v>11200</v>
      </c>
      <c r="G442" s="221" t="s">
        <v>46</v>
      </c>
      <c r="H442" s="221" t="s">
        <v>71</v>
      </c>
      <c r="I442" s="222"/>
    </row>
    <row r="443" ht="17.25" customHeight="1" spans="1:9" x14ac:dyDescent="0.25">
      <c r="A443" s="220">
        <v>460</v>
      </c>
      <c r="B443" s="221" t="s">
        <v>1209</v>
      </c>
      <c r="C443" s="222" t="s">
        <v>1210</v>
      </c>
      <c r="D443" s="221" t="s">
        <v>70</v>
      </c>
      <c r="E443" s="221" t="s">
        <v>395</v>
      </c>
      <c r="F443" s="223">
        <v>11200</v>
      </c>
      <c r="G443" s="221" t="s">
        <v>46</v>
      </c>
      <c r="H443" s="221" t="s">
        <v>71</v>
      </c>
      <c r="I443" s="222"/>
    </row>
    <row r="444" ht="17.25" customHeight="1" spans="1:9" x14ac:dyDescent="0.25">
      <c r="A444" s="220">
        <v>461</v>
      </c>
      <c r="B444" s="221" t="s">
        <v>1211</v>
      </c>
      <c r="C444" s="222" t="s">
        <v>1212</v>
      </c>
      <c r="D444" s="221" t="s">
        <v>70</v>
      </c>
      <c r="E444" s="221" t="s">
        <v>395</v>
      </c>
      <c r="F444" s="223">
        <v>11200</v>
      </c>
      <c r="G444" s="221" t="s">
        <v>46</v>
      </c>
      <c r="H444" s="221" t="s">
        <v>71</v>
      </c>
      <c r="I444" s="222"/>
    </row>
    <row r="445" ht="17.25" customHeight="1" spans="1:9" x14ac:dyDescent="0.25">
      <c r="A445" s="220">
        <v>462</v>
      </c>
      <c r="B445" s="221" t="s">
        <v>1213</v>
      </c>
      <c r="C445" s="222" t="s">
        <v>1214</v>
      </c>
      <c r="D445" s="221" t="s">
        <v>70</v>
      </c>
      <c r="E445" s="221" t="s">
        <v>395</v>
      </c>
      <c r="F445" s="223">
        <v>11200</v>
      </c>
      <c r="G445" s="221" t="s">
        <v>46</v>
      </c>
      <c r="H445" s="221" t="s">
        <v>71</v>
      </c>
      <c r="I445" s="222"/>
    </row>
    <row r="446" ht="17.25" customHeight="1" spans="1:9" x14ac:dyDescent="0.25">
      <c r="A446" s="220">
        <v>463</v>
      </c>
      <c r="B446" s="221" t="s">
        <v>1215</v>
      </c>
      <c r="C446" s="222" t="s">
        <v>1216</v>
      </c>
      <c r="D446" s="221" t="s">
        <v>70</v>
      </c>
      <c r="E446" s="221" t="s">
        <v>395</v>
      </c>
      <c r="F446" s="223">
        <v>11200</v>
      </c>
      <c r="G446" s="221" t="s">
        <v>46</v>
      </c>
      <c r="H446" s="221" t="s">
        <v>71</v>
      </c>
      <c r="I446" s="222"/>
    </row>
    <row r="447" ht="17.25" customHeight="1" spans="1:9" x14ac:dyDescent="0.25">
      <c r="A447" s="220">
        <v>464</v>
      </c>
      <c r="B447" s="221" t="s">
        <v>1217</v>
      </c>
      <c r="C447" s="222" t="s">
        <v>1218</v>
      </c>
      <c r="D447" s="221" t="s">
        <v>70</v>
      </c>
      <c r="E447" s="221" t="s">
        <v>395</v>
      </c>
      <c r="F447" s="223">
        <v>11200</v>
      </c>
      <c r="G447" s="221" t="s">
        <v>46</v>
      </c>
      <c r="H447" s="221" t="s">
        <v>71</v>
      </c>
      <c r="I447" s="222"/>
    </row>
    <row r="448" ht="17.25" customHeight="1" spans="1:9" x14ac:dyDescent="0.25">
      <c r="A448" s="220">
        <v>465</v>
      </c>
      <c r="B448" s="221" t="s">
        <v>1219</v>
      </c>
      <c r="C448" s="222" t="s">
        <v>1220</v>
      </c>
      <c r="D448" s="221" t="s">
        <v>70</v>
      </c>
      <c r="E448" s="221" t="s">
        <v>395</v>
      </c>
      <c r="F448" s="223">
        <v>11200</v>
      </c>
      <c r="G448" s="221" t="s">
        <v>46</v>
      </c>
      <c r="H448" s="221" t="s">
        <v>71</v>
      </c>
      <c r="I448" s="222"/>
    </row>
    <row r="449" ht="17.25" customHeight="1" spans="1:9" x14ac:dyDescent="0.25">
      <c r="A449" s="220">
        <v>466</v>
      </c>
      <c r="B449" s="221" t="s">
        <v>1221</v>
      </c>
      <c r="C449" s="222" t="s">
        <v>1222</v>
      </c>
      <c r="D449" s="221" t="s">
        <v>70</v>
      </c>
      <c r="E449" s="221" t="s">
        <v>395</v>
      </c>
      <c r="F449" s="223">
        <v>11200</v>
      </c>
      <c r="G449" s="221" t="s">
        <v>46</v>
      </c>
      <c r="H449" s="221" t="s">
        <v>71</v>
      </c>
      <c r="I449" s="222"/>
    </row>
    <row r="450" ht="17.25" customHeight="1" spans="1:9" x14ac:dyDescent="0.25">
      <c r="A450" s="220">
        <v>467</v>
      </c>
      <c r="B450" s="221" t="s">
        <v>1223</v>
      </c>
      <c r="C450" s="222" t="s">
        <v>1224</v>
      </c>
      <c r="D450" s="221" t="s">
        <v>70</v>
      </c>
      <c r="E450" s="221" t="s">
        <v>395</v>
      </c>
      <c r="F450" s="223">
        <v>11200</v>
      </c>
      <c r="G450" s="221" t="s">
        <v>46</v>
      </c>
      <c r="H450" s="221" t="s">
        <v>71</v>
      </c>
      <c r="I450" s="222"/>
    </row>
    <row r="451" ht="17.25" customHeight="1" spans="1:9" x14ac:dyDescent="0.25">
      <c r="A451" s="220">
        <v>468</v>
      </c>
      <c r="B451" s="221" t="s">
        <v>1225</v>
      </c>
      <c r="C451" s="222" t="s">
        <v>1226</v>
      </c>
      <c r="D451" s="221" t="s">
        <v>70</v>
      </c>
      <c r="E451" s="221" t="s">
        <v>395</v>
      </c>
      <c r="F451" s="223">
        <v>11200</v>
      </c>
      <c r="G451" s="221" t="s">
        <v>46</v>
      </c>
      <c r="H451" s="221" t="s">
        <v>71</v>
      </c>
      <c r="I451" s="222"/>
    </row>
    <row r="452" ht="17.25" customHeight="1" spans="1:9" x14ac:dyDescent="0.25">
      <c r="A452" s="220">
        <v>469</v>
      </c>
      <c r="B452" s="221" t="s">
        <v>1227</v>
      </c>
      <c r="C452" s="222" t="s">
        <v>1228</v>
      </c>
      <c r="D452" s="221" t="s">
        <v>70</v>
      </c>
      <c r="E452" s="221" t="s">
        <v>395</v>
      </c>
      <c r="F452" s="223">
        <v>11200</v>
      </c>
      <c r="G452" s="221" t="s">
        <v>46</v>
      </c>
      <c r="H452" s="221" t="s">
        <v>71</v>
      </c>
      <c r="I452" s="222"/>
    </row>
    <row r="453" ht="17.25" customHeight="1" spans="1:9" x14ac:dyDescent="0.25">
      <c r="A453" s="220">
        <v>470</v>
      </c>
      <c r="B453" s="221" t="s">
        <v>1229</v>
      </c>
      <c r="C453" s="222" t="s">
        <v>1230</v>
      </c>
      <c r="D453" s="221" t="s">
        <v>70</v>
      </c>
      <c r="E453" s="221" t="s">
        <v>395</v>
      </c>
      <c r="F453" s="223">
        <v>11200</v>
      </c>
      <c r="G453" s="221" t="s">
        <v>46</v>
      </c>
      <c r="H453" s="221" t="s">
        <v>71</v>
      </c>
      <c r="I453" s="222"/>
    </row>
    <row r="454" ht="17.25" customHeight="1" spans="1:9" x14ac:dyDescent="0.25">
      <c r="A454" s="220">
        <v>471</v>
      </c>
      <c r="B454" s="221" t="s">
        <v>1231</v>
      </c>
      <c r="C454" s="222" t="s">
        <v>1232</v>
      </c>
      <c r="D454" s="221" t="s">
        <v>70</v>
      </c>
      <c r="E454" s="221" t="s">
        <v>395</v>
      </c>
      <c r="F454" s="223">
        <v>11200</v>
      </c>
      <c r="G454" s="221" t="s">
        <v>46</v>
      </c>
      <c r="H454" s="221" t="s">
        <v>71</v>
      </c>
      <c r="I454" s="222"/>
    </row>
    <row r="455" ht="17.25" customHeight="1" spans="1:9" x14ac:dyDescent="0.25">
      <c r="A455" s="220">
        <v>472</v>
      </c>
      <c r="B455" s="221" t="s">
        <v>1233</v>
      </c>
      <c r="C455" s="222" t="s">
        <v>1234</v>
      </c>
      <c r="D455" s="221" t="s">
        <v>70</v>
      </c>
      <c r="E455" s="221" t="s">
        <v>395</v>
      </c>
      <c r="F455" s="223">
        <v>11200</v>
      </c>
      <c r="G455" s="221" t="s">
        <v>46</v>
      </c>
      <c r="H455" s="221" t="s">
        <v>71</v>
      </c>
      <c r="I455" s="222"/>
    </row>
    <row r="456" ht="17.25" customHeight="1" spans="1:9" x14ac:dyDescent="0.25">
      <c r="A456" s="220">
        <v>473</v>
      </c>
      <c r="B456" s="221" t="s">
        <v>1235</v>
      </c>
      <c r="C456" s="222" t="s">
        <v>1236</v>
      </c>
      <c r="D456" s="221" t="s">
        <v>70</v>
      </c>
      <c r="E456" s="221" t="s">
        <v>395</v>
      </c>
      <c r="F456" s="223">
        <v>11200</v>
      </c>
      <c r="G456" s="221" t="s">
        <v>46</v>
      </c>
      <c r="H456" s="221" t="s">
        <v>71</v>
      </c>
      <c r="I456" s="222"/>
    </row>
    <row r="457" ht="17.25" customHeight="1" spans="1:9" x14ac:dyDescent="0.25">
      <c r="A457" s="220">
        <v>474</v>
      </c>
      <c r="B457" s="221" t="s">
        <v>1237</v>
      </c>
      <c r="C457" s="222" t="s">
        <v>1238</v>
      </c>
      <c r="D457" s="221" t="s">
        <v>70</v>
      </c>
      <c r="E457" s="221" t="s">
        <v>395</v>
      </c>
      <c r="F457" s="223">
        <v>11200</v>
      </c>
      <c r="G457" s="221" t="s">
        <v>46</v>
      </c>
      <c r="H457" s="221" t="s">
        <v>71</v>
      </c>
      <c r="I457" s="222"/>
    </row>
    <row r="458" ht="17.25" customHeight="1" spans="1:9" x14ac:dyDescent="0.25">
      <c r="A458" s="220">
        <v>475</v>
      </c>
      <c r="B458" s="221" t="s">
        <v>1239</v>
      </c>
      <c r="C458" s="222" t="s">
        <v>1240</v>
      </c>
      <c r="D458" s="221" t="s">
        <v>70</v>
      </c>
      <c r="E458" s="221" t="s">
        <v>395</v>
      </c>
      <c r="F458" s="223">
        <v>11200</v>
      </c>
      <c r="G458" s="221" t="s">
        <v>46</v>
      </c>
      <c r="H458" s="221" t="s">
        <v>71</v>
      </c>
      <c r="I458" s="222"/>
    </row>
    <row r="459" ht="17.25" customHeight="1" spans="1:9" x14ac:dyDescent="0.25">
      <c r="A459" s="220">
        <v>476</v>
      </c>
      <c r="B459" s="221" t="s">
        <v>1241</v>
      </c>
      <c r="C459" s="222" t="s">
        <v>1242</v>
      </c>
      <c r="D459" s="221" t="s">
        <v>70</v>
      </c>
      <c r="E459" s="221" t="s">
        <v>395</v>
      </c>
      <c r="F459" s="223">
        <v>11200</v>
      </c>
      <c r="G459" s="221" t="s">
        <v>46</v>
      </c>
      <c r="H459" s="221" t="s">
        <v>71</v>
      </c>
      <c r="I459" s="222"/>
    </row>
    <row r="460" ht="17.25" customHeight="1" spans="1:9" x14ac:dyDescent="0.25">
      <c r="A460" s="220">
        <v>478</v>
      </c>
      <c r="B460" s="221" t="s">
        <v>1243</v>
      </c>
      <c r="C460" s="222" t="s">
        <v>1244</v>
      </c>
      <c r="D460" s="221" t="s">
        <v>70</v>
      </c>
      <c r="E460" s="221" t="s">
        <v>395</v>
      </c>
      <c r="F460" s="223">
        <v>11200</v>
      </c>
      <c r="G460" s="221" t="s">
        <v>46</v>
      </c>
      <c r="H460" s="221" t="s">
        <v>71</v>
      </c>
      <c r="I460" s="222"/>
    </row>
    <row r="461" ht="17.25" customHeight="1" spans="1:9" x14ac:dyDescent="0.25">
      <c r="A461" s="220">
        <v>479</v>
      </c>
      <c r="B461" s="221" t="s">
        <v>1245</v>
      </c>
      <c r="C461" s="222" t="s">
        <v>1246</v>
      </c>
      <c r="D461" s="221" t="s">
        <v>70</v>
      </c>
      <c r="E461" s="221" t="s">
        <v>395</v>
      </c>
      <c r="F461" s="223">
        <v>11200</v>
      </c>
      <c r="G461" s="221" t="s">
        <v>46</v>
      </c>
      <c r="H461" s="221" t="s">
        <v>71</v>
      </c>
      <c r="I461" s="222"/>
    </row>
    <row r="462" ht="17.25" customHeight="1" spans="1:9" x14ac:dyDescent="0.25">
      <c r="A462" s="220">
        <v>480</v>
      </c>
      <c r="B462" s="221" t="s">
        <v>1247</v>
      </c>
      <c r="C462" s="222" t="s">
        <v>1248</v>
      </c>
      <c r="D462" s="221" t="s">
        <v>70</v>
      </c>
      <c r="E462" s="221" t="s">
        <v>395</v>
      </c>
      <c r="F462" s="223">
        <v>11200</v>
      </c>
      <c r="G462" s="221" t="s">
        <v>46</v>
      </c>
      <c r="H462" s="221" t="s">
        <v>71</v>
      </c>
      <c r="I462" s="222"/>
    </row>
    <row r="463" ht="17.25" customHeight="1" spans="1:9" x14ac:dyDescent="0.25">
      <c r="A463" s="220">
        <v>481</v>
      </c>
      <c r="B463" s="221" t="s">
        <v>1249</v>
      </c>
      <c r="C463" s="222" t="s">
        <v>1250</v>
      </c>
      <c r="D463" s="221" t="s">
        <v>70</v>
      </c>
      <c r="E463" s="221" t="s">
        <v>395</v>
      </c>
      <c r="F463" s="223">
        <v>11200</v>
      </c>
      <c r="G463" s="221" t="s">
        <v>46</v>
      </c>
      <c r="H463" s="221" t="s">
        <v>71</v>
      </c>
      <c r="I463" s="222"/>
    </row>
    <row r="464" ht="17.25" customHeight="1" spans="1:9" x14ac:dyDescent="0.25">
      <c r="A464" s="220">
        <v>482</v>
      </c>
      <c r="B464" s="221" t="s">
        <v>1251</v>
      </c>
      <c r="C464" s="222" t="s">
        <v>1252</v>
      </c>
      <c r="D464" s="221" t="s">
        <v>70</v>
      </c>
      <c r="E464" s="221" t="s">
        <v>395</v>
      </c>
      <c r="F464" s="223">
        <v>11200</v>
      </c>
      <c r="G464" s="221" t="s">
        <v>46</v>
      </c>
      <c r="H464" s="221" t="s">
        <v>71</v>
      </c>
      <c r="I464" s="222"/>
    </row>
    <row r="465" ht="17.25" customHeight="1" spans="1:9" x14ac:dyDescent="0.25">
      <c r="A465" s="220">
        <v>483</v>
      </c>
      <c r="B465" s="221" t="s">
        <v>1253</v>
      </c>
      <c r="C465" s="222" t="s">
        <v>1254</v>
      </c>
      <c r="D465" s="221" t="s">
        <v>70</v>
      </c>
      <c r="E465" s="221" t="s">
        <v>395</v>
      </c>
      <c r="F465" s="223">
        <v>11200</v>
      </c>
      <c r="G465" s="221" t="s">
        <v>46</v>
      </c>
      <c r="H465" s="221" t="s">
        <v>71</v>
      </c>
      <c r="I465" s="222"/>
    </row>
    <row r="466" ht="17.25" customHeight="1" spans="1:9" x14ac:dyDescent="0.25">
      <c r="A466" s="220">
        <v>484</v>
      </c>
      <c r="B466" s="221" t="s">
        <v>1255</v>
      </c>
      <c r="C466" s="222" t="s">
        <v>1256</v>
      </c>
      <c r="D466" s="221" t="s">
        <v>70</v>
      </c>
      <c r="E466" s="221" t="s">
        <v>395</v>
      </c>
      <c r="F466" s="223">
        <v>11200</v>
      </c>
      <c r="G466" s="221" t="s">
        <v>46</v>
      </c>
      <c r="H466" s="221" t="s">
        <v>71</v>
      </c>
      <c r="I466" s="222"/>
    </row>
    <row r="467" ht="17.25" customHeight="1" spans="1:9" x14ac:dyDescent="0.25">
      <c r="A467" s="220">
        <v>485</v>
      </c>
      <c r="B467" s="221" t="s">
        <v>1257</v>
      </c>
      <c r="C467" s="222" t="s">
        <v>1258</v>
      </c>
      <c r="D467" s="221" t="s">
        <v>70</v>
      </c>
      <c r="E467" s="221" t="s">
        <v>395</v>
      </c>
      <c r="F467" s="223">
        <v>11200</v>
      </c>
      <c r="G467" s="221" t="s">
        <v>46</v>
      </c>
      <c r="H467" s="221" t="s">
        <v>71</v>
      </c>
      <c r="I467" s="222"/>
    </row>
    <row r="468" ht="17.25" customHeight="1" spans="1:9" x14ac:dyDescent="0.25">
      <c r="A468" s="220">
        <v>486</v>
      </c>
      <c r="B468" s="221" t="s">
        <v>1259</v>
      </c>
      <c r="C468" s="222" t="s">
        <v>1260</v>
      </c>
      <c r="D468" s="221" t="s">
        <v>70</v>
      </c>
      <c r="E468" s="221" t="s">
        <v>395</v>
      </c>
      <c r="F468" s="223">
        <v>11200</v>
      </c>
      <c r="G468" s="221" t="s">
        <v>46</v>
      </c>
      <c r="H468" s="221" t="s">
        <v>71</v>
      </c>
      <c r="I468" s="222"/>
    </row>
    <row r="469" ht="17.25" customHeight="1" spans="1:9" x14ac:dyDescent="0.25">
      <c r="A469" s="220">
        <v>487</v>
      </c>
      <c r="B469" s="221" t="s">
        <v>1261</v>
      </c>
      <c r="C469" s="222" t="s">
        <v>1262</v>
      </c>
      <c r="D469" s="221" t="s">
        <v>70</v>
      </c>
      <c r="E469" s="221" t="s">
        <v>395</v>
      </c>
      <c r="F469" s="223">
        <v>11200</v>
      </c>
      <c r="G469" s="221" t="s">
        <v>46</v>
      </c>
      <c r="H469" s="221" t="s">
        <v>71</v>
      </c>
      <c r="I469" s="222"/>
    </row>
    <row r="470" ht="17.25" customHeight="1" spans="1:9" x14ac:dyDescent="0.25">
      <c r="A470" s="220">
        <v>488</v>
      </c>
      <c r="B470" s="221" t="s">
        <v>1263</v>
      </c>
      <c r="C470" s="222" t="s">
        <v>1264</v>
      </c>
      <c r="D470" s="221" t="s">
        <v>70</v>
      </c>
      <c r="E470" s="221" t="s">
        <v>395</v>
      </c>
      <c r="F470" s="223">
        <v>11200</v>
      </c>
      <c r="G470" s="221" t="s">
        <v>46</v>
      </c>
      <c r="H470" s="221" t="s">
        <v>71</v>
      </c>
      <c r="I470" s="222"/>
    </row>
    <row r="471" ht="17.25" customHeight="1" spans="1:9" x14ac:dyDescent="0.25">
      <c r="A471" s="220">
        <v>489</v>
      </c>
      <c r="B471" s="221" t="s">
        <v>1265</v>
      </c>
      <c r="C471" s="222" t="s">
        <v>1266</v>
      </c>
      <c r="D471" s="221" t="s">
        <v>70</v>
      </c>
      <c r="E471" s="221" t="s">
        <v>395</v>
      </c>
      <c r="F471" s="223">
        <v>11200</v>
      </c>
      <c r="G471" s="221" t="s">
        <v>46</v>
      </c>
      <c r="H471" s="221" t="s">
        <v>71</v>
      </c>
      <c r="I471" s="222"/>
    </row>
    <row r="472" ht="17.25" customHeight="1" spans="1:9" x14ac:dyDescent="0.25">
      <c r="A472" s="220">
        <v>490</v>
      </c>
      <c r="B472" s="221" t="s">
        <v>1267</v>
      </c>
      <c r="C472" s="222" t="s">
        <v>1268</v>
      </c>
      <c r="D472" s="221" t="s">
        <v>70</v>
      </c>
      <c r="E472" s="221" t="s">
        <v>395</v>
      </c>
      <c r="F472" s="223">
        <v>11200</v>
      </c>
      <c r="G472" s="221" t="s">
        <v>46</v>
      </c>
      <c r="H472" s="221" t="s">
        <v>71</v>
      </c>
      <c r="I472" s="222"/>
    </row>
    <row r="473" ht="17.25" customHeight="1" spans="1:9" x14ac:dyDescent="0.25">
      <c r="A473" s="220">
        <v>491</v>
      </c>
      <c r="B473" s="221" t="s">
        <v>1269</v>
      </c>
      <c r="C473" s="222" t="s">
        <v>1270</v>
      </c>
      <c r="D473" s="221" t="s">
        <v>70</v>
      </c>
      <c r="E473" s="221" t="s">
        <v>395</v>
      </c>
      <c r="F473" s="223">
        <v>11200</v>
      </c>
      <c r="G473" s="221" t="s">
        <v>46</v>
      </c>
      <c r="H473" s="221" t="s">
        <v>71</v>
      </c>
      <c r="I473" s="222"/>
    </row>
    <row r="474" ht="17.25" customHeight="1" spans="1:9" x14ac:dyDescent="0.25">
      <c r="A474" s="220">
        <v>492</v>
      </c>
      <c r="B474" s="221" t="s">
        <v>1271</v>
      </c>
      <c r="C474" s="222" t="s">
        <v>1272</v>
      </c>
      <c r="D474" s="221" t="s">
        <v>70</v>
      </c>
      <c r="E474" s="221" t="s">
        <v>395</v>
      </c>
      <c r="F474" s="223">
        <v>11200</v>
      </c>
      <c r="G474" s="221" t="s">
        <v>46</v>
      </c>
      <c r="H474" s="221" t="s">
        <v>71</v>
      </c>
      <c r="I474" s="222"/>
    </row>
    <row r="475" ht="17.25" customHeight="1" spans="1:9" x14ac:dyDescent="0.25">
      <c r="A475" s="220">
        <v>493</v>
      </c>
      <c r="B475" s="221" t="s">
        <v>1273</v>
      </c>
      <c r="C475" s="222" t="s">
        <v>1274</v>
      </c>
      <c r="D475" s="221" t="s">
        <v>70</v>
      </c>
      <c r="E475" s="221" t="s">
        <v>395</v>
      </c>
      <c r="F475" s="223">
        <v>11200</v>
      </c>
      <c r="G475" s="221" t="s">
        <v>46</v>
      </c>
      <c r="H475" s="221" t="s">
        <v>71</v>
      </c>
      <c r="I475" s="222"/>
    </row>
    <row r="476" ht="17.25" customHeight="1" spans="1:9" x14ac:dyDescent="0.25">
      <c r="A476" s="220">
        <v>494</v>
      </c>
      <c r="B476" s="221" t="s">
        <v>1275</v>
      </c>
      <c r="C476" s="222" t="s">
        <v>1276</v>
      </c>
      <c r="D476" s="221" t="s">
        <v>70</v>
      </c>
      <c r="E476" s="221" t="s">
        <v>395</v>
      </c>
      <c r="F476" s="223">
        <v>11200</v>
      </c>
      <c r="G476" s="221" t="s">
        <v>46</v>
      </c>
      <c r="H476" s="221" t="s">
        <v>71</v>
      </c>
      <c r="I476" s="222"/>
    </row>
    <row r="477" ht="17.25" customHeight="1" spans="1:9" x14ac:dyDescent="0.25">
      <c r="A477" s="220">
        <v>495</v>
      </c>
      <c r="B477" s="221" t="s">
        <v>1277</v>
      </c>
      <c r="C477" s="222" t="s">
        <v>1278</v>
      </c>
      <c r="D477" s="221" t="s">
        <v>70</v>
      </c>
      <c r="E477" s="221" t="s">
        <v>395</v>
      </c>
      <c r="F477" s="223">
        <v>11200</v>
      </c>
      <c r="G477" s="221" t="s">
        <v>46</v>
      </c>
      <c r="H477" s="221" t="s">
        <v>71</v>
      </c>
      <c r="I477" s="222"/>
    </row>
    <row r="478" ht="17.25" customHeight="1" spans="1:9" x14ac:dyDescent="0.25">
      <c r="A478" s="220">
        <v>496</v>
      </c>
      <c r="B478" s="221" t="s">
        <v>1279</v>
      </c>
      <c r="C478" s="222" t="s">
        <v>1280</v>
      </c>
      <c r="D478" s="221" t="s">
        <v>70</v>
      </c>
      <c r="E478" s="221" t="s">
        <v>395</v>
      </c>
      <c r="F478" s="223">
        <v>11200</v>
      </c>
      <c r="G478" s="221" t="s">
        <v>46</v>
      </c>
      <c r="H478" s="221" t="s">
        <v>71</v>
      </c>
      <c r="I478" s="222"/>
    </row>
    <row r="479" ht="17.25" customHeight="1" spans="1:9" x14ac:dyDescent="0.25">
      <c r="A479" s="220">
        <v>497</v>
      </c>
      <c r="B479" s="221" t="s">
        <v>1281</v>
      </c>
      <c r="C479" s="222" t="s">
        <v>1282</v>
      </c>
      <c r="D479" s="221" t="s">
        <v>70</v>
      </c>
      <c r="E479" s="221" t="s">
        <v>395</v>
      </c>
      <c r="F479" s="223">
        <v>11200</v>
      </c>
      <c r="G479" s="221" t="s">
        <v>46</v>
      </c>
      <c r="H479" s="221" t="s">
        <v>71</v>
      </c>
      <c r="I479" s="222"/>
    </row>
    <row r="480" ht="17.25" customHeight="1" spans="1:9" x14ac:dyDescent="0.25">
      <c r="A480" s="220">
        <v>498</v>
      </c>
      <c r="B480" s="221" t="s">
        <v>1283</v>
      </c>
      <c r="C480" s="222" t="s">
        <v>1284</v>
      </c>
      <c r="D480" s="221" t="s">
        <v>70</v>
      </c>
      <c r="E480" s="221" t="s">
        <v>395</v>
      </c>
      <c r="F480" s="223">
        <v>11200</v>
      </c>
      <c r="G480" s="221" t="s">
        <v>46</v>
      </c>
      <c r="H480" s="221" t="s">
        <v>71</v>
      </c>
      <c r="I480" s="222"/>
    </row>
    <row r="481" ht="17.25" customHeight="1" spans="1:9" x14ac:dyDescent="0.25">
      <c r="A481" s="220">
        <v>499</v>
      </c>
      <c r="B481" s="221" t="s">
        <v>1285</v>
      </c>
      <c r="C481" s="222" t="s">
        <v>1286</v>
      </c>
      <c r="D481" s="221" t="s">
        <v>70</v>
      </c>
      <c r="E481" s="221" t="s">
        <v>395</v>
      </c>
      <c r="F481" s="223">
        <v>11200</v>
      </c>
      <c r="G481" s="221" t="s">
        <v>46</v>
      </c>
      <c r="H481" s="221" t="s">
        <v>71</v>
      </c>
      <c r="I481" s="222"/>
    </row>
    <row r="482" ht="17.25" customHeight="1" spans="1:9" x14ac:dyDescent="0.25">
      <c r="A482" s="220">
        <v>500</v>
      </c>
      <c r="B482" s="221" t="s">
        <v>1287</v>
      </c>
      <c r="C482" s="222" t="s">
        <v>1288</v>
      </c>
      <c r="D482" s="221" t="s">
        <v>70</v>
      </c>
      <c r="E482" s="221" t="s">
        <v>395</v>
      </c>
      <c r="F482" s="223">
        <v>11200</v>
      </c>
      <c r="G482" s="221" t="s">
        <v>46</v>
      </c>
      <c r="H482" s="221" t="s">
        <v>71</v>
      </c>
      <c r="I482" s="222"/>
    </row>
    <row r="483" ht="17.25" customHeight="1" spans="1:9" x14ac:dyDescent="0.25">
      <c r="A483" s="220">
        <v>502</v>
      </c>
      <c r="B483" s="221" t="s">
        <v>1289</v>
      </c>
      <c r="C483" s="222" t="s">
        <v>1290</v>
      </c>
      <c r="D483" s="221" t="s">
        <v>70</v>
      </c>
      <c r="E483" s="221" t="s">
        <v>395</v>
      </c>
      <c r="F483" s="223">
        <v>11200</v>
      </c>
      <c r="G483" s="221" t="s">
        <v>46</v>
      </c>
      <c r="H483" s="221" t="s">
        <v>71</v>
      </c>
      <c r="I483" s="222"/>
    </row>
    <row r="484" ht="17.25" customHeight="1" spans="1:9" x14ac:dyDescent="0.25">
      <c r="A484" s="220">
        <v>503</v>
      </c>
      <c r="B484" s="221" t="s">
        <v>1291</v>
      </c>
      <c r="C484" s="222" t="s">
        <v>1292</v>
      </c>
      <c r="D484" s="221" t="s">
        <v>70</v>
      </c>
      <c r="E484" s="221" t="s">
        <v>395</v>
      </c>
      <c r="F484" s="223">
        <v>11200</v>
      </c>
      <c r="G484" s="221" t="s">
        <v>46</v>
      </c>
      <c r="H484" s="221" t="s">
        <v>71</v>
      </c>
      <c r="I484" s="222"/>
    </row>
    <row r="485" ht="17.25" customHeight="1" spans="1:9" x14ac:dyDescent="0.25">
      <c r="A485" s="220">
        <v>504</v>
      </c>
      <c r="B485" s="221" t="s">
        <v>1293</v>
      </c>
      <c r="C485" s="222" t="s">
        <v>1294</v>
      </c>
      <c r="D485" s="221" t="s">
        <v>70</v>
      </c>
      <c r="E485" s="221" t="s">
        <v>395</v>
      </c>
      <c r="F485" s="223">
        <v>11200</v>
      </c>
      <c r="G485" s="221" t="s">
        <v>46</v>
      </c>
      <c r="H485" s="221" t="s">
        <v>71</v>
      </c>
      <c r="I485" s="222"/>
    </row>
    <row r="486" ht="17.25" customHeight="1" spans="1:9" x14ac:dyDescent="0.25">
      <c r="A486" s="220">
        <v>507</v>
      </c>
      <c r="B486" s="221" t="s">
        <v>1295</v>
      </c>
      <c r="C486" s="222" t="s">
        <v>1296</v>
      </c>
      <c r="D486" s="221" t="s">
        <v>70</v>
      </c>
      <c r="E486" s="221" t="s">
        <v>395</v>
      </c>
      <c r="F486" s="223">
        <v>11200</v>
      </c>
      <c r="G486" s="221" t="s">
        <v>46</v>
      </c>
      <c r="H486" s="221" t="s">
        <v>71</v>
      </c>
      <c r="I486" s="222"/>
    </row>
    <row r="487" ht="17.25" customHeight="1" spans="1:9" x14ac:dyDescent="0.25">
      <c r="A487" s="220">
        <v>508</v>
      </c>
      <c r="B487" s="221" t="s">
        <v>1297</v>
      </c>
      <c r="C487" s="222" t="s">
        <v>1298</v>
      </c>
      <c r="D487" s="221" t="s">
        <v>70</v>
      </c>
      <c r="E487" s="221" t="s">
        <v>395</v>
      </c>
      <c r="F487" s="223">
        <v>0</v>
      </c>
      <c r="G487" s="221" t="s">
        <v>46</v>
      </c>
      <c r="H487" s="221" t="s">
        <v>71</v>
      </c>
      <c r="I487" s="222"/>
    </row>
    <row r="488" ht="17.25" customHeight="1" spans="1:9" x14ac:dyDescent="0.25">
      <c r="A488" s="220">
        <v>509</v>
      </c>
      <c r="B488" s="221" t="s">
        <v>1299</v>
      </c>
      <c r="C488" s="222" t="s">
        <v>1300</v>
      </c>
      <c r="D488" s="221" t="s">
        <v>70</v>
      </c>
      <c r="E488" s="221" t="s">
        <v>395</v>
      </c>
      <c r="F488" s="223">
        <v>11200</v>
      </c>
      <c r="G488" s="221" t="s">
        <v>46</v>
      </c>
      <c r="H488" s="221" t="s">
        <v>71</v>
      </c>
      <c r="I488" s="222"/>
    </row>
    <row r="489" ht="17.25" customHeight="1" spans="1:9" x14ac:dyDescent="0.25">
      <c r="A489" s="220">
        <v>510</v>
      </c>
      <c r="B489" s="221" t="s">
        <v>1301</v>
      </c>
      <c r="C489" s="222" t="s">
        <v>1302</v>
      </c>
      <c r="D489" s="221" t="s">
        <v>70</v>
      </c>
      <c r="E489" s="221" t="s">
        <v>395</v>
      </c>
      <c r="F489" s="223">
        <v>11200</v>
      </c>
      <c r="G489" s="221" t="s">
        <v>46</v>
      </c>
      <c r="H489" s="221" t="s">
        <v>71</v>
      </c>
      <c r="I489" s="222"/>
    </row>
    <row r="490" ht="17.25" customHeight="1" spans="1:9" x14ac:dyDescent="0.25">
      <c r="A490" s="220">
        <v>511</v>
      </c>
      <c r="B490" s="221" t="s">
        <v>1303</v>
      </c>
      <c r="C490" s="222" t="s">
        <v>1304</v>
      </c>
      <c r="D490" s="221" t="s">
        <v>70</v>
      </c>
      <c r="E490" s="221" t="s">
        <v>395</v>
      </c>
      <c r="F490" s="223">
        <v>11200</v>
      </c>
      <c r="G490" s="221" t="s">
        <v>46</v>
      </c>
      <c r="H490" s="221" t="s">
        <v>71</v>
      </c>
      <c r="I490" s="222"/>
    </row>
    <row r="491" ht="17.25" customHeight="1" spans="1:9" x14ac:dyDescent="0.25">
      <c r="A491" s="220">
        <v>512</v>
      </c>
      <c r="B491" s="221" t="s">
        <v>1305</v>
      </c>
      <c r="C491" s="222" t="s">
        <v>1306</v>
      </c>
      <c r="D491" s="221" t="s">
        <v>70</v>
      </c>
      <c r="E491" s="221" t="s">
        <v>395</v>
      </c>
      <c r="F491" s="223">
        <v>11200</v>
      </c>
      <c r="G491" s="221" t="s">
        <v>46</v>
      </c>
      <c r="H491" s="221" t="s">
        <v>71</v>
      </c>
      <c r="I491" s="222"/>
    </row>
    <row r="492" ht="17.25" customHeight="1" spans="1:9" x14ac:dyDescent="0.25">
      <c r="A492" s="220">
        <v>513</v>
      </c>
      <c r="B492" s="221" t="s">
        <v>1307</v>
      </c>
      <c r="C492" s="222" t="s">
        <v>1308</v>
      </c>
      <c r="D492" s="221" t="s">
        <v>70</v>
      </c>
      <c r="E492" s="221" t="s">
        <v>395</v>
      </c>
      <c r="F492" s="223">
        <v>13500</v>
      </c>
      <c r="G492" s="221" t="s">
        <v>46</v>
      </c>
      <c r="H492" s="221" t="s">
        <v>71</v>
      </c>
      <c r="I492" s="222"/>
    </row>
    <row r="493" ht="17.25" customHeight="1" spans="1:9" x14ac:dyDescent="0.25">
      <c r="A493" s="220">
        <v>515</v>
      </c>
      <c r="B493" s="221" t="s">
        <v>1309</v>
      </c>
      <c r="C493" s="222" t="s">
        <v>1310</v>
      </c>
      <c r="D493" s="221" t="s">
        <v>70</v>
      </c>
      <c r="E493" s="221" t="s">
        <v>395</v>
      </c>
      <c r="F493" s="223">
        <v>11200</v>
      </c>
      <c r="G493" s="221" t="s">
        <v>46</v>
      </c>
      <c r="H493" s="221" t="s">
        <v>71</v>
      </c>
      <c r="I493" s="222"/>
    </row>
    <row r="494" ht="17.25" customHeight="1" spans="1:9" x14ac:dyDescent="0.25">
      <c r="A494" s="220">
        <v>516</v>
      </c>
      <c r="B494" s="221" t="s">
        <v>1311</v>
      </c>
      <c r="C494" s="222" t="s">
        <v>1312</v>
      </c>
      <c r="D494" s="221" t="s">
        <v>70</v>
      </c>
      <c r="E494" s="221" t="s">
        <v>395</v>
      </c>
      <c r="F494" s="223">
        <v>11200</v>
      </c>
      <c r="G494" s="221" t="s">
        <v>46</v>
      </c>
      <c r="H494" s="221" t="s">
        <v>71</v>
      </c>
      <c r="I494" s="222"/>
    </row>
    <row r="495" ht="17.25" customHeight="1" spans="1:9" x14ac:dyDescent="0.25">
      <c r="A495" s="220">
        <v>517</v>
      </c>
      <c r="B495" s="221" t="s">
        <v>1313</v>
      </c>
      <c r="C495" s="222" t="s">
        <v>1314</v>
      </c>
      <c r="D495" s="221" t="s">
        <v>70</v>
      </c>
      <c r="E495" s="221" t="s">
        <v>395</v>
      </c>
      <c r="F495" s="223">
        <v>13500</v>
      </c>
      <c r="G495" s="221" t="s">
        <v>46</v>
      </c>
      <c r="H495" s="221" t="s">
        <v>71</v>
      </c>
      <c r="I495" s="222"/>
    </row>
    <row r="496" ht="17.25" customHeight="1" spans="1:9" x14ac:dyDescent="0.25">
      <c r="A496" s="220">
        <v>518</v>
      </c>
      <c r="B496" s="221" t="s">
        <v>1315</v>
      </c>
      <c r="C496" s="222" t="s">
        <v>1316</v>
      </c>
      <c r="D496" s="221" t="s">
        <v>70</v>
      </c>
      <c r="E496" s="221" t="s">
        <v>395</v>
      </c>
      <c r="F496" s="223">
        <v>11200</v>
      </c>
      <c r="G496" s="221" t="s">
        <v>46</v>
      </c>
      <c r="H496" s="221" t="s">
        <v>71</v>
      </c>
      <c r="I496" s="222"/>
    </row>
    <row r="497" ht="17.25" customHeight="1" spans="1:9" x14ac:dyDescent="0.25">
      <c r="A497" s="220">
        <v>519</v>
      </c>
      <c r="B497" s="221" t="s">
        <v>1317</v>
      </c>
      <c r="C497" s="222" t="s">
        <v>1318</v>
      </c>
      <c r="D497" s="221" t="s">
        <v>70</v>
      </c>
      <c r="E497" s="221" t="s">
        <v>395</v>
      </c>
      <c r="F497" s="223">
        <v>13500</v>
      </c>
      <c r="G497" s="221" t="s">
        <v>46</v>
      </c>
      <c r="H497" s="221" t="s">
        <v>71</v>
      </c>
      <c r="I497" s="222"/>
    </row>
    <row r="498" ht="17.25" customHeight="1" spans="1:9" x14ac:dyDescent="0.25">
      <c r="A498" s="220">
        <v>520</v>
      </c>
      <c r="B498" s="221" t="s">
        <v>1319</v>
      </c>
      <c r="C498" s="222" t="s">
        <v>1320</v>
      </c>
      <c r="D498" s="221" t="s">
        <v>70</v>
      </c>
      <c r="E498" s="221" t="s">
        <v>395</v>
      </c>
      <c r="F498" s="223">
        <v>13500</v>
      </c>
      <c r="G498" s="221" t="s">
        <v>46</v>
      </c>
      <c r="H498" s="221" t="s">
        <v>71</v>
      </c>
      <c r="I498" s="222"/>
    </row>
    <row r="499" ht="17.25" customHeight="1" spans="1:9" x14ac:dyDescent="0.25">
      <c r="A499" s="220">
        <v>521</v>
      </c>
      <c r="B499" s="221" t="s">
        <v>1321</v>
      </c>
      <c r="C499" s="222" t="s">
        <v>1322</v>
      </c>
      <c r="D499" s="221" t="s">
        <v>70</v>
      </c>
      <c r="E499" s="221" t="s">
        <v>395</v>
      </c>
      <c r="F499" s="223">
        <v>11200</v>
      </c>
      <c r="G499" s="221" t="s">
        <v>46</v>
      </c>
      <c r="H499" s="221" t="s">
        <v>71</v>
      </c>
      <c r="I499" s="222"/>
    </row>
    <row r="500" ht="17.25" customHeight="1" spans="1:9" x14ac:dyDescent="0.25">
      <c r="A500" s="220">
        <v>522</v>
      </c>
      <c r="B500" s="221" t="s">
        <v>1323</v>
      </c>
      <c r="C500" s="222" t="s">
        <v>1324</v>
      </c>
      <c r="D500" s="221" t="s">
        <v>70</v>
      </c>
      <c r="E500" s="221" t="s">
        <v>395</v>
      </c>
      <c r="F500" s="223">
        <v>11200</v>
      </c>
      <c r="G500" s="221" t="s">
        <v>46</v>
      </c>
      <c r="H500" s="221" t="s">
        <v>71</v>
      </c>
      <c r="I500" s="222"/>
    </row>
    <row r="501" ht="17.25" customHeight="1" spans="1:9" x14ac:dyDescent="0.25">
      <c r="A501" s="220">
        <v>523</v>
      </c>
      <c r="B501" s="221" t="s">
        <v>1325</v>
      </c>
      <c r="C501" s="222" t="s">
        <v>1326</v>
      </c>
      <c r="D501" s="221" t="s">
        <v>70</v>
      </c>
      <c r="E501" s="221" t="s">
        <v>395</v>
      </c>
      <c r="F501" s="223">
        <v>11200</v>
      </c>
      <c r="G501" s="221" t="s">
        <v>46</v>
      </c>
      <c r="H501" s="221" t="s">
        <v>71</v>
      </c>
      <c r="I501" s="222"/>
    </row>
    <row r="502" ht="17.25" customHeight="1" spans="1:9" x14ac:dyDescent="0.25">
      <c r="A502" s="220">
        <v>524</v>
      </c>
      <c r="B502" s="221" t="s">
        <v>1327</v>
      </c>
      <c r="C502" s="222" t="s">
        <v>1328</v>
      </c>
      <c r="D502" s="221" t="s">
        <v>70</v>
      </c>
      <c r="E502" s="221" t="s">
        <v>395</v>
      </c>
      <c r="F502" s="223">
        <v>11200</v>
      </c>
      <c r="G502" s="221" t="s">
        <v>46</v>
      </c>
      <c r="H502" s="221" t="s">
        <v>71</v>
      </c>
      <c r="I502" s="222"/>
    </row>
    <row r="503" ht="17.25" customHeight="1" spans="1:9" x14ac:dyDescent="0.25">
      <c r="A503" s="220">
        <v>525</v>
      </c>
      <c r="B503" s="221" t="s">
        <v>1329</v>
      </c>
      <c r="C503" s="222" t="s">
        <v>1330</v>
      </c>
      <c r="D503" s="221" t="s">
        <v>70</v>
      </c>
      <c r="E503" s="221" t="s">
        <v>395</v>
      </c>
      <c r="F503" s="223">
        <v>11200</v>
      </c>
      <c r="G503" s="221" t="s">
        <v>46</v>
      </c>
      <c r="H503" s="221" t="s">
        <v>71</v>
      </c>
      <c r="I503" s="222"/>
    </row>
    <row r="504" ht="17.25" customHeight="1" spans="1:9" x14ac:dyDescent="0.25">
      <c r="A504" s="220">
        <v>526</v>
      </c>
      <c r="B504" s="221" t="s">
        <v>1331</v>
      </c>
      <c r="C504" s="222" t="s">
        <v>1332</v>
      </c>
      <c r="D504" s="221" t="s">
        <v>70</v>
      </c>
      <c r="E504" s="221" t="s">
        <v>395</v>
      </c>
      <c r="F504" s="223">
        <v>11200</v>
      </c>
      <c r="G504" s="221" t="s">
        <v>46</v>
      </c>
      <c r="H504" s="221" t="s">
        <v>71</v>
      </c>
      <c r="I504" s="222"/>
    </row>
    <row r="505" ht="17.25" customHeight="1" spans="1:9" x14ac:dyDescent="0.25">
      <c r="A505" s="220">
        <v>527</v>
      </c>
      <c r="B505" s="221" t="s">
        <v>1333</v>
      </c>
      <c r="C505" s="222" t="s">
        <v>1334</v>
      </c>
      <c r="D505" s="221" t="s">
        <v>70</v>
      </c>
      <c r="E505" s="221" t="s">
        <v>395</v>
      </c>
      <c r="F505" s="223">
        <v>12500</v>
      </c>
      <c r="G505" s="221" t="s">
        <v>46</v>
      </c>
      <c r="H505" s="221" t="s">
        <v>71</v>
      </c>
      <c r="I505" s="222"/>
    </row>
    <row r="506" ht="17.25" customHeight="1" spans="1:9" x14ac:dyDescent="0.25">
      <c r="A506" s="220">
        <v>528</v>
      </c>
      <c r="B506" s="221" t="s">
        <v>1335</v>
      </c>
      <c r="C506" s="222" t="s">
        <v>1336</v>
      </c>
      <c r="D506" s="221" t="s">
        <v>70</v>
      </c>
      <c r="E506" s="221" t="s">
        <v>395</v>
      </c>
      <c r="F506" s="223">
        <v>13500</v>
      </c>
      <c r="G506" s="221" t="s">
        <v>46</v>
      </c>
      <c r="H506" s="221" t="s">
        <v>71</v>
      </c>
      <c r="I506" s="222"/>
    </row>
    <row r="507" ht="17.25" customHeight="1" spans="1:9" x14ac:dyDescent="0.25">
      <c r="A507" s="220">
        <v>529</v>
      </c>
      <c r="B507" s="221" t="s">
        <v>1337</v>
      </c>
      <c r="C507" s="222" t="s">
        <v>1338</v>
      </c>
      <c r="D507" s="221" t="s">
        <v>70</v>
      </c>
      <c r="E507" s="221" t="s">
        <v>395</v>
      </c>
      <c r="F507" s="223">
        <v>12500</v>
      </c>
      <c r="G507" s="221" t="s">
        <v>46</v>
      </c>
      <c r="H507" s="221" t="s">
        <v>71</v>
      </c>
      <c r="I507" s="222"/>
    </row>
    <row r="508" ht="17.25" customHeight="1" spans="1:9" x14ac:dyDescent="0.25">
      <c r="A508" s="220">
        <v>530</v>
      </c>
      <c r="B508" s="221" t="s">
        <v>1339</v>
      </c>
      <c r="C508" s="222" t="s">
        <v>1340</v>
      </c>
      <c r="D508" s="221" t="s">
        <v>70</v>
      </c>
      <c r="E508" s="221" t="s">
        <v>395</v>
      </c>
      <c r="F508" s="223">
        <v>12500</v>
      </c>
      <c r="G508" s="221" t="s">
        <v>46</v>
      </c>
      <c r="H508" s="221" t="s">
        <v>71</v>
      </c>
      <c r="I508" s="222"/>
    </row>
    <row r="509" ht="17.25" customHeight="1" spans="1:9" x14ac:dyDescent="0.25">
      <c r="A509" s="220">
        <v>532</v>
      </c>
      <c r="B509" s="221" t="s">
        <v>1341</v>
      </c>
      <c r="C509" s="222" t="s">
        <v>1342</v>
      </c>
      <c r="D509" s="221" t="s">
        <v>70</v>
      </c>
      <c r="E509" s="221" t="s">
        <v>395</v>
      </c>
      <c r="F509" s="223">
        <v>12500</v>
      </c>
      <c r="G509" s="221" t="s">
        <v>46</v>
      </c>
      <c r="H509" s="221" t="s">
        <v>71</v>
      </c>
      <c r="I509" s="222"/>
    </row>
    <row r="510" ht="17.25" customHeight="1" spans="1:9" x14ac:dyDescent="0.25">
      <c r="A510" s="220">
        <v>533</v>
      </c>
      <c r="B510" s="221" t="s">
        <v>1343</v>
      </c>
      <c r="C510" s="222" t="s">
        <v>1344</v>
      </c>
      <c r="D510" s="221" t="s">
        <v>70</v>
      </c>
      <c r="E510" s="221" t="s">
        <v>395</v>
      </c>
      <c r="F510" s="223">
        <v>12500</v>
      </c>
      <c r="G510" s="221" t="s">
        <v>46</v>
      </c>
      <c r="H510" s="221" t="s">
        <v>71</v>
      </c>
      <c r="I510" s="222"/>
    </row>
    <row r="511" ht="17.25" customHeight="1" spans="1:9" x14ac:dyDescent="0.25">
      <c r="A511" s="220">
        <v>534</v>
      </c>
      <c r="B511" s="221" t="s">
        <v>1345</v>
      </c>
      <c r="C511" s="222" t="s">
        <v>1346</v>
      </c>
      <c r="D511" s="221" t="s">
        <v>70</v>
      </c>
      <c r="E511" s="221" t="s">
        <v>395</v>
      </c>
      <c r="F511" s="223">
        <v>12500</v>
      </c>
      <c r="G511" s="221" t="s">
        <v>46</v>
      </c>
      <c r="H511" s="221" t="s">
        <v>71</v>
      </c>
      <c r="I511" s="222"/>
    </row>
    <row r="512" ht="17.25" customHeight="1" spans="1:9" x14ac:dyDescent="0.25">
      <c r="A512" s="220">
        <v>535</v>
      </c>
      <c r="B512" s="221" t="s">
        <v>1347</v>
      </c>
      <c r="C512" s="222" t="s">
        <v>1348</v>
      </c>
      <c r="D512" s="221" t="s">
        <v>70</v>
      </c>
      <c r="E512" s="221" t="s">
        <v>395</v>
      </c>
      <c r="F512" s="223">
        <v>12500</v>
      </c>
      <c r="G512" s="221" t="s">
        <v>46</v>
      </c>
      <c r="H512" s="221" t="s">
        <v>71</v>
      </c>
      <c r="I512" s="222"/>
    </row>
    <row r="513" ht="17.25" customHeight="1" spans="1:9" x14ac:dyDescent="0.25">
      <c r="A513" s="220">
        <v>536</v>
      </c>
      <c r="B513" s="221" t="s">
        <v>1349</v>
      </c>
      <c r="C513" s="222" t="s">
        <v>1350</v>
      </c>
      <c r="D513" s="221" t="s">
        <v>70</v>
      </c>
      <c r="E513" s="221" t="s">
        <v>395</v>
      </c>
      <c r="F513" s="223">
        <v>12500</v>
      </c>
      <c r="G513" s="221" t="s">
        <v>46</v>
      </c>
      <c r="H513" s="221" t="s">
        <v>71</v>
      </c>
      <c r="I513" s="222"/>
    </row>
    <row r="514" ht="17.25" customHeight="1" spans="1:9" x14ac:dyDescent="0.25">
      <c r="A514" s="220">
        <v>537</v>
      </c>
      <c r="B514" s="221" t="s">
        <v>1351</v>
      </c>
      <c r="C514" s="222" t="s">
        <v>1352</v>
      </c>
      <c r="D514" s="221" t="s">
        <v>70</v>
      </c>
      <c r="E514" s="221" t="s">
        <v>395</v>
      </c>
      <c r="F514" s="223">
        <v>12500</v>
      </c>
      <c r="G514" s="221" t="s">
        <v>46</v>
      </c>
      <c r="H514" s="221" t="s">
        <v>71</v>
      </c>
      <c r="I514" s="222"/>
    </row>
    <row r="515" ht="17.25" customHeight="1" spans="1:9" x14ac:dyDescent="0.25">
      <c r="A515" s="220">
        <v>539</v>
      </c>
      <c r="B515" s="221" t="s">
        <v>1353</v>
      </c>
      <c r="C515" s="222" t="s">
        <v>1354</v>
      </c>
      <c r="D515" s="221" t="s">
        <v>70</v>
      </c>
      <c r="E515" s="221" t="s">
        <v>395</v>
      </c>
      <c r="F515" s="223">
        <v>12500</v>
      </c>
      <c r="G515" s="221" t="s">
        <v>46</v>
      </c>
      <c r="H515" s="221" t="s">
        <v>71</v>
      </c>
      <c r="I515" s="222"/>
    </row>
    <row r="516" ht="17.25" customHeight="1" spans="1:9" x14ac:dyDescent="0.25">
      <c r="A516" s="220">
        <v>540</v>
      </c>
      <c r="B516" s="221" t="s">
        <v>1355</v>
      </c>
      <c r="C516" s="222" t="s">
        <v>1356</v>
      </c>
      <c r="D516" s="221" t="s">
        <v>70</v>
      </c>
      <c r="E516" s="221" t="s">
        <v>395</v>
      </c>
      <c r="F516" s="223">
        <v>12500</v>
      </c>
      <c r="G516" s="221" t="s">
        <v>46</v>
      </c>
      <c r="H516" s="221" t="s">
        <v>71</v>
      </c>
      <c r="I516" s="222"/>
    </row>
    <row r="517" ht="17.25" customHeight="1" spans="1:9" x14ac:dyDescent="0.25">
      <c r="A517" s="220">
        <v>541</v>
      </c>
      <c r="B517" s="221" t="s">
        <v>1357</v>
      </c>
      <c r="C517" s="222" t="s">
        <v>1358</v>
      </c>
      <c r="D517" s="221" t="s">
        <v>70</v>
      </c>
      <c r="E517" s="221" t="s">
        <v>395</v>
      </c>
      <c r="F517" s="223">
        <v>12500</v>
      </c>
      <c r="G517" s="221" t="s">
        <v>46</v>
      </c>
      <c r="H517" s="221" t="s">
        <v>71</v>
      </c>
      <c r="I517" s="222"/>
    </row>
    <row r="518" ht="17.25" customHeight="1" spans="1:9" x14ac:dyDescent="0.25">
      <c r="A518" s="220">
        <v>542</v>
      </c>
      <c r="B518" s="221" t="s">
        <v>1359</v>
      </c>
      <c r="C518" s="222" t="s">
        <v>1360</v>
      </c>
      <c r="D518" s="221" t="s">
        <v>70</v>
      </c>
      <c r="E518" s="221" t="s">
        <v>395</v>
      </c>
      <c r="F518" s="223">
        <v>13500</v>
      </c>
      <c r="G518" s="221" t="s">
        <v>46</v>
      </c>
      <c r="H518" s="221" t="s">
        <v>71</v>
      </c>
      <c r="I518" s="222"/>
    </row>
    <row r="519" ht="17.25" customHeight="1" spans="1:9" x14ac:dyDescent="0.25">
      <c r="A519" s="220">
        <v>543</v>
      </c>
      <c r="B519" s="221" t="s">
        <v>1361</v>
      </c>
      <c r="C519" s="222" t="s">
        <v>1362</v>
      </c>
      <c r="D519" s="221" t="s">
        <v>70</v>
      </c>
      <c r="E519" s="221" t="s">
        <v>395</v>
      </c>
      <c r="F519" s="223">
        <v>13500</v>
      </c>
      <c r="G519" s="221" t="s">
        <v>46</v>
      </c>
      <c r="H519" s="221" t="s">
        <v>71</v>
      </c>
      <c r="I519" s="222"/>
    </row>
    <row r="520" ht="17.25" customHeight="1" spans="1:9" x14ac:dyDescent="0.25">
      <c r="A520" s="220">
        <v>544</v>
      </c>
      <c r="B520" s="221" t="s">
        <v>1363</v>
      </c>
      <c r="C520" s="222" t="s">
        <v>1364</v>
      </c>
      <c r="D520" s="221" t="s">
        <v>70</v>
      </c>
      <c r="E520" s="221" t="s">
        <v>395</v>
      </c>
      <c r="F520" s="223">
        <v>11200</v>
      </c>
      <c r="G520" s="221" t="s">
        <v>46</v>
      </c>
      <c r="H520" s="221" t="s">
        <v>71</v>
      </c>
      <c r="I520" s="222"/>
    </row>
    <row r="521" ht="17.25" customHeight="1" spans="1:9" x14ac:dyDescent="0.25">
      <c r="A521" s="220">
        <v>545</v>
      </c>
      <c r="B521" s="221" t="s">
        <v>1365</v>
      </c>
      <c r="C521" s="222" t="s">
        <v>1366</v>
      </c>
      <c r="D521" s="221" t="s">
        <v>70</v>
      </c>
      <c r="E521" s="221" t="s">
        <v>395</v>
      </c>
      <c r="F521" s="223">
        <v>11200</v>
      </c>
      <c r="G521" s="221" t="s">
        <v>46</v>
      </c>
      <c r="H521" s="221" t="s">
        <v>71</v>
      </c>
      <c r="I521" s="222"/>
    </row>
    <row r="522" ht="17.25" customHeight="1" spans="1:9" x14ac:dyDescent="0.25">
      <c r="A522" s="220">
        <v>546</v>
      </c>
      <c r="B522" s="221" t="s">
        <v>1367</v>
      </c>
      <c r="C522" s="222" t="s">
        <v>1368</v>
      </c>
      <c r="D522" s="221" t="s">
        <v>70</v>
      </c>
      <c r="E522" s="221" t="s">
        <v>395</v>
      </c>
      <c r="F522" s="223">
        <v>11200</v>
      </c>
      <c r="G522" s="221" t="s">
        <v>46</v>
      </c>
      <c r="H522" s="221" t="s">
        <v>71</v>
      </c>
      <c r="I522" s="222"/>
    </row>
    <row r="523" ht="17.25" customHeight="1" spans="1:9" x14ac:dyDescent="0.25">
      <c r="A523" s="220">
        <v>547</v>
      </c>
      <c r="B523" s="221" t="s">
        <v>1369</v>
      </c>
      <c r="C523" s="222" t="s">
        <v>1370</v>
      </c>
      <c r="D523" s="221" t="s">
        <v>70</v>
      </c>
      <c r="E523" s="221" t="s">
        <v>395</v>
      </c>
      <c r="F523" s="223">
        <v>11200</v>
      </c>
      <c r="G523" s="221" t="s">
        <v>46</v>
      </c>
      <c r="H523" s="221" t="s">
        <v>71</v>
      </c>
      <c r="I523" s="222"/>
    </row>
    <row r="524" ht="17.25" customHeight="1" spans="1:9" x14ac:dyDescent="0.25">
      <c r="A524" s="220">
        <v>548</v>
      </c>
      <c r="B524" s="221" t="s">
        <v>1371</v>
      </c>
      <c r="C524" s="222" t="s">
        <v>1372</v>
      </c>
      <c r="D524" s="221" t="s">
        <v>70</v>
      </c>
      <c r="E524" s="221" t="s">
        <v>395</v>
      </c>
      <c r="F524" s="223">
        <v>11200</v>
      </c>
      <c r="G524" s="221" t="s">
        <v>46</v>
      </c>
      <c r="H524" s="221" t="s">
        <v>71</v>
      </c>
      <c r="I524" s="222"/>
    </row>
    <row r="525" ht="17.25" customHeight="1" spans="1:9" x14ac:dyDescent="0.25">
      <c r="A525" s="220">
        <v>550</v>
      </c>
      <c r="B525" s="221" t="s">
        <v>1373</v>
      </c>
      <c r="C525" s="222" t="s">
        <v>1374</v>
      </c>
      <c r="D525" s="221" t="s">
        <v>70</v>
      </c>
      <c r="E525" s="221" t="s">
        <v>395</v>
      </c>
      <c r="F525" s="223">
        <v>11200</v>
      </c>
      <c r="G525" s="221" t="s">
        <v>46</v>
      </c>
      <c r="H525" s="221" t="s">
        <v>71</v>
      </c>
      <c r="I525" s="222"/>
    </row>
    <row r="526" ht="17.25" customHeight="1" spans="1:9" x14ac:dyDescent="0.25">
      <c r="A526" s="220">
        <v>551</v>
      </c>
      <c r="B526" s="221" t="s">
        <v>1375</v>
      </c>
      <c r="C526" s="222" t="s">
        <v>1376</v>
      </c>
      <c r="D526" s="221" t="s">
        <v>70</v>
      </c>
      <c r="E526" s="221" t="s">
        <v>395</v>
      </c>
      <c r="F526" s="223">
        <v>11200</v>
      </c>
      <c r="G526" s="221" t="s">
        <v>46</v>
      </c>
      <c r="H526" s="221" t="s">
        <v>71</v>
      </c>
      <c r="I526" s="222"/>
    </row>
    <row r="527" ht="17.25" customHeight="1" spans="1:9" x14ac:dyDescent="0.25">
      <c r="A527" s="220">
        <v>552</v>
      </c>
      <c r="B527" s="221" t="s">
        <v>1377</v>
      </c>
      <c r="C527" s="222" t="s">
        <v>1378</v>
      </c>
      <c r="D527" s="221" t="s">
        <v>1379</v>
      </c>
      <c r="E527" s="221" t="s">
        <v>27</v>
      </c>
      <c r="F527" s="223">
        <v>0</v>
      </c>
      <c r="G527" s="221" t="s">
        <v>71</v>
      </c>
      <c r="H527" s="221" t="s">
        <v>71</v>
      </c>
      <c r="I527" s="222" t="s">
        <v>1380</v>
      </c>
    </row>
    <row r="528" ht="17.25" customHeight="1" spans="1:9" x14ac:dyDescent="0.25">
      <c r="A528" s="220">
        <v>553</v>
      </c>
      <c r="B528" s="221" t="s">
        <v>1381</v>
      </c>
      <c r="C528" s="222" t="s">
        <v>1382</v>
      </c>
      <c r="D528" s="221" t="s">
        <v>1383</v>
      </c>
      <c r="E528" s="221" t="s">
        <v>28</v>
      </c>
      <c r="F528" s="223">
        <v>0</v>
      </c>
      <c r="G528" s="221" t="s">
        <v>71</v>
      </c>
      <c r="H528" s="221" t="s">
        <v>71</v>
      </c>
      <c r="I528" s="222"/>
    </row>
    <row r="529" ht="17.25" customHeight="1" spans="1:9" x14ac:dyDescent="0.25">
      <c r="A529" s="220">
        <v>554</v>
      </c>
      <c r="B529" s="221" t="s">
        <v>1384</v>
      </c>
      <c r="C529" s="222" t="s">
        <v>1385</v>
      </c>
      <c r="D529" s="221" t="s">
        <v>1386</v>
      </c>
      <c r="E529" s="221" t="s">
        <v>27</v>
      </c>
      <c r="F529" s="223">
        <v>0</v>
      </c>
      <c r="G529" s="221" t="s">
        <v>48</v>
      </c>
      <c r="H529" s="221" t="s">
        <v>48</v>
      </c>
      <c r="I529" s="224"/>
    </row>
    <row r="530" ht="17.25" customHeight="1" spans="1:9" x14ac:dyDescent="0.25">
      <c r="A530" s="220">
        <v>555</v>
      </c>
      <c r="B530" s="221" t="s">
        <v>1387</v>
      </c>
      <c r="C530" s="222" t="s">
        <v>1388</v>
      </c>
      <c r="D530" s="221" t="s">
        <v>1386</v>
      </c>
      <c r="E530" s="221" t="s">
        <v>27</v>
      </c>
      <c r="F530" s="223">
        <v>0</v>
      </c>
      <c r="G530" s="221" t="s">
        <v>48</v>
      </c>
      <c r="H530" s="221" t="s">
        <v>48</v>
      </c>
      <c r="I530" s="224"/>
    </row>
    <row r="531" ht="17.25" customHeight="1" spans="1:9" x14ac:dyDescent="0.25">
      <c r="A531" s="220">
        <v>556</v>
      </c>
      <c r="B531" s="221" t="s">
        <v>1389</v>
      </c>
      <c r="C531" s="222" t="s">
        <v>1390</v>
      </c>
      <c r="D531" s="221" t="s">
        <v>1386</v>
      </c>
      <c r="E531" s="221" t="s">
        <v>27</v>
      </c>
      <c r="F531" s="223">
        <v>0</v>
      </c>
      <c r="G531" s="221" t="s">
        <v>48</v>
      </c>
      <c r="H531" s="221" t="s">
        <v>48</v>
      </c>
      <c r="I531" s="224"/>
    </row>
    <row r="532" ht="17.25" customHeight="1" spans="1:9" x14ac:dyDescent="0.25">
      <c r="A532" s="220">
        <v>557</v>
      </c>
      <c r="B532" s="221" t="s">
        <v>1391</v>
      </c>
      <c r="C532" s="222" t="s">
        <v>1392</v>
      </c>
      <c r="D532" s="221" t="s">
        <v>1386</v>
      </c>
      <c r="E532" s="221" t="s">
        <v>27</v>
      </c>
      <c r="F532" s="223">
        <v>0</v>
      </c>
      <c r="G532" s="221" t="s">
        <v>48</v>
      </c>
      <c r="H532" s="221" t="s">
        <v>48</v>
      </c>
      <c r="I532" s="224"/>
    </row>
    <row r="533" ht="17.25" customHeight="1" spans="1:9" x14ac:dyDescent="0.25">
      <c r="A533" s="220">
        <v>558</v>
      </c>
      <c r="B533" s="221" t="s">
        <v>1393</v>
      </c>
      <c r="C533" s="222" t="s">
        <v>1394</v>
      </c>
      <c r="D533" s="221" t="s">
        <v>1386</v>
      </c>
      <c r="E533" s="221" t="s">
        <v>27</v>
      </c>
      <c r="F533" s="223">
        <v>0</v>
      </c>
      <c r="G533" s="221" t="s">
        <v>48</v>
      </c>
      <c r="H533" s="221" t="s">
        <v>48</v>
      </c>
      <c r="I533" s="224"/>
    </row>
    <row r="534" ht="17.25" customHeight="1" spans="1:9" x14ac:dyDescent="0.25">
      <c r="A534" s="220">
        <v>559</v>
      </c>
      <c r="B534" s="221" t="s">
        <v>1395</v>
      </c>
      <c r="C534" s="222" t="s">
        <v>1396</v>
      </c>
      <c r="D534" s="221" t="s">
        <v>1386</v>
      </c>
      <c r="E534" s="221" t="s">
        <v>27</v>
      </c>
      <c r="F534" s="223">
        <v>0</v>
      </c>
      <c r="G534" s="221" t="s">
        <v>48</v>
      </c>
      <c r="H534" s="221" t="s">
        <v>48</v>
      </c>
      <c r="I534" s="224"/>
    </row>
    <row r="535" ht="17.25" customHeight="1" spans="1:9" x14ac:dyDescent="0.25">
      <c r="A535" s="220">
        <v>560</v>
      </c>
      <c r="B535" s="221" t="s">
        <v>1397</v>
      </c>
      <c r="C535" s="222" t="s">
        <v>1398</v>
      </c>
      <c r="D535" s="221" t="s">
        <v>1386</v>
      </c>
      <c r="E535" s="221" t="s">
        <v>27</v>
      </c>
      <c r="F535" s="223">
        <v>0</v>
      </c>
      <c r="G535" s="221" t="s">
        <v>48</v>
      </c>
      <c r="H535" s="221" t="s">
        <v>48</v>
      </c>
      <c r="I535" s="224"/>
    </row>
    <row r="536" ht="17.25" customHeight="1" spans="1:9" x14ac:dyDescent="0.25">
      <c r="A536" s="220">
        <v>561</v>
      </c>
      <c r="B536" s="221" t="s">
        <v>1399</v>
      </c>
      <c r="C536" s="222" t="s">
        <v>1400</v>
      </c>
      <c r="D536" s="221" t="s">
        <v>1386</v>
      </c>
      <c r="E536" s="221" t="s">
        <v>27</v>
      </c>
      <c r="F536" s="223">
        <v>0</v>
      </c>
      <c r="G536" s="221" t="s">
        <v>48</v>
      </c>
      <c r="H536" s="221" t="s">
        <v>48</v>
      </c>
      <c r="I536" s="224"/>
    </row>
    <row r="537" ht="17.25" customHeight="1" spans="1:9" x14ac:dyDescent="0.25">
      <c r="A537" s="220">
        <v>562</v>
      </c>
      <c r="B537" s="221" t="s">
        <v>1401</v>
      </c>
      <c r="C537" s="222" t="s">
        <v>1402</v>
      </c>
      <c r="D537" s="221" t="s">
        <v>1386</v>
      </c>
      <c r="E537" s="221" t="s">
        <v>27</v>
      </c>
      <c r="F537" s="223">
        <v>0</v>
      </c>
      <c r="G537" s="221" t="s">
        <v>48</v>
      </c>
      <c r="H537" s="221" t="s">
        <v>48</v>
      </c>
      <c r="I537" s="224"/>
    </row>
    <row r="538" ht="17.25" customHeight="1" spans="1:9" x14ac:dyDescent="0.25">
      <c r="A538" s="220">
        <v>563</v>
      </c>
      <c r="B538" s="221" t="s">
        <v>1403</v>
      </c>
      <c r="C538" s="222" t="s">
        <v>1404</v>
      </c>
      <c r="D538" s="221" t="s">
        <v>1386</v>
      </c>
      <c r="E538" s="221" t="s">
        <v>27</v>
      </c>
      <c r="F538" s="223">
        <v>0</v>
      </c>
      <c r="G538" s="221" t="s">
        <v>48</v>
      </c>
      <c r="H538" s="221" t="s">
        <v>48</v>
      </c>
      <c r="I538" s="224"/>
    </row>
    <row r="539" ht="17.25" customHeight="1" spans="1:9" x14ac:dyDescent="0.25">
      <c r="A539" s="220">
        <v>564</v>
      </c>
      <c r="B539" s="221" t="s">
        <v>1405</v>
      </c>
      <c r="C539" s="222" t="s">
        <v>1406</v>
      </c>
      <c r="D539" s="221" t="s">
        <v>1386</v>
      </c>
      <c r="E539" s="221" t="s">
        <v>27</v>
      </c>
      <c r="F539" s="223">
        <v>0</v>
      </c>
      <c r="G539" s="221" t="s">
        <v>48</v>
      </c>
      <c r="H539" s="221" t="s">
        <v>48</v>
      </c>
      <c r="I539" s="224"/>
    </row>
    <row r="540" ht="17.25" customHeight="1" spans="1:9" x14ac:dyDescent="0.25">
      <c r="A540" s="220">
        <v>565</v>
      </c>
      <c r="B540" s="221" t="s">
        <v>1407</v>
      </c>
      <c r="C540" s="222" t="s">
        <v>1408</v>
      </c>
      <c r="D540" s="221" t="s">
        <v>1386</v>
      </c>
      <c r="E540" s="221" t="s">
        <v>27</v>
      </c>
      <c r="F540" s="223">
        <v>0</v>
      </c>
      <c r="G540" s="221" t="s">
        <v>48</v>
      </c>
      <c r="H540" s="221" t="s">
        <v>48</v>
      </c>
      <c r="I540" s="224"/>
    </row>
    <row r="541" ht="17.25" customHeight="1" spans="1:9" x14ac:dyDescent="0.25">
      <c r="A541" s="220">
        <v>566</v>
      </c>
      <c r="B541" s="221" t="s">
        <v>1409</v>
      </c>
      <c r="C541" s="222" t="s">
        <v>1410</v>
      </c>
      <c r="D541" s="221" t="s">
        <v>1411</v>
      </c>
      <c r="E541" s="221" t="s">
        <v>395</v>
      </c>
      <c r="F541" s="223">
        <v>5500</v>
      </c>
      <c r="G541" s="221" t="s">
        <v>71</v>
      </c>
      <c r="H541" s="221" t="s">
        <v>71</v>
      </c>
      <c r="I541" s="224"/>
    </row>
    <row r="542" ht="17.25" customHeight="1" spans="1:9" x14ac:dyDescent="0.25">
      <c r="A542" s="220">
        <v>567</v>
      </c>
      <c r="B542" s="221" t="s">
        <v>1412</v>
      </c>
      <c r="C542" s="222" t="s">
        <v>1413</v>
      </c>
      <c r="D542" s="221" t="s">
        <v>1414</v>
      </c>
      <c r="E542" s="221" t="s">
        <v>27</v>
      </c>
      <c r="F542" s="223">
        <v>0</v>
      </c>
      <c r="G542" s="221" t="s">
        <v>48</v>
      </c>
      <c r="H542" s="221" t="s">
        <v>48</v>
      </c>
      <c r="I542" s="224"/>
    </row>
    <row r="543" ht="17.25" customHeight="1" spans="1:9" x14ac:dyDescent="0.25">
      <c r="A543" s="220">
        <v>568</v>
      </c>
      <c r="B543" s="221" t="s">
        <v>1415</v>
      </c>
      <c r="C543" s="222" t="s">
        <v>1416</v>
      </c>
      <c r="D543" s="221" t="s">
        <v>1417</v>
      </c>
      <c r="E543" s="221" t="s">
        <v>27</v>
      </c>
      <c r="F543" s="223">
        <v>0</v>
      </c>
      <c r="G543" s="221"/>
      <c r="H543" s="221"/>
      <c r="I543" s="224"/>
    </row>
    <row r="544" ht="17.25" customHeight="1" spans="1:9" x14ac:dyDescent="0.25">
      <c r="A544" s="220">
        <v>569</v>
      </c>
      <c r="B544" s="221" t="s">
        <v>1418</v>
      </c>
      <c r="C544" s="222" t="s">
        <v>1419</v>
      </c>
      <c r="D544" s="221" t="s">
        <v>1417</v>
      </c>
      <c r="E544" s="221" t="s">
        <v>27</v>
      </c>
      <c r="F544" s="223">
        <v>0</v>
      </c>
      <c r="G544" s="221"/>
      <c r="H544" s="221"/>
      <c r="I544" s="224"/>
    </row>
    <row r="545" ht="17.25" customHeight="1" spans="1:9" x14ac:dyDescent="0.25">
      <c r="A545" s="220">
        <v>570</v>
      </c>
      <c r="B545" s="221" t="s">
        <v>1420</v>
      </c>
      <c r="C545" s="222" t="s">
        <v>1421</v>
      </c>
      <c r="D545" s="221" t="s">
        <v>1417</v>
      </c>
      <c r="E545" s="221" t="s">
        <v>27</v>
      </c>
      <c r="F545" s="223">
        <v>0</v>
      </c>
      <c r="G545" s="221"/>
      <c r="H545" s="221"/>
      <c r="I545" s="224"/>
    </row>
    <row r="546" ht="17.25" customHeight="1" spans="1:9" x14ac:dyDescent="0.25">
      <c r="A546" s="220">
        <v>572</v>
      </c>
      <c r="B546" s="221" t="s">
        <v>1422</v>
      </c>
      <c r="C546" s="222" t="s">
        <v>1423</v>
      </c>
      <c r="D546" s="221" t="s">
        <v>1424</v>
      </c>
      <c r="E546" s="221" t="s">
        <v>27</v>
      </c>
      <c r="F546" s="223">
        <v>0</v>
      </c>
      <c r="G546" s="221" t="s">
        <v>48</v>
      </c>
      <c r="H546" s="221" t="s">
        <v>48</v>
      </c>
      <c r="I546" s="224"/>
    </row>
    <row r="547" ht="17.25" customHeight="1" spans="1:9" x14ac:dyDescent="0.25">
      <c r="A547" s="220">
        <v>575</v>
      </c>
      <c r="B547" s="221" t="s">
        <v>1425</v>
      </c>
      <c r="C547" s="222" t="s">
        <v>1426</v>
      </c>
      <c r="D547" s="221" t="s">
        <v>1427</v>
      </c>
      <c r="E547" s="221" t="s">
        <v>27</v>
      </c>
      <c r="F547" s="223">
        <v>0</v>
      </c>
      <c r="G547" s="221" t="s">
        <v>48</v>
      </c>
      <c r="H547" s="221" t="s">
        <v>48</v>
      </c>
      <c r="I547" s="224"/>
    </row>
    <row r="548" ht="17.25" customHeight="1" spans="1:9" x14ac:dyDescent="0.25">
      <c r="A548" s="220">
        <v>576</v>
      </c>
      <c r="B548" s="221" t="s">
        <v>1428</v>
      </c>
      <c r="C548" s="222" t="s">
        <v>1429</v>
      </c>
      <c r="D548" s="221" t="s">
        <v>1430</v>
      </c>
      <c r="E548" s="221" t="s">
        <v>27</v>
      </c>
      <c r="F548" s="223">
        <v>0</v>
      </c>
      <c r="G548" s="221"/>
      <c r="H548" s="221"/>
      <c r="I548" s="224"/>
    </row>
    <row r="549" ht="17.25" customHeight="1" spans="1:9" x14ac:dyDescent="0.25">
      <c r="A549" s="220">
        <v>577</v>
      </c>
      <c r="B549" s="221" t="s">
        <v>1431</v>
      </c>
      <c r="C549" s="222" t="s">
        <v>1432</v>
      </c>
      <c r="D549" s="221" t="s">
        <v>1430</v>
      </c>
      <c r="E549" s="221" t="s">
        <v>27</v>
      </c>
      <c r="F549" s="223">
        <v>0</v>
      </c>
      <c r="G549" s="221"/>
      <c r="H549" s="221"/>
      <c r="I549" s="224"/>
    </row>
    <row r="550" ht="17.25" customHeight="1" spans="1:9" x14ac:dyDescent="0.25">
      <c r="A550" s="220">
        <v>578</v>
      </c>
      <c r="B550" s="221" t="s">
        <v>1433</v>
      </c>
      <c r="C550" s="222" t="s">
        <v>1434</v>
      </c>
      <c r="D550" s="221" t="s">
        <v>1430</v>
      </c>
      <c r="E550" s="221" t="s">
        <v>27</v>
      </c>
      <c r="F550" s="223">
        <v>0</v>
      </c>
      <c r="G550" s="221"/>
      <c r="H550" s="221"/>
      <c r="I550" s="224"/>
    </row>
    <row r="551" ht="17.25" customHeight="1" spans="1:9" x14ac:dyDescent="0.25">
      <c r="A551" s="220">
        <v>579</v>
      </c>
      <c r="B551" s="221" t="s">
        <v>1435</v>
      </c>
      <c r="C551" s="222" t="s">
        <v>1436</v>
      </c>
      <c r="D551" s="221" t="s">
        <v>1430</v>
      </c>
      <c r="E551" s="221" t="s">
        <v>27</v>
      </c>
      <c r="F551" s="223">
        <v>0</v>
      </c>
      <c r="G551" s="221"/>
      <c r="H551" s="221"/>
      <c r="I551" s="224"/>
    </row>
    <row r="552" ht="17.25" customHeight="1" spans="1:9" x14ac:dyDescent="0.25">
      <c r="A552" s="220">
        <v>580</v>
      </c>
      <c r="B552" s="221" t="s">
        <v>1437</v>
      </c>
      <c r="C552" s="222" t="s">
        <v>1438</v>
      </c>
      <c r="D552" s="221" t="s">
        <v>1430</v>
      </c>
      <c r="E552" s="221" t="s">
        <v>27</v>
      </c>
      <c r="F552" s="223">
        <v>0</v>
      </c>
      <c r="G552" s="221"/>
      <c r="H552" s="221"/>
      <c r="I552" s="224"/>
    </row>
    <row r="553" ht="17.25" customHeight="1" spans="1:9" x14ac:dyDescent="0.25">
      <c r="A553" s="220">
        <v>581</v>
      </c>
      <c r="B553" s="221" t="s">
        <v>1439</v>
      </c>
      <c r="C553" s="222" t="s">
        <v>1440</v>
      </c>
      <c r="D553" s="221" t="s">
        <v>1430</v>
      </c>
      <c r="E553" s="221" t="s">
        <v>27</v>
      </c>
      <c r="F553" s="223">
        <v>0</v>
      </c>
      <c r="G553" s="221" t="s">
        <v>71</v>
      </c>
      <c r="H553" s="221" t="s">
        <v>71</v>
      </c>
      <c r="I553" s="224"/>
    </row>
    <row r="554" ht="17.25" customHeight="1" spans="1:9" x14ac:dyDescent="0.25">
      <c r="A554" s="220">
        <v>582</v>
      </c>
      <c r="B554" s="221" t="s">
        <v>1441</v>
      </c>
      <c r="C554" s="222" t="s">
        <v>1442</v>
      </c>
      <c r="D554" s="221" t="s">
        <v>1430</v>
      </c>
      <c r="E554" s="221" t="s">
        <v>27</v>
      </c>
      <c r="F554" s="223">
        <v>0</v>
      </c>
      <c r="G554" s="221" t="s">
        <v>71</v>
      </c>
      <c r="H554" s="221" t="s">
        <v>71</v>
      </c>
      <c r="I554" s="224"/>
    </row>
    <row r="555" ht="17.25" customHeight="1" spans="1:9" x14ac:dyDescent="0.25">
      <c r="A555" s="220">
        <v>583</v>
      </c>
      <c r="B555" s="221" t="s">
        <v>1443</v>
      </c>
      <c r="C555" s="222" t="s">
        <v>1444</v>
      </c>
      <c r="D555" s="221" t="s">
        <v>1430</v>
      </c>
      <c r="E555" s="221" t="s">
        <v>27</v>
      </c>
      <c r="F555" s="223">
        <v>0</v>
      </c>
      <c r="G555" s="221" t="s">
        <v>71</v>
      </c>
      <c r="H555" s="221" t="s">
        <v>71</v>
      </c>
      <c r="I555" s="224"/>
    </row>
    <row r="556" ht="17.25" customHeight="1" spans="1:9" x14ac:dyDescent="0.25">
      <c r="A556" s="220">
        <v>584</v>
      </c>
      <c r="B556" s="221" t="s">
        <v>1445</v>
      </c>
      <c r="C556" s="222" t="s">
        <v>1446</v>
      </c>
      <c r="D556" s="221" t="s">
        <v>1447</v>
      </c>
      <c r="E556" s="221" t="s">
        <v>27</v>
      </c>
      <c r="F556" s="223">
        <v>0</v>
      </c>
      <c r="G556" s="221" t="s">
        <v>48</v>
      </c>
      <c r="H556" s="221" t="s">
        <v>48</v>
      </c>
      <c r="I556" s="224"/>
    </row>
    <row r="557" ht="17.25" customHeight="1" spans="1:9" x14ac:dyDescent="0.25">
      <c r="A557" s="220">
        <v>585</v>
      </c>
      <c r="B557" s="221" t="s">
        <v>1448</v>
      </c>
      <c r="C557" s="222" t="s">
        <v>1449</v>
      </c>
      <c r="D557" s="221" t="s">
        <v>1447</v>
      </c>
      <c r="E557" s="221" t="s">
        <v>27</v>
      </c>
      <c r="F557" s="223">
        <v>0</v>
      </c>
      <c r="G557" s="221" t="s">
        <v>48</v>
      </c>
      <c r="H557" s="221" t="s">
        <v>48</v>
      </c>
      <c r="I557" s="224"/>
    </row>
    <row r="558" ht="17.25" customHeight="1" spans="1:9" x14ac:dyDescent="0.25">
      <c r="A558" s="220">
        <v>586</v>
      </c>
      <c r="B558" s="221" t="s">
        <v>1450</v>
      </c>
      <c r="C558" s="222" t="s">
        <v>1451</v>
      </c>
      <c r="D558" s="221" t="s">
        <v>1447</v>
      </c>
      <c r="E558" s="221" t="s">
        <v>27</v>
      </c>
      <c r="F558" s="223">
        <v>0</v>
      </c>
      <c r="G558" s="221" t="s">
        <v>48</v>
      </c>
      <c r="H558" s="221" t="s">
        <v>48</v>
      </c>
      <c r="I558" s="224"/>
    </row>
    <row r="559" ht="17.25" customHeight="1" spans="1:9" x14ac:dyDescent="0.25">
      <c r="A559" s="220">
        <v>587</v>
      </c>
      <c r="B559" s="221" t="s">
        <v>1452</v>
      </c>
      <c r="C559" s="222" t="s">
        <v>1453</v>
      </c>
      <c r="D559" s="221" t="s">
        <v>1447</v>
      </c>
      <c r="E559" s="221" t="s">
        <v>27</v>
      </c>
      <c r="F559" s="223">
        <v>0</v>
      </c>
      <c r="G559" s="221" t="s">
        <v>48</v>
      </c>
      <c r="H559" s="221" t="s">
        <v>48</v>
      </c>
      <c r="I559" s="224"/>
    </row>
    <row r="560" ht="17.25" customHeight="1" spans="1:9" x14ac:dyDescent="0.25">
      <c r="A560" s="220">
        <v>588</v>
      </c>
      <c r="B560" s="221" t="s">
        <v>1454</v>
      </c>
      <c r="C560" s="222" t="s">
        <v>1455</v>
      </c>
      <c r="D560" s="221" t="s">
        <v>1447</v>
      </c>
      <c r="E560" s="221" t="s">
        <v>27</v>
      </c>
      <c r="F560" s="223">
        <v>0</v>
      </c>
      <c r="G560" s="221" t="s">
        <v>48</v>
      </c>
      <c r="H560" s="221" t="s">
        <v>48</v>
      </c>
      <c r="I560" s="224"/>
    </row>
    <row r="561" ht="17.25" customHeight="1" spans="1:9" x14ac:dyDescent="0.25">
      <c r="A561" s="220">
        <v>589</v>
      </c>
      <c r="B561" s="221" t="s">
        <v>1456</v>
      </c>
      <c r="C561" s="222" t="s">
        <v>1457</v>
      </c>
      <c r="D561" s="221" t="s">
        <v>1447</v>
      </c>
      <c r="E561" s="221" t="s">
        <v>27</v>
      </c>
      <c r="F561" s="223">
        <v>0</v>
      </c>
      <c r="G561" s="221" t="s">
        <v>48</v>
      </c>
      <c r="H561" s="221" t="s">
        <v>48</v>
      </c>
      <c r="I561" s="224"/>
    </row>
    <row r="562" ht="17.25" customHeight="1" spans="1:9" x14ac:dyDescent="0.25">
      <c r="A562" s="220">
        <v>590</v>
      </c>
      <c r="B562" s="221" t="s">
        <v>1458</v>
      </c>
      <c r="C562" s="222" t="s">
        <v>1459</v>
      </c>
      <c r="D562" s="221" t="s">
        <v>1447</v>
      </c>
      <c r="E562" s="221" t="s">
        <v>27</v>
      </c>
      <c r="F562" s="223">
        <v>0</v>
      </c>
      <c r="G562" s="221" t="s">
        <v>48</v>
      </c>
      <c r="H562" s="221" t="s">
        <v>48</v>
      </c>
      <c r="I562" s="224"/>
    </row>
    <row r="563" ht="17.25" customHeight="1" spans="1:9" x14ac:dyDescent="0.25">
      <c r="A563" s="220">
        <v>591</v>
      </c>
      <c r="B563" s="221" t="s">
        <v>1460</v>
      </c>
      <c r="C563" s="222" t="s">
        <v>1461</v>
      </c>
      <c r="D563" s="221" t="s">
        <v>1447</v>
      </c>
      <c r="E563" s="221" t="s">
        <v>27</v>
      </c>
      <c r="F563" s="223">
        <v>0</v>
      </c>
      <c r="G563" s="221" t="s">
        <v>48</v>
      </c>
      <c r="H563" s="221" t="s">
        <v>48</v>
      </c>
      <c r="I563" s="224"/>
    </row>
    <row r="564" ht="17.25" customHeight="1" spans="1:9" x14ac:dyDescent="0.25">
      <c r="A564" s="220">
        <v>592</v>
      </c>
      <c r="B564" s="221" t="s">
        <v>1462</v>
      </c>
      <c r="C564" s="222" t="s">
        <v>1463</v>
      </c>
      <c r="D564" s="221" t="s">
        <v>1447</v>
      </c>
      <c r="E564" s="221" t="s">
        <v>27</v>
      </c>
      <c r="F564" s="223">
        <v>0</v>
      </c>
      <c r="G564" s="221" t="s">
        <v>48</v>
      </c>
      <c r="H564" s="221" t="s">
        <v>48</v>
      </c>
      <c r="I564" s="222"/>
    </row>
    <row r="565" ht="17.25" customHeight="1" spans="1:9" x14ac:dyDescent="0.25">
      <c r="A565" s="220">
        <v>593</v>
      </c>
      <c r="B565" s="221" t="s">
        <v>1464</v>
      </c>
      <c r="C565" s="222" t="s">
        <v>1465</v>
      </c>
      <c r="D565" s="221" t="s">
        <v>1447</v>
      </c>
      <c r="E565" s="221" t="s">
        <v>27</v>
      </c>
      <c r="F565" s="223">
        <v>0</v>
      </c>
      <c r="G565" s="221" t="s">
        <v>48</v>
      </c>
      <c r="H565" s="221" t="s">
        <v>48</v>
      </c>
      <c r="I565" s="224"/>
    </row>
    <row r="566" ht="17.25" customHeight="1" spans="1:9" x14ac:dyDescent="0.25">
      <c r="A566" s="220">
        <v>594</v>
      </c>
      <c r="B566" s="221" t="s">
        <v>1466</v>
      </c>
      <c r="C566" s="222" t="s">
        <v>1467</v>
      </c>
      <c r="D566" s="221" t="s">
        <v>1447</v>
      </c>
      <c r="E566" s="221" t="s">
        <v>27</v>
      </c>
      <c r="F566" s="223">
        <v>0</v>
      </c>
      <c r="G566" s="221" t="s">
        <v>48</v>
      </c>
      <c r="H566" s="221" t="s">
        <v>48</v>
      </c>
      <c r="I566" s="224"/>
    </row>
    <row r="567" ht="17.25" customHeight="1" spans="1:9" x14ac:dyDescent="0.25">
      <c r="A567" s="220">
        <v>595</v>
      </c>
      <c r="B567" s="221" t="s">
        <v>1468</v>
      </c>
      <c r="C567" s="222" t="s">
        <v>1469</v>
      </c>
      <c r="D567" s="221" t="s">
        <v>1447</v>
      </c>
      <c r="E567" s="221" t="s">
        <v>27</v>
      </c>
      <c r="F567" s="223">
        <v>0</v>
      </c>
      <c r="G567" s="221" t="s">
        <v>48</v>
      </c>
      <c r="H567" s="221" t="s">
        <v>48</v>
      </c>
      <c r="I567" s="224"/>
    </row>
    <row r="568" ht="17.25" customHeight="1" spans="1:9" x14ac:dyDescent="0.25">
      <c r="A568" s="220">
        <v>596</v>
      </c>
      <c r="B568" s="221" t="s">
        <v>1470</v>
      </c>
      <c r="C568" s="222" t="s">
        <v>1471</v>
      </c>
      <c r="D568" s="221" t="s">
        <v>1447</v>
      </c>
      <c r="E568" s="221" t="s">
        <v>27</v>
      </c>
      <c r="F568" s="223">
        <v>0</v>
      </c>
      <c r="G568" s="221" t="s">
        <v>48</v>
      </c>
      <c r="H568" s="221" t="s">
        <v>48</v>
      </c>
      <c r="I568" s="224"/>
    </row>
    <row r="569" ht="17.25" customHeight="1" spans="1:9" x14ac:dyDescent="0.25">
      <c r="A569" s="220">
        <v>597</v>
      </c>
      <c r="B569" s="221" t="s">
        <v>1472</v>
      </c>
      <c r="C569" s="222" t="s">
        <v>1473</v>
      </c>
      <c r="D569" s="221" t="s">
        <v>1447</v>
      </c>
      <c r="E569" s="221" t="s">
        <v>27</v>
      </c>
      <c r="F569" s="223">
        <v>0</v>
      </c>
      <c r="G569" s="221" t="s">
        <v>48</v>
      </c>
      <c r="H569" s="221" t="s">
        <v>48</v>
      </c>
      <c r="I569" s="224"/>
    </row>
    <row r="570" ht="17.25" customHeight="1" spans="1:9" x14ac:dyDescent="0.25">
      <c r="A570" s="220">
        <v>598</v>
      </c>
      <c r="B570" s="221" t="s">
        <v>1474</v>
      </c>
      <c r="C570" s="222" t="s">
        <v>1475</v>
      </c>
      <c r="D570" s="221" t="s">
        <v>1447</v>
      </c>
      <c r="E570" s="221" t="s">
        <v>27</v>
      </c>
      <c r="F570" s="223">
        <v>0</v>
      </c>
      <c r="G570" s="221" t="s">
        <v>48</v>
      </c>
      <c r="H570" s="221" t="s">
        <v>48</v>
      </c>
      <c r="I570" s="224"/>
    </row>
    <row r="571" ht="17.25" customHeight="1" spans="1:9" x14ac:dyDescent="0.25">
      <c r="A571" s="220">
        <v>599</v>
      </c>
      <c r="B571" s="221" t="s">
        <v>1476</v>
      </c>
      <c r="C571" s="222" t="s">
        <v>1477</v>
      </c>
      <c r="D571" s="221" t="s">
        <v>1447</v>
      </c>
      <c r="E571" s="221" t="s">
        <v>27</v>
      </c>
      <c r="F571" s="223">
        <v>0</v>
      </c>
      <c r="G571" s="221" t="s">
        <v>48</v>
      </c>
      <c r="H571" s="221" t="s">
        <v>48</v>
      </c>
      <c r="I571" s="224"/>
    </row>
    <row r="572" ht="17.25" customHeight="1" spans="1:9" x14ac:dyDescent="0.25">
      <c r="A572" s="220">
        <v>600</v>
      </c>
      <c r="B572" s="221" t="s">
        <v>1478</v>
      </c>
      <c r="C572" s="222" t="s">
        <v>1479</v>
      </c>
      <c r="D572" s="221" t="s">
        <v>1447</v>
      </c>
      <c r="E572" s="221" t="s">
        <v>27</v>
      </c>
      <c r="F572" s="223">
        <v>0</v>
      </c>
      <c r="G572" s="221" t="s">
        <v>48</v>
      </c>
      <c r="H572" s="221" t="s">
        <v>48</v>
      </c>
      <c r="I572" s="224"/>
    </row>
    <row r="573" ht="17.25" customHeight="1" spans="1:9" x14ac:dyDescent="0.25">
      <c r="A573" s="220">
        <v>601</v>
      </c>
      <c r="B573" s="221" t="s">
        <v>1480</v>
      </c>
      <c r="C573" s="222" t="s">
        <v>1481</v>
      </c>
      <c r="D573" s="221" t="s">
        <v>1447</v>
      </c>
      <c r="E573" s="221" t="s">
        <v>27</v>
      </c>
      <c r="F573" s="223">
        <v>0</v>
      </c>
      <c r="G573" s="221" t="s">
        <v>48</v>
      </c>
      <c r="H573" s="221" t="s">
        <v>48</v>
      </c>
      <c r="I573" s="224"/>
    </row>
    <row r="574" ht="17.25" customHeight="1" spans="1:9" x14ac:dyDescent="0.25">
      <c r="A574" s="220">
        <v>602</v>
      </c>
      <c r="B574" s="221" t="s">
        <v>1482</v>
      </c>
      <c r="C574" s="222" t="s">
        <v>1483</v>
      </c>
      <c r="D574" s="221" t="s">
        <v>1447</v>
      </c>
      <c r="E574" s="221" t="s">
        <v>27</v>
      </c>
      <c r="F574" s="223">
        <v>0</v>
      </c>
      <c r="G574" s="221" t="s">
        <v>48</v>
      </c>
      <c r="H574" s="221" t="s">
        <v>48</v>
      </c>
      <c r="I574" s="224"/>
    </row>
    <row r="575" ht="17.25" customHeight="1" spans="1:9" x14ac:dyDescent="0.25">
      <c r="A575" s="220">
        <v>603</v>
      </c>
      <c r="B575" s="221" t="s">
        <v>1484</v>
      </c>
      <c r="C575" s="222" t="s">
        <v>1485</v>
      </c>
      <c r="D575" s="221" t="s">
        <v>1447</v>
      </c>
      <c r="E575" s="221" t="s">
        <v>27</v>
      </c>
      <c r="F575" s="223">
        <v>0</v>
      </c>
      <c r="G575" s="221" t="s">
        <v>48</v>
      </c>
      <c r="H575" s="221" t="s">
        <v>48</v>
      </c>
      <c r="I575" s="224"/>
    </row>
    <row r="576" ht="17.25" customHeight="1" spans="1:9" x14ac:dyDescent="0.25">
      <c r="A576" s="220">
        <v>604</v>
      </c>
      <c r="B576" s="221" t="s">
        <v>1486</v>
      </c>
      <c r="C576" s="222" t="s">
        <v>1487</v>
      </c>
      <c r="D576" s="221" t="s">
        <v>1447</v>
      </c>
      <c r="E576" s="221" t="s">
        <v>27</v>
      </c>
      <c r="F576" s="223">
        <v>0</v>
      </c>
      <c r="G576" s="221" t="s">
        <v>48</v>
      </c>
      <c r="H576" s="221" t="s">
        <v>48</v>
      </c>
      <c r="I576" s="224"/>
    </row>
    <row r="577" ht="17.25" customHeight="1" spans="1:9" x14ac:dyDescent="0.25">
      <c r="A577" s="220">
        <v>605</v>
      </c>
      <c r="B577" s="221" t="s">
        <v>1488</v>
      </c>
      <c r="C577" s="222" t="s">
        <v>1489</v>
      </c>
      <c r="D577" s="221" t="s">
        <v>1447</v>
      </c>
      <c r="E577" s="221" t="s">
        <v>27</v>
      </c>
      <c r="F577" s="223">
        <v>0</v>
      </c>
      <c r="G577" s="221" t="s">
        <v>48</v>
      </c>
      <c r="H577" s="221" t="s">
        <v>48</v>
      </c>
      <c r="I577" s="224"/>
    </row>
    <row r="578" ht="17.25" customHeight="1" spans="1:9" x14ac:dyDescent="0.25">
      <c r="A578" s="220">
        <v>606</v>
      </c>
      <c r="B578" s="221" t="s">
        <v>1490</v>
      </c>
      <c r="C578" s="222" t="s">
        <v>1491</v>
      </c>
      <c r="D578" s="221" t="s">
        <v>1447</v>
      </c>
      <c r="E578" s="221" t="s">
        <v>27</v>
      </c>
      <c r="F578" s="223">
        <v>0</v>
      </c>
      <c r="G578" s="221" t="s">
        <v>48</v>
      </c>
      <c r="H578" s="221" t="s">
        <v>48</v>
      </c>
      <c r="I578" s="224"/>
    </row>
    <row r="579" ht="17.25" customHeight="1" spans="1:9" x14ac:dyDescent="0.25">
      <c r="A579" s="220">
        <v>607</v>
      </c>
      <c r="B579" s="221" t="s">
        <v>1492</v>
      </c>
      <c r="C579" s="222" t="s">
        <v>1493</v>
      </c>
      <c r="D579" s="221" t="s">
        <v>1494</v>
      </c>
      <c r="E579" s="221" t="s">
        <v>29</v>
      </c>
      <c r="F579" s="223">
        <v>0</v>
      </c>
      <c r="G579" s="221" t="s">
        <v>71</v>
      </c>
      <c r="H579" s="221" t="s">
        <v>71</v>
      </c>
      <c r="I579" s="222"/>
    </row>
    <row r="580" ht="17.25" customHeight="1" spans="1:9" x14ac:dyDescent="0.25">
      <c r="A580" s="220">
        <v>608</v>
      </c>
      <c r="B580" s="221" t="s">
        <v>1495</v>
      </c>
      <c r="C580" s="222" t="s">
        <v>1496</v>
      </c>
      <c r="D580" s="221" t="s">
        <v>1497</v>
      </c>
      <c r="E580" s="221" t="s">
        <v>29</v>
      </c>
      <c r="F580" s="223">
        <v>9500</v>
      </c>
      <c r="G580" s="221" t="s">
        <v>71</v>
      </c>
      <c r="H580" s="221" t="s">
        <v>71</v>
      </c>
      <c r="I580" s="222"/>
    </row>
    <row r="581" ht="17.25" customHeight="1" spans="1:9" x14ac:dyDescent="0.25">
      <c r="A581" s="220">
        <v>609</v>
      </c>
      <c r="B581" s="221" t="s">
        <v>1498</v>
      </c>
      <c r="C581" s="222" t="s">
        <v>1499</v>
      </c>
      <c r="D581" s="221" t="s">
        <v>1500</v>
      </c>
      <c r="E581" s="221" t="s">
        <v>29</v>
      </c>
      <c r="F581" s="223">
        <v>11000</v>
      </c>
      <c r="G581" s="221" t="s">
        <v>71</v>
      </c>
      <c r="H581" s="221" t="s">
        <v>71</v>
      </c>
      <c r="I581" s="222"/>
    </row>
    <row r="582" ht="17.25" customHeight="1" spans="1:9" x14ac:dyDescent="0.25">
      <c r="A582" s="220">
        <v>610</v>
      </c>
      <c r="B582" s="221" t="s">
        <v>1501</v>
      </c>
      <c r="C582" s="222" t="s">
        <v>1502</v>
      </c>
      <c r="D582" s="221" t="s">
        <v>1503</v>
      </c>
      <c r="E582" s="221" t="s">
        <v>29</v>
      </c>
      <c r="F582" s="223">
        <v>9000</v>
      </c>
      <c r="G582" s="221" t="s">
        <v>71</v>
      </c>
      <c r="H582" s="221" t="s">
        <v>71</v>
      </c>
      <c r="I582" s="222"/>
    </row>
    <row r="583" ht="17.25" customHeight="1" spans="1:9" x14ac:dyDescent="0.25">
      <c r="A583" s="220">
        <v>611</v>
      </c>
      <c r="B583" s="221" t="s">
        <v>1504</v>
      </c>
      <c r="C583" s="222" t="s">
        <v>1505</v>
      </c>
      <c r="D583" s="221" t="s">
        <v>1494</v>
      </c>
      <c r="E583" s="221" t="s">
        <v>29</v>
      </c>
      <c r="F583" s="223">
        <v>0</v>
      </c>
      <c r="G583" s="221" t="s">
        <v>71</v>
      </c>
      <c r="H583" s="221" t="s">
        <v>71</v>
      </c>
      <c r="I583" s="222"/>
    </row>
    <row r="584" ht="17.25" customHeight="1" spans="1:9" x14ac:dyDescent="0.25">
      <c r="A584" s="220">
        <v>612</v>
      </c>
      <c r="B584" s="221" t="s">
        <v>1506</v>
      </c>
      <c r="C584" s="222" t="s">
        <v>1507</v>
      </c>
      <c r="D584" s="221" t="s">
        <v>1494</v>
      </c>
      <c r="E584" s="221" t="s">
        <v>29</v>
      </c>
      <c r="F584" s="223">
        <v>0</v>
      </c>
      <c r="G584" s="221" t="s">
        <v>71</v>
      </c>
      <c r="H584" s="221" t="s">
        <v>71</v>
      </c>
      <c r="I584" s="222"/>
    </row>
    <row r="585" ht="17.25" customHeight="1" spans="1:9" x14ac:dyDescent="0.25">
      <c r="A585" s="220">
        <v>613</v>
      </c>
      <c r="B585" s="221" t="s">
        <v>1508</v>
      </c>
      <c r="C585" s="222" t="s">
        <v>1509</v>
      </c>
      <c r="D585" s="221" t="s">
        <v>1494</v>
      </c>
      <c r="E585" s="221" t="s">
        <v>29</v>
      </c>
      <c r="F585" s="223">
        <v>0</v>
      </c>
      <c r="G585" s="221" t="s">
        <v>71</v>
      </c>
      <c r="H585" s="221" t="s">
        <v>71</v>
      </c>
      <c r="I585" s="224"/>
    </row>
    <row r="586" ht="17.25" customHeight="1" spans="1:9" x14ac:dyDescent="0.25">
      <c r="A586" s="220">
        <v>614</v>
      </c>
      <c r="B586" s="221" t="s">
        <v>1510</v>
      </c>
      <c r="C586" s="222" t="s">
        <v>1511</v>
      </c>
      <c r="D586" s="221" t="s">
        <v>1494</v>
      </c>
      <c r="E586" s="221" t="s">
        <v>29</v>
      </c>
      <c r="F586" s="223">
        <v>0</v>
      </c>
      <c r="G586" s="221" t="s">
        <v>71</v>
      </c>
      <c r="H586" s="221" t="s">
        <v>71</v>
      </c>
      <c r="I586" s="224"/>
    </row>
    <row r="587" ht="17.25" customHeight="1" spans="1:9" x14ac:dyDescent="0.25">
      <c r="A587" s="220">
        <v>615</v>
      </c>
      <c r="B587" s="221" t="s">
        <v>1512</v>
      </c>
      <c r="C587" s="222" t="s">
        <v>1513</v>
      </c>
      <c r="D587" s="221" t="s">
        <v>1494</v>
      </c>
      <c r="E587" s="221" t="s">
        <v>29</v>
      </c>
      <c r="F587" s="223">
        <v>0</v>
      </c>
      <c r="G587" s="221" t="s">
        <v>71</v>
      </c>
      <c r="H587" s="221" t="s">
        <v>71</v>
      </c>
      <c r="I587" s="224"/>
    </row>
    <row r="588" ht="17.25" customHeight="1" spans="1:9" x14ac:dyDescent="0.25">
      <c r="A588" s="220">
        <v>616</v>
      </c>
      <c r="B588" s="221" t="s">
        <v>1514</v>
      </c>
      <c r="C588" s="222" t="s">
        <v>1515</v>
      </c>
      <c r="D588" s="221" t="s">
        <v>1516</v>
      </c>
      <c r="E588" s="221" t="s">
        <v>29</v>
      </c>
      <c r="F588" s="223">
        <v>10000</v>
      </c>
      <c r="G588" s="221" t="s">
        <v>71</v>
      </c>
      <c r="H588" s="221" t="s">
        <v>71</v>
      </c>
      <c r="I588" s="224"/>
    </row>
    <row r="589" ht="17.25" customHeight="1" spans="1:9" x14ac:dyDescent="0.25">
      <c r="A589" s="220">
        <v>617</v>
      </c>
      <c r="B589" s="221" t="s">
        <v>1517</v>
      </c>
      <c r="C589" s="222" t="s">
        <v>1518</v>
      </c>
      <c r="D589" s="221" t="s">
        <v>1519</v>
      </c>
      <c r="E589" s="221" t="s">
        <v>29</v>
      </c>
      <c r="F589" s="223">
        <v>10000</v>
      </c>
      <c r="G589" s="221" t="s">
        <v>71</v>
      </c>
      <c r="H589" s="221" t="s">
        <v>71</v>
      </c>
      <c r="I589" s="224"/>
    </row>
    <row r="590" ht="17.25" customHeight="1" spans="1:9" x14ac:dyDescent="0.25">
      <c r="A590" s="220">
        <v>618</v>
      </c>
      <c r="B590" s="221" t="s">
        <v>1520</v>
      </c>
      <c r="C590" s="222" t="s">
        <v>1521</v>
      </c>
      <c r="D590" s="221" t="s">
        <v>1497</v>
      </c>
      <c r="E590" s="221" t="s">
        <v>29</v>
      </c>
      <c r="F590" s="223">
        <v>10500</v>
      </c>
      <c r="G590" s="221" t="s">
        <v>71</v>
      </c>
      <c r="H590" s="221" t="s">
        <v>71</v>
      </c>
      <c r="I590" s="222"/>
    </row>
    <row r="591" ht="17.25" customHeight="1" spans="1:9" x14ac:dyDescent="0.25">
      <c r="A591" s="220">
        <v>619</v>
      </c>
      <c r="B591" s="221" t="s">
        <v>1522</v>
      </c>
      <c r="C591" s="222" t="s">
        <v>1523</v>
      </c>
      <c r="D591" s="221" t="s">
        <v>1500</v>
      </c>
      <c r="E591" s="221" t="s">
        <v>29</v>
      </c>
      <c r="F591" s="223">
        <v>10500</v>
      </c>
      <c r="G591" s="221" t="s">
        <v>71</v>
      </c>
      <c r="H591" s="221" t="s">
        <v>71</v>
      </c>
      <c r="I591" s="222"/>
    </row>
    <row r="592" ht="17.25" customHeight="1" spans="1:9" x14ac:dyDescent="0.25">
      <c r="A592" s="220">
        <v>620</v>
      </c>
      <c r="B592" s="221" t="s">
        <v>1524</v>
      </c>
      <c r="C592" s="222" t="s">
        <v>1525</v>
      </c>
      <c r="D592" s="221" t="s">
        <v>1526</v>
      </c>
      <c r="E592" s="221" t="s">
        <v>29</v>
      </c>
      <c r="F592" s="223">
        <v>0</v>
      </c>
      <c r="G592" s="221" t="s">
        <v>71</v>
      </c>
      <c r="H592" s="221" t="s">
        <v>71</v>
      </c>
      <c r="I592" s="224"/>
    </row>
    <row r="593" ht="17.25" customHeight="1" spans="1:9" x14ac:dyDescent="0.25">
      <c r="A593" s="220">
        <v>621</v>
      </c>
      <c r="B593" s="221" t="s">
        <v>1527</v>
      </c>
      <c r="C593" s="222" t="s">
        <v>1528</v>
      </c>
      <c r="D593" s="221" t="s">
        <v>1529</v>
      </c>
      <c r="E593" s="221" t="s">
        <v>29</v>
      </c>
      <c r="F593" s="223">
        <v>0</v>
      </c>
      <c r="G593" s="221" t="s">
        <v>71</v>
      </c>
      <c r="H593" s="221" t="s">
        <v>71</v>
      </c>
      <c r="I593" s="224"/>
    </row>
    <row r="594" ht="17.25" customHeight="1" spans="1:9" x14ac:dyDescent="0.25">
      <c r="A594" s="220">
        <v>622</v>
      </c>
      <c r="B594" s="221" t="s">
        <v>1530</v>
      </c>
      <c r="C594" s="222" t="s">
        <v>1531</v>
      </c>
      <c r="D594" s="221" t="s">
        <v>1532</v>
      </c>
      <c r="E594" s="221" t="s">
        <v>29</v>
      </c>
      <c r="F594" s="223">
        <v>11000</v>
      </c>
      <c r="G594" s="221" t="s">
        <v>71</v>
      </c>
      <c r="H594" s="221" t="s">
        <v>71</v>
      </c>
      <c r="I594" s="222"/>
    </row>
    <row r="595" ht="17.25" customHeight="1" spans="1:9" x14ac:dyDescent="0.25">
      <c r="A595" s="220">
        <v>623</v>
      </c>
      <c r="B595" s="221" t="s">
        <v>1533</v>
      </c>
      <c r="C595" s="222" t="s">
        <v>1534</v>
      </c>
      <c r="D595" s="221" t="s">
        <v>1535</v>
      </c>
      <c r="E595" s="221" t="s">
        <v>29</v>
      </c>
      <c r="F595" s="223">
        <v>6000</v>
      </c>
      <c r="G595" s="221" t="s">
        <v>71</v>
      </c>
      <c r="H595" s="221" t="s">
        <v>71</v>
      </c>
      <c r="I595" s="222"/>
    </row>
    <row r="596" ht="17.25" customHeight="1" spans="1:9" x14ac:dyDescent="0.25">
      <c r="A596" s="220">
        <v>624</v>
      </c>
      <c r="B596" s="221" t="s">
        <v>1536</v>
      </c>
      <c r="C596" s="222" t="s">
        <v>1537</v>
      </c>
      <c r="D596" s="221" t="s">
        <v>1535</v>
      </c>
      <c r="E596" s="221" t="s">
        <v>29</v>
      </c>
      <c r="F596" s="223">
        <v>6300</v>
      </c>
      <c r="G596" s="221" t="s">
        <v>71</v>
      </c>
      <c r="H596" s="221" t="s">
        <v>71</v>
      </c>
      <c r="I596" s="222"/>
    </row>
    <row r="597" ht="17.25" customHeight="1" spans="1:9" x14ac:dyDescent="0.25">
      <c r="A597" s="220">
        <v>625</v>
      </c>
      <c r="B597" s="221" t="s">
        <v>1538</v>
      </c>
      <c r="C597" s="222" t="s">
        <v>1539</v>
      </c>
      <c r="D597" s="221" t="s">
        <v>1535</v>
      </c>
      <c r="E597" s="221" t="s">
        <v>29</v>
      </c>
      <c r="F597" s="223">
        <v>6300</v>
      </c>
      <c r="G597" s="221" t="s">
        <v>71</v>
      </c>
      <c r="H597" s="221" t="s">
        <v>71</v>
      </c>
      <c r="I597" s="222"/>
    </row>
    <row r="598" ht="17.25" customHeight="1" spans="1:9" x14ac:dyDescent="0.25">
      <c r="A598" s="220">
        <v>626</v>
      </c>
      <c r="B598" s="221" t="s">
        <v>1540</v>
      </c>
      <c r="C598" s="222" t="s">
        <v>1541</v>
      </c>
      <c r="D598" s="221" t="s">
        <v>1494</v>
      </c>
      <c r="E598" s="221" t="s">
        <v>29</v>
      </c>
      <c r="F598" s="223">
        <v>9000</v>
      </c>
      <c r="G598" s="221" t="s">
        <v>71</v>
      </c>
      <c r="H598" s="221" t="s">
        <v>71</v>
      </c>
      <c r="I598" s="222"/>
    </row>
    <row r="599" ht="17.25" customHeight="1" spans="1:9" x14ac:dyDescent="0.25">
      <c r="A599" s="220">
        <v>627</v>
      </c>
      <c r="B599" s="221" t="s">
        <v>1542</v>
      </c>
      <c r="C599" s="222" t="s">
        <v>1543</v>
      </c>
      <c r="D599" s="221" t="s">
        <v>1544</v>
      </c>
      <c r="E599" s="221" t="s">
        <v>29</v>
      </c>
      <c r="F599" s="223">
        <v>18000</v>
      </c>
      <c r="G599" s="221" t="s">
        <v>71</v>
      </c>
      <c r="H599" s="221" t="s">
        <v>71</v>
      </c>
      <c r="I599" s="222"/>
    </row>
    <row r="600" ht="17.25" customHeight="1" spans="1:9" x14ac:dyDescent="0.25">
      <c r="A600" s="220">
        <v>628</v>
      </c>
      <c r="B600" s="221" t="s">
        <v>1545</v>
      </c>
      <c r="C600" s="222" t="s">
        <v>1546</v>
      </c>
      <c r="D600" s="221" t="s">
        <v>1494</v>
      </c>
      <c r="E600" s="221" t="s">
        <v>29</v>
      </c>
      <c r="F600" s="223">
        <v>0</v>
      </c>
      <c r="G600" s="221" t="s">
        <v>48</v>
      </c>
      <c r="H600" s="221" t="s">
        <v>48</v>
      </c>
      <c r="I600" s="224"/>
    </row>
    <row r="601" ht="17.25" customHeight="1" spans="1:9" x14ac:dyDescent="0.25">
      <c r="A601" s="220">
        <v>629</v>
      </c>
      <c r="B601" s="221" t="s">
        <v>1547</v>
      </c>
      <c r="C601" s="222" t="s">
        <v>1548</v>
      </c>
      <c r="D601" s="221" t="s">
        <v>1535</v>
      </c>
      <c r="E601" s="221" t="s">
        <v>29</v>
      </c>
      <c r="F601" s="223">
        <v>6500</v>
      </c>
      <c r="G601" s="221" t="s">
        <v>71</v>
      </c>
      <c r="H601" s="221" t="s">
        <v>71</v>
      </c>
      <c r="I601" s="222"/>
    </row>
    <row r="602" ht="17.25" customHeight="1" spans="1:9" x14ac:dyDescent="0.25">
      <c r="A602" s="220">
        <v>630</v>
      </c>
      <c r="B602" s="221" t="s">
        <v>1549</v>
      </c>
      <c r="C602" s="222" t="s">
        <v>1550</v>
      </c>
      <c r="D602" s="221" t="s">
        <v>1494</v>
      </c>
      <c r="E602" s="221" t="s">
        <v>29</v>
      </c>
      <c r="F602" s="223">
        <v>14000</v>
      </c>
      <c r="G602" s="221" t="s">
        <v>71</v>
      </c>
      <c r="H602" s="221" t="s">
        <v>71</v>
      </c>
      <c r="I602" s="222"/>
    </row>
    <row r="603" ht="17.25" customHeight="1" spans="1:9" x14ac:dyDescent="0.25">
      <c r="A603" s="220">
        <v>631</v>
      </c>
      <c r="B603" s="221" t="s">
        <v>1551</v>
      </c>
      <c r="C603" s="222" t="s">
        <v>1552</v>
      </c>
      <c r="D603" s="221" t="s">
        <v>1497</v>
      </c>
      <c r="E603" s="221" t="s">
        <v>29</v>
      </c>
      <c r="F603" s="223">
        <v>10000</v>
      </c>
      <c r="G603" s="221" t="s">
        <v>71</v>
      </c>
      <c r="H603" s="221" t="s">
        <v>71</v>
      </c>
      <c r="I603" s="222"/>
    </row>
    <row r="604" ht="17.25" customHeight="1" spans="1:9" x14ac:dyDescent="0.25">
      <c r="A604" s="220">
        <v>632</v>
      </c>
      <c r="B604" s="221" t="s">
        <v>1553</v>
      </c>
      <c r="C604" s="222" t="s">
        <v>1554</v>
      </c>
      <c r="D604" s="221" t="s">
        <v>1494</v>
      </c>
      <c r="E604" s="221" t="s">
        <v>29</v>
      </c>
      <c r="F604" s="223">
        <v>8900</v>
      </c>
      <c r="G604" s="221" t="s">
        <v>71</v>
      </c>
      <c r="H604" s="221" t="s">
        <v>71</v>
      </c>
      <c r="I604" s="222"/>
    </row>
    <row r="605" ht="17.25" customHeight="1" spans="1:9" x14ac:dyDescent="0.25">
      <c r="A605" s="220">
        <v>633</v>
      </c>
      <c r="B605" s="221" t="s">
        <v>1555</v>
      </c>
      <c r="C605" s="222" t="s">
        <v>1556</v>
      </c>
      <c r="D605" s="221" t="s">
        <v>1494</v>
      </c>
      <c r="E605" s="221" t="s">
        <v>29</v>
      </c>
      <c r="F605" s="223">
        <v>9300</v>
      </c>
      <c r="G605" s="221" t="s">
        <v>71</v>
      </c>
      <c r="H605" s="221" t="s">
        <v>71</v>
      </c>
      <c r="I605" s="222"/>
    </row>
    <row r="606" ht="17.25" customHeight="1" spans="1:9" x14ac:dyDescent="0.25">
      <c r="A606" s="220">
        <v>634</v>
      </c>
      <c r="B606" s="221" t="s">
        <v>1557</v>
      </c>
      <c r="C606" s="222" t="s">
        <v>1558</v>
      </c>
      <c r="D606" s="221" t="s">
        <v>1494</v>
      </c>
      <c r="E606" s="221" t="s">
        <v>29</v>
      </c>
      <c r="F606" s="223">
        <v>9800</v>
      </c>
      <c r="G606" s="221" t="s">
        <v>71</v>
      </c>
      <c r="H606" s="221" t="s">
        <v>71</v>
      </c>
      <c r="I606" s="222"/>
    </row>
    <row r="607" ht="17.25" customHeight="1" spans="1:9" x14ac:dyDescent="0.25">
      <c r="A607" s="220">
        <v>635</v>
      </c>
      <c r="B607" s="221" t="s">
        <v>1559</v>
      </c>
      <c r="C607" s="222" t="s">
        <v>1560</v>
      </c>
      <c r="D607" s="221" t="s">
        <v>1535</v>
      </c>
      <c r="E607" s="221" t="s">
        <v>29</v>
      </c>
      <c r="F607" s="223">
        <v>6300</v>
      </c>
      <c r="G607" s="221" t="s">
        <v>71</v>
      </c>
      <c r="H607" s="221" t="s">
        <v>71</v>
      </c>
      <c r="I607" s="222"/>
    </row>
    <row r="608" ht="17.25" customHeight="1" spans="1:9" x14ac:dyDescent="0.25">
      <c r="A608" s="220">
        <v>636</v>
      </c>
      <c r="B608" s="221" t="s">
        <v>1561</v>
      </c>
      <c r="C608" s="222" t="s">
        <v>1562</v>
      </c>
      <c r="D608" s="221" t="s">
        <v>1500</v>
      </c>
      <c r="E608" s="221" t="s">
        <v>29</v>
      </c>
      <c r="F608" s="223">
        <v>10000</v>
      </c>
      <c r="G608" s="221" t="s">
        <v>71</v>
      </c>
      <c r="H608" s="221" t="s">
        <v>71</v>
      </c>
      <c r="I608" s="222"/>
    </row>
    <row r="609" ht="17.25" customHeight="1" spans="1:9" x14ac:dyDescent="0.25">
      <c r="A609" s="220">
        <v>637</v>
      </c>
      <c r="B609" s="221" t="s">
        <v>1563</v>
      </c>
      <c r="C609" s="222" t="s">
        <v>1564</v>
      </c>
      <c r="D609" s="221" t="s">
        <v>1535</v>
      </c>
      <c r="E609" s="221" t="s">
        <v>29</v>
      </c>
      <c r="F609" s="223">
        <v>6000</v>
      </c>
      <c r="G609" s="221" t="s">
        <v>71</v>
      </c>
      <c r="H609" s="221" t="s">
        <v>71</v>
      </c>
      <c r="I609" s="222"/>
    </row>
    <row r="610" ht="17.25" customHeight="1" spans="1:9" x14ac:dyDescent="0.25">
      <c r="A610" s="220">
        <v>638</v>
      </c>
      <c r="B610" s="221" t="s">
        <v>1565</v>
      </c>
      <c r="C610" s="222" t="s">
        <v>1566</v>
      </c>
      <c r="D610" s="221" t="s">
        <v>1544</v>
      </c>
      <c r="E610" s="221" t="s">
        <v>29</v>
      </c>
      <c r="F610" s="223">
        <v>18000</v>
      </c>
      <c r="G610" s="221" t="s">
        <v>71</v>
      </c>
      <c r="H610" s="221" t="s">
        <v>71</v>
      </c>
      <c r="I610" s="222"/>
    </row>
    <row r="611" ht="17.25" customHeight="1" spans="1:9" x14ac:dyDescent="0.25">
      <c r="A611" s="220">
        <v>639</v>
      </c>
      <c r="B611" s="221" t="s">
        <v>1567</v>
      </c>
      <c r="C611" s="222" t="s">
        <v>1568</v>
      </c>
      <c r="D611" s="221" t="s">
        <v>1494</v>
      </c>
      <c r="E611" s="221" t="s">
        <v>29</v>
      </c>
      <c r="F611" s="223">
        <v>11000</v>
      </c>
      <c r="G611" s="221" t="s">
        <v>48</v>
      </c>
      <c r="H611" s="221" t="s">
        <v>48</v>
      </c>
      <c r="I611" s="222"/>
    </row>
    <row r="612" ht="17.25" customHeight="1" spans="1:9" x14ac:dyDescent="0.25">
      <c r="A612" s="220">
        <v>640</v>
      </c>
      <c r="B612" s="221" t="s">
        <v>1569</v>
      </c>
      <c r="C612" s="222" t="s">
        <v>1570</v>
      </c>
      <c r="D612" s="221" t="s">
        <v>1503</v>
      </c>
      <c r="E612" s="221" t="s">
        <v>29</v>
      </c>
      <c r="F612" s="223">
        <v>10000</v>
      </c>
      <c r="G612" s="221" t="s">
        <v>71</v>
      </c>
      <c r="H612" s="221" t="s">
        <v>71</v>
      </c>
      <c r="I612" s="222"/>
    </row>
    <row r="613" ht="17.25" customHeight="1" spans="1:9" x14ac:dyDescent="0.25">
      <c r="A613" s="220">
        <v>641</v>
      </c>
      <c r="B613" s="221" t="s">
        <v>1571</v>
      </c>
      <c r="C613" s="222" t="s">
        <v>1572</v>
      </c>
      <c r="D613" s="221" t="s">
        <v>1535</v>
      </c>
      <c r="E613" s="221" t="s">
        <v>29</v>
      </c>
      <c r="F613" s="223">
        <v>6000</v>
      </c>
      <c r="G613" s="221" t="s">
        <v>71</v>
      </c>
      <c r="H613" s="221" t="s">
        <v>71</v>
      </c>
      <c r="I613" s="222"/>
    </row>
    <row r="614" ht="17.25" customHeight="1" spans="1:9" x14ac:dyDescent="0.25">
      <c r="A614" s="220">
        <v>642</v>
      </c>
      <c r="B614" s="221" t="s">
        <v>1573</v>
      </c>
      <c r="C614" s="222" t="s">
        <v>1574</v>
      </c>
      <c r="D614" s="221" t="s">
        <v>1494</v>
      </c>
      <c r="E614" s="221" t="s">
        <v>29</v>
      </c>
      <c r="F614" s="223">
        <v>11000</v>
      </c>
      <c r="G614" s="221" t="s">
        <v>1575</v>
      </c>
      <c r="H614" s="221" t="s">
        <v>1575</v>
      </c>
      <c r="I614" s="222"/>
    </row>
    <row r="615" ht="17.25" customHeight="1" spans="1:9" x14ac:dyDescent="0.25">
      <c r="A615" s="220">
        <v>643</v>
      </c>
      <c r="B615" s="221" t="s">
        <v>1576</v>
      </c>
      <c r="C615" s="222" t="s">
        <v>1577</v>
      </c>
      <c r="D615" s="221" t="s">
        <v>1494</v>
      </c>
      <c r="E615" s="221" t="s">
        <v>29</v>
      </c>
      <c r="F615" s="223">
        <v>11000</v>
      </c>
      <c r="G615" s="221" t="s">
        <v>1575</v>
      </c>
      <c r="H615" s="221" t="s">
        <v>1575</v>
      </c>
      <c r="I615" s="222"/>
    </row>
    <row r="616" ht="17.25" customHeight="1" spans="1:9" x14ac:dyDescent="0.25">
      <c r="A616" s="220">
        <v>644</v>
      </c>
      <c r="B616" s="221" t="s">
        <v>1578</v>
      </c>
      <c r="C616" s="222" t="s">
        <v>1579</v>
      </c>
      <c r="D616" s="221" t="s">
        <v>1494</v>
      </c>
      <c r="E616" s="221" t="s">
        <v>29</v>
      </c>
      <c r="F616" s="223">
        <v>5500</v>
      </c>
      <c r="G616" s="221" t="s">
        <v>48</v>
      </c>
      <c r="H616" s="221" t="s">
        <v>48</v>
      </c>
      <c r="I616" s="222"/>
    </row>
    <row r="617" ht="17.25" customHeight="1" spans="1:9" x14ac:dyDescent="0.25">
      <c r="A617" s="220">
        <v>645</v>
      </c>
      <c r="B617" s="221" t="s">
        <v>1580</v>
      </c>
      <c r="C617" s="222" t="s">
        <v>1581</v>
      </c>
      <c r="D617" s="221" t="s">
        <v>1494</v>
      </c>
      <c r="E617" s="221" t="s">
        <v>29</v>
      </c>
      <c r="F617" s="223">
        <v>12000</v>
      </c>
      <c r="G617" s="221" t="s">
        <v>71</v>
      </c>
      <c r="H617" s="221" t="s">
        <v>71</v>
      </c>
      <c r="I617" s="222"/>
    </row>
    <row r="618" ht="17.25" customHeight="1" spans="1:9" x14ac:dyDescent="0.25">
      <c r="A618" s="220">
        <v>646</v>
      </c>
      <c r="B618" s="221" t="s">
        <v>1582</v>
      </c>
      <c r="C618" s="222" t="s">
        <v>1583</v>
      </c>
      <c r="D618" s="221" t="s">
        <v>1494</v>
      </c>
      <c r="E618" s="221" t="s">
        <v>29</v>
      </c>
      <c r="F618" s="223">
        <v>12000</v>
      </c>
      <c r="G618" s="221" t="s">
        <v>1584</v>
      </c>
      <c r="H618" s="221" t="s">
        <v>1584</v>
      </c>
      <c r="I618" s="224"/>
    </row>
    <row r="619" ht="17.25" customHeight="1" spans="1:9" x14ac:dyDescent="0.25">
      <c r="A619" s="220">
        <v>647</v>
      </c>
      <c r="B619" s="221" t="s">
        <v>1585</v>
      </c>
      <c r="C619" s="222" t="s">
        <v>1586</v>
      </c>
      <c r="D619" s="221" t="s">
        <v>573</v>
      </c>
      <c r="E619" s="221" t="s">
        <v>29</v>
      </c>
      <c r="F619" s="223">
        <v>4800</v>
      </c>
      <c r="G619" s="221" t="s">
        <v>48</v>
      </c>
      <c r="H619" s="221" t="s">
        <v>48</v>
      </c>
      <c r="I619" s="224"/>
    </row>
    <row r="620" ht="17.25" customHeight="1" spans="1:9" x14ac:dyDescent="0.25">
      <c r="A620" s="220">
        <v>648</v>
      </c>
      <c r="B620" s="221" t="s">
        <v>1587</v>
      </c>
      <c r="C620" s="222" t="s">
        <v>1588</v>
      </c>
      <c r="D620" s="221" t="s">
        <v>573</v>
      </c>
      <c r="E620" s="221" t="s">
        <v>29</v>
      </c>
      <c r="F620" s="223">
        <v>4800</v>
      </c>
      <c r="G620" s="221" t="s">
        <v>48</v>
      </c>
      <c r="H620" s="221" t="s">
        <v>48</v>
      </c>
      <c r="I620" s="224"/>
    </row>
    <row r="621" ht="17.25" customHeight="1" spans="1:9" x14ac:dyDescent="0.25">
      <c r="A621" s="220">
        <v>649</v>
      </c>
      <c r="B621" s="221" t="s">
        <v>1589</v>
      </c>
      <c r="C621" s="222" t="s">
        <v>1590</v>
      </c>
      <c r="D621" s="221" t="s">
        <v>1494</v>
      </c>
      <c r="E621" s="221" t="s">
        <v>29</v>
      </c>
      <c r="F621" s="223">
        <v>6000</v>
      </c>
      <c r="G621" s="221" t="s">
        <v>48</v>
      </c>
      <c r="H621" s="221" t="s">
        <v>48</v>
      </c>
      <c r="I621" s="224"/>
    </row>
    <row r="622" ht="17.25" customHeight="1" spans="1:9" x14ac:dyDescent="0.25">
      <c r="A622" s="220">
        <v>650</v>
      </c>
      <c r="B622" s="221" t="s">
        <v>1591</v>
      </c>
      <c r="C622" s="222" t="s">
        <v>1592</v>
      </c>
      <c r="D622" s="221" t="s">
        <v>1494</v>
      </c>
      <c r="E622" s="221" t="s">
        <v>29</v>
      </c>
      <c r="F622" s="223">
        <v>6000</v>
      </c>
      <c r="G622" s="221" t="s">
        <v>48</v>
      </c>
      <c r="H622" s="221" t="s">
        <v>48</v>
      </c>
      <c r="I622" s="224"/>
    </row>
    <row r="623" ht="17.25" customHeight="1" spans="1:9" x14ac:dyDescent="0.25">
      <c r="A623" s="220">
        <v>651</v>
      </c>
      <c r="B623" s="221" t="s">
        <v>1593</v>
      </c>
      <c r="C623" s="222" t="s">
        <v>1594</v>
      </c>
      <c r="D623" s="221" t="s">
        <v>1535</v>
      </c>
      <c r="E623" s="221" t="s">
        <v>29</v>
      </c>
      <c r="F623" s="223">
        <v>6000</v>
      </c>
      <c r="G623" s="221" t="s">
        <v>71</v>
      </c>
      <c r="H623" s="221" t="s">
        <v>71</v>
      </c>
      <c r="I623" s="222"/>
    </row>
    <row r="624" ht="17.25" customHeight="1" spans="1:9" x14ac:dyDescent="0.25">
      <c r="A624" s="220">
        <v>652</v>
      </c>
      <c r="B624" s="221" t="s">
        <v>1595</v>
      </c>
      <c r="C624" s="222" t="s">
        <v>1596</v>
      </c>
      <c r="D624" s="221" t="s">
        <v>1535</v>
      </c>
      <c r="E624" s="221" t="s">
        <v>29</v>
      </c>
      <c r="F624" s="223">
        <v>6300</v>
      </c>
      <c r="G624" s="221" t="s">
        <v>71</v>
      </c>
      <c r="H624" s="221" t="s">
        <v>71</v>
      </c>
      <c r="I624" s="222"/>
    </row>
    <row r="625" ht="17.25" customHeight="1" spans="1:9" x14ac:dyDescent="0.25">
      <c r="A625" s="220">
        <v>653</v>
      </c>
      <c r="B625" s="221" t="s">
        <v>1597</v>
      </c>
      <c r="C625" s="222" t="s">
        <v>1598</v>
      </c>
      <c r="D625" s="221" t="s">
        <v>1599</v>
      </c>
      <c r="E625" s="221" t="s">
        <v>29</v>
      </c>
      <c r="F625" s="223">
        <v>17000</v>
      </c>
      <c r="G625" s="221" t="s">
        <v>71</v>
      </c>
      <c r="H625" s="221" t="s">
        <v>71</v>
      </c>
      <c r="I625" s="222"/>
    </row>
    <row r="626" ht="17.25" customHeight="1" spans="1:9" x14ac:dyDescent="0.25">
      <c r="A626" s="220">
        <v>654</v>
      </c>
      <c r="B626" s="221" t="s">
        <v>1600</v>
      </c>
      <c r="C626" s="222" t="s">
        <v>1601</v>
      </c>
      <c r="D626" s="221" t="s">
        <v>1535</v>
      </c>
      <c r="E626" s="221" t="s">
        <v>29</v>
      </c>
      <c r="F626" s="223">
        <v>6300</v>
      </c>
      <c r="G626" s="221" t="s">
        <v>71</v>
      </c>
      <c r="H626" s="221" t="s">
        <v>71</v>
      </c>
      <c r="I626" s="222"/>
    </row>
    <row r="627" ht="17.25" customHeight="1" spans="1:9" x14ac:dyDescent="0.25">
      <c r="A627" s="220">
        <v>655</v>
      </c>
      <c r="B627" s="221" t="s">
        <v>1602</v>
      </c>
      <c r="C627" s="222" t="s">
        <v>1603</v>
      </c>
      <c r="D627" s="221" t="s">
        <v>1535</v>
      </c>
      <c r="E627" s="221" t="s">
        <v>29</v>
      </c>
      <c r="F627" s="223">
        <v>6300</v>
      </c>
      <c r="G627" s="221" t="s">
        <v>71</v>
      </c>
      <c r="H627" s="221" t="s">
        <v>71</v>
      </c>
      <c r="I627" s="222"/>
    </row>
    <row r="628" ht="17.25" customHeight="1" spans="1:9" x14ac:dyDescent="0.25">
      <c r="A628" s="220">
        <v>656</v>
      </c>
      <c r="B628" s="221" t="s">
        <v>1604</v>
      </c>
      <c r="C628" s="222" t="s">
        <v>1605</v>
      </c>
      <c r="D628" s="221" t="s">
        <v>1599</v>
      </c>
      <c r="E628" s="221" t="s">
        <v>29</v>
      </c>
      <c r="F628" s="223">
        <v>17000</v>
      </c>
      <c r="G628" s="221" t="s">
        <v>71</v>
      </c>
      <c r="H628" s="221" t="s">
        <v>71</v>
      </c>
      <c r="I628" s="222"/>
    </row>
    <row r="629" ht="17.25" customHeight="1" spans="1:9" x14ac:dyDescent="0.25">
      <c r="A629" s="220">
        <v>657</v>
      </c>
      <c r="B629" s="221" t="s">
        <v>1606</v>
      </c>
      <c r="C629" s="222" t="s">
        <v>1607</v>
      </c>
      <c r="D629" s="221" t="s">
        <v>1494</v>
      </c>
      <c r="E629" s="221" t="s">
        <v>29</v>
      </c>
      <c r="F629" s="223">
        <v>5500</v>
      </c>
      <c r="G629" s="221" t="s">
        <v>48</v>
      </c>
      <c r="H629" s="221" t="s">
        <v>48</v>
      </c>
      <c r="I629" s="222"/>
    </row>
    <row r="630" ht="17.25" customHeight="1" spans="1:9" x14ac:dyDescent="0.25">
      <c r="A630" s="220">
        <v>658</v>
      </c>
      <c r="B630" s="221" t="s">
        <v>1608</v>
      </c>
      <c r="C630" s="222" t="s">
        <v>1609</v>
      </c>
      <c r="D630" s="221" t="s">
        <v>1494</v>
      </c>
      <c r="E630" s="221" t="s">
        <v>29</v>
      </c>
      <c r="F630" s="223">
        <v>10000</v>
      </c>
      <c r="G630" s="221" t="s">
        <v>71</v>
      </c>
      <c r="H630" s="221" t="s">
        <v>71</v>
      </c>
      <c r="I630" s="222"/>
    </row>
    <row r="631" ht="17.25" customHeight="1" spans="1:9" x14ac:dyDescent="0.25">
      <c r="A631" s="220">
        <v>659</v>
      </c>
      <c r="B631" s="221" t="s">
        <v>1610</v>
      </c>
      <c r="C631" s="222" t="s">
        <v>1611</v>
      </c>
      <c r="D631" s="221" t="s">
        <v>1494</v>
      </c>
      <c r="E631" s="221" t="s">
        <v>29</v>
      </c>
      <c r="F631" s="223">
        <v>10000</v>
      </c>
      <c r="G631" s="221" t="s">
        <v>71</v>
      </c>
      <c r="H631" s="221" t="s">
        <v>71</v>
      </c>
      <c r="I631" s="222"/>
    </row>
    <row r="632" ht="17.25" customHeight="1" spans="1:9" x14ac:dyDescent="0.25">
      <c r="A632" s="220">
        <v>660</v>
      </c>
      <c r="B632" s="221" t="s">
        <v>1612</v>
      </c>
      <c r="C632" s="222" t="s">
        <v>1613</v>
      </c>
      <c r="D632" s="221" t="s">
        <v>1544</v>
      </c>
      <c r="E632" s="221" t="s">
        <v>29</v>
      </c>
      <c r="F632" s="223">
        <v>18001</v>
      </c>
      <c r="G632" s="221" t="s">
        <v>48</v>
      </c>
      <c r="H632" s="221" t="s">
        <v>48</v>
      </c>
      <c r="I632" s="222"/>
    </row>
    <row r="633" ht="17.25" customHeight="1" spans="1:9" x14ac:dyDescent="0.25">
      <c r="A633" s="220">
        <v>661</v>
      </c>
      <c r="B633" s="221" t="s">
        <v>1614</v>
      </c>
      <c r="C633" s="222" t="s">
        <v>1615</v>
      </c>
      <c r="D633" s="221" t="s">
        <v>1494</v>
      </c>
      <c r="E633" s="221" t="s">
        <v>29</v>
      </c>
      <c r="F633" s="223">
        <v>28000</v>
      </c>
      <c r="G633" s="221" t="s">
        <v>1575</v>
      </c>
      <c r="H633" s="221" t="s">
        <v>1575</v>
      </c>
      <c r="I633" s="222"/>
    </row>
    <row r="634" ht="17.25" customHeight="1" spans="1:9" x14ac:dyDescent="0.25">
      <c r="A634" s="220">
        <v>662</v>
      </c>
      <c r="B634" s="221" t="s">
        <v>1616</v>
      </c>
      <c r="C634" s="222" t="s">
        <v>1617</v>
      </c>
      <c r="D634" s="221" t="s">
        <v>1494</v>
      </c>
      <c r="E634" s="221" t="s">
        <v>29</v>
      </c>
      <c r="F634" s="223">
        <v>10000</v>
      </c>
      <c r="G634" s="221" t="s">
        <v>71</v>
      </c>
      <c r="H634" s="221" t="s">
        <v>71</v>
      </c>
      <c r="I634" s="224"/>
    </row>
    <row r="635" ht="17.25" customHeight="1" spans="1:9" x14ac:dyDescent="0.25">
      <c r="A635" s="220">
        <v>663</v>
      </c>
      <c r="B635" s="221" t="s">
        <v>1618</v>
      </c>
      <c r="C635" s="222" t="s">
        <v>1619</v>
      </c>
      <c r="D635" s="221" t="s">
        <v>1544</v>
      </c>
      <c r="E635" s="221" t="s">
        <v>29</v>
      </c>
      <c r="F635" s="223">
        <v>18000</v>
      </c>
      <c r="G635" s="221" t="s">
        <v>71</v>
      </c>
      <c r="H635" s="221" t="s">
        <v>71</v>
      </c>
      <c r="I635" s="222"/>
    </row>
    <row r="636" ht="17.25" customHeight="1" spans="1:9" x14ac:dyDescent="0.25">
      <c r="A636" s="220">
        <v>664</v>
      </c>
      <c r="B636" s="221" t="s">
        <v>1620</v>
      </c>
      <c r="C636" s="222" t="s">
        <v>1621</v>
      </c>
      <c r="D636" s="221" t="s">
        <v>1622</v>
      </c>
      <c r="E636" s="221" t="s">
        <v>29</v>
      </c>
      <c r="F636" s="223">
        <v>10000</v>
      </c>
      <c r="G636" s="221" t="s">
        <v>71</v>
      </c>
      <c r="H636" s="221" t="s">
        <v>71</v>
      </c>
      <c r="I636" s="222"/>
    </row>
    <row r="637" ht="17.25" customHeight="1" spans="1:9" x14ac:dyDescent="0.25">
      <c r="A637" s="220">
        <v>665</v>
      </c>
      <c r="B637" s="221" t="s">
        <v>1623</v>
      </c>
      <c r="C637" s="222" t="s">
        <v>1624</v>
      </c>
      <c r="D637" s="221" t="s">
        <v>1622</v>
      </c>
      <c r="E637" s="221" t="s">
        <v>29</v>
      </c>
      <c r="F637" s="223">
        <v>10500</v>
      </c>
      <c r="G637" s="221" t="s">
        <v>71</v>
      </c>
      <c r="H637" s="221" t="s">
        <v>71</v>
      </c>
      <c r="I637" s="222"/>
    </row>
    <row r="638" ht="17.25" customHeight="1" spans="1:9" x14ac:dyDescent="0.25">
      <c r="A638" s="220">
        <v>666</v>
      </c>
      <c r="B638" s="221" t="s">
        <v>1625</v>
      </c>
      <c r="C638" s="222" t="s">
        <v>1626</v>
      </c>
      <c r="D638" s="221" t="s">
        <v>1622</v>
      </c>
      <c r="E638" s="221" t="s">
        <v>29</v>
      </c>
      <c r="F638" s="223">
        <v>11000</v>
      </c>
      <c r="G638" s="221" t="s">
        <v>71</v>
      </c>
      <c r="H638" s="221" t="s">
        <v>71</v>
      </c>
      <c r="I638" s="222"/>
    </row>
    <row r="639" ht="17.25" customHeight="1" spans="1:9" x14ac:dyDescent="0.25">
      <c r="A639" s="220">
        <v>667</v>
      </c>
      <c r="B639" s="221" t="s">
        <v>1627</v>
      </c>
      <c r="C639" s="222" t="s">
        <v>1628</v>
      </c>
      <c r="D639" s="221" t="s">
        <v>1503</v>
      </c>
      <c r="E639" s="221" t="s">
        <v>29</v>
      </c>
      <c r="F639" s="223">
        <v>9500</v>
      </c>
      <c r="G639" s="221" t="s">
        <v>71</v>
      </c>
      <c r="H639" s="221" t="s">
        <v>71</v>
      </c>
      <c r="I639" s="222"/>
    </row>
    <row r="640" ht="17.25" customHeight="1" spans="1:9" x14ac:dyDescent="0.25">
      <c r="A640" s="220">
        <v>668</v>
      </c>
      <c r="B640" s="221" t="s">
        <v>1629</v>
      </c>
      <c r="C640" s="222" t="s">
        <v>1630</v>
      </c>
      <c r="D640" s="221" t="s">
        <v>1535</v>
      </c>
      <c r="E640" s="221" t="s">
        <v>29</v>
      </c>
      <c r="F640" s="223">
        <v>6000</v>
      </c>
      <c r="G640" s="221" t="s">
        <v>71</v>
      </c>
      <c r="H640" s="221" t="s">
        <v>71</v>
      </c>
      <c r="I640" s="222"/>
    </row>
    <row r="641" ht="17.25" customHeight="1" spans="1:9" x14ac:dyDescent="0.25">
      <c r="A641" s="220">
        <v>669</v>
      </c>
      <c r="B641" s="221" t="s">
        <v>1631</v>
      </c>
      <c r="C641" s="222" t="s">
        <v>1632</v>
      </c>
      <c r="D641" s="221" t="s">
        <v>1544</v>
      </c>
      <c r="E641" s="221" t="s">
        <v>29</v>
      </c>
      <c r="F641" s="223">
        <v>18000</v>
      </c>
      <c r="G641" s="221" t="s">
        <v>71</v>
      </c>
      <c r="H641" s="221" t="s">
        <v>71</v>
      </c>
      <c r="I641" s="222"/>
    </row>
    <row r="642" ht="17.25" customHeight="1" spans="1:9" x14ac:dyDescent="0.25">
      <c r="A642" s="220">
        <v>670</v>
      </c>
      <c r="B642" s="221" t="s">
        <v>1633</v>
      </c>
      <c r="C642" s="222" t="s">
        <v>1634</v>
      </c>
      <c r="D642" s="221" t="s">
        <v>90</v>
      </c>
      <c r="E642" s="221" t="s">
        <v>32</v>
      </c>
      <c r="F642" s="223">
        <v>6000</v>
      </c>
      <c r="G642" s="221" t="s">
        <v>46</v>
      </c>
      <c r="H642" s="221" t="s">
        <v>71</v>
      </c>
      <c r="I642" s="222"/>
    </row>
    <row r="643" ht="17.25" customHeight="1" spans="1:9" x14ac:dyDescent="0.25">
      <c r="A643" s="220">
        <v>671</v>
      </c>
      <c r="B643" s="221" t="s">
        <v>1635</v>
      </c>
      <c r="C643" s="222" t="s">
        <v>1636</v>
      </c>
      <c r="D643" s="221" t="s">
        <v>1637</v>
      </c>
      <c r="E643" s="221" t="s">
        <v>27</v>
      </c>
      <c r="F643" s="223">
        <v>0</v>
      </c>
      <c r="G643" s="221" t="s">
        <v>48</v>
      </c>
      <c r="H643" s="221" t="s">
        <v>48</v>
      </c>
      <c r="I643" s="224"/>
    </row>
    <row r="644" ht="17.25" customHeight="1" spans="1:9" x14ac:dyDescent="0.25">
      <c r="A644" s="220">
        <v>672</v>
      </c>
      <c r="B644" s="221" t="s">
        <v>1638</v>
      </c>
      <c r="C644" s="222" t="s">
        <v>1639</v>
      </c>
      <c r="D644" s="221" t="s">
        <v>1637</v>
      </c>
      <c r="E644" s="221" t="s">
        <v>27</v>
      </c>
      <c r="F644" s="223">
        <v>0</v>
      </c>
      <c r="G644" s="221" t="s">
        <v>48</v>
      </c>
      <c r="H644" s="221" t="s">
        <v>48</v>
      </c>
      <c r="I644" s="224"/>
    </row>
    <row r="645" ht="17.25" customHeight="1" spans="1:9" x14ac:dyDescent="0.25">
      <c r="A645" s="220">
        <v>673</v>
      </c>
      <c r="B645" s="221" t="s">
        <v>1640</v>
      </c>
      <c r="C645" s="222" t="s">
        <v>1641</v>
      </c>
      <c r="D645" s="221" t="s">
        <v>1637</v>
      </c>
      <c r="E645" s="221" t="s">
        <v>27</v>
      </c>
      <c r="F645" s="223">
        <v>0</v>
      </c>
      <c r="G645" s="221" t="s">
        <v>48</v>
      </c>
      <c r="H645" s="221" t="s">
        <v>48</v>
      </c>
      <c r="I645" s="224"/>
    </row>
    <row r="646" ht="17.25" customHeight="1" spans="1:9" x14ac:dyDescent="0.25">
      <c r="A646" s="220">
        <v>674</v>
      </c>
      <c r="B646" s="221" t="s">
        <v>1642</v>
      </c>
      <c r="C646" s="222" t="s">
        <v>1643</v>
      </c>
      <c r="D646" s="221" t="s">
        <v>1637</v>
      </c>
      <c r="E646" s="221" t="s">
        <v>27</v>
      </c>
      <c r="F646" s="223">
        <v>0</v>
      </c>
      <c r="G646" s="221" t="s">
        <v>48</v>
      </c>
      <c r="H646" s="221" t="s">
        <v>48</v>
      </c>
      <c r="I646" s="224"/>
    </row>
    <row r="647" ht="17.25" customHeight="1" spans="1:9" x14ac:dyDescent="0.25">
      <c r="A647" s="220">
        <v>675</v>
      </c>
      <c r="B647" s="221" t="s">
        <v>1644</v>
      </c>
      <c r="C647" s="222" t="s">
        <v>1645</v>
      </c>
      <c r="D647" s="221" t="s">
        <v>1637</v>
      </c>
      <c r="E647" s="221" t="s">
        <v>27</v>
      </c>
      <c r="F647" s="223">
        <v>0</v>
      </c>
      <c r="G647" s="221" t="s">
        <v>48</v>
      </c>
      <c r="H647" s="221" t="s">
        <v>48</v>
      </c>
      <c r="I647" s="222" t="s">
        <v>1646</v>
      </c>
    </row>
    <row r="648" ht="17.25" customHeight="1" spans="1:9" x14ac:dyDescent="0.25">
      <c r="A648" s="220">
        <v>676</v>
      </c>
      <c r="B648" s="221" t="s">
        <v>1647</v>
      </c>
      <c r="C648" s="222" t="s">
        <v>1648</v>
      </c>
      <c r="D648" s="221" t="s">
        <v>1637</v>
      </c>
      <c r="E648" s="221" t="s">
        <v>27</v>
      </c>
      <c r="F648" s="223">
        <v>0</v>
      </c>
      <c r="G648" s="221" t="s">
        <v>48</v>
      </c>
      <c r="H648" s="221" t="s">
        <v>48</v>
      </c>
      <c r="I648" s="224"/>
    </row>
    <row r="649" ht="17.25" customHeight="1" spans="1:9" x14ac:dyDescent="0.25">
      <c r="A649" s="220">
        <v>677</v>
      </c>
      <c r="B649" s="221" t="s">
        <v>1649</v>
      </c>
      <c r="C649" s="222" t="s">
        <v>1650</v>
      </c>
      <c r="D649" s="221" t="s">
        <v>1637</v>
      </c>
      <c r="E649" s="221" t="s">
        <v>27</v>
      </c>
      <c r="F649" s="223">
        <v>0</v>
      </c>
      <c r="G649" s="221" t="s">
        <v>48</v>
      </c>
      <c r="H649" s="221" t="s">
        <v>48</v>
      </c>
      <c r="I649" s="224"/>
    </row>
    <row r="650" ht="17.25" customHeight="1" spans="1:9" x14ac:dyDescent="0.25">
      <c r="A650" s="220">
        <v>678</v>
      </c>
      <c r="B650" s="221" t="s">
        <v>1651</v>
      </c>
      <c r="C650" s="222" t="s">
        <v>1652</v>
      </c>
      <c r="D650" s="221" t="s">
        <v>106</v>
      </c>
      <c r="E650" s="221" t="s">
        <v>27</v>
      </c>
      <c r="F650" s="223">
        <v>0</v>
      </c>
      <c r="G650" s="221" t="s">
        <v>71</v>
      </c>
      <c r="H650" s="221" t="s">
        <v>71</v>
      </c>
      <c r="I650" s="224"/>
    </row>
    <row r="651" ht="17.25" customHeight="1" spans="1:9" x14ac:dyDescent="0.25">
      <c r="A651" s="220">
        <v>679</v>
      </c>
      <c r="B651" s="221" t="s">
        <v>1653</v>
      </c>
      <c r="C651" s="222" t="s">
        <v>1654</v>
      </c>
      <c r="D651" s="221" t="s">
        <v>106</v>
      </c>
      <c r="E651" s="221" t="s">
        <v>27</v>
      </c>
      <c r="F651" s="223">
        <v>0</v>
      </c>
      <c r="G651" s="221" t="s">
        <v>71</v>
      </c>
      <c r="H651" s="221" t="s">
        <v>71</v>
      </c>
      <c r="I651" s="224"/>
    </row>
    <row r="652" ht="17.25" customHeight="1" spans="1:9" x14ac:dyDescent="0.25">
      <c r="A652" s="220">
        <v>680</v>
      </c>
      <c r="B652" s="221" t="s">
        <v>1655</v>
      </c>
      <c r="C652" s="222" t="s">
        <v>1656</v>
      </c>
      <c r="D652" s="221" t="s">
        <v>106</v>
      </c>
      <c r="E652" s="221" t="s">
        <v>27</v>
      </c>
      <c r="F652" s="223">
        <v>0</v>
      </c>
      <c r="G652" s="221" t="s">
        <v>71</v>
      </c>
      <c r="H652" s="221" t="s">
        <v>71</v>
      </c>
      <c r="I652" s="222"/>
    </row>
    <row r="653" ht="17.25" customHeight="1" spans="1:9" x14ac:dyDescent="0.25">
      <c r="A653" s="220">
        <v>681</v>
      </c>
      <c r="B653" s="221" t="s">
        <v>1657</v>
      </c>
      <c r="C653" s="222" t="s">
        <v>1658</v>
      </c>
      <c r="D653" s="221" t="s">
        <v>106</v>
      </c>
      <c r="E653" s="221" t="s">
        <v>27</v>
      </c>
      <c r="F653" s="223">
        <v>0</v>
      </c>
      <c r="G653" s="221" t="s">
        <v>71</v>
      </c>
      <c r="H653" s="221" t="s">
        <v>71</v>
      </c>
      <c r="I653" s="224"/>
    </row>
    <row r="654" ht="17.25" customHeight="1" spans="1:9" x14ac:dyDescent="0.25">
      <c r="A654" s="220">
        <v>682</v>
      </c>
      <c r="B654" s="221" t="s">
        <v>1659</v>
      </c>
      <c r="C654" s="222" t="s">
        <v>1660</v>
      </c>
      <c r="D654" s="221" t="s">
        <v>106</v>
      </c>
      <c r="E654" s="221" t="s">
        <v>27</v>
      </c>
      <c r="F654" s="223">
        <v>0</v>
      </c>
      <c r="G654" s="221"/>
      <c r="H654" s="221"/>
      <c r="I654" s="224"/>
    </row>
    <row r="655" ht="17.25" customHeight="1" spans="1:9" x14ac:dyDescent="0.25">
      <c r="A655" s="220">
        <v>683</v>
      </c>
      <c r="B655" s="221" t="s">
        <v>1661</v>
      </c>
      <c r="C655" s="222" t="s">
        <v>1662</v>
      </c>
      <c r="D655" s="221" t="s">
        <v>106</v>
      </c>
      <c r="E655" s="221" t="s">
        <v>27</v>
      </c>
      <c r="F655" s="223">
        <v>0</v>
      </c>
      <c r="G655" s="221"/>
      <c r="H655" s="221"/>
      <c r="I655" s="224"/>
    </row>
    <row r="656" ht="17.25" customHeight="1" spans="1:9" x14ac:dyDescent="0.25">
      <c r="A656" s="220">
        <v>684</v>
      </c>
      <c r="B656" s="221" t="s">
        <v>1663</v>
      </c>
      <c r="C656" s="222" t="s">
        <v>1664</v>
      </c>
      <c r="D656" s="221" t="s">
        <v>106</v>
      </c>
      <c r="E656" s="221" t="s">
        <v>27</v>
      </c>
      <c r="F656" s="223">
        <v>0</v>
      </c>
      <c r="G656" s="221"/>
      <c r="H656" s="221"/>
      <c r="I656" s="224"/>
    </row>
    <row r="657" ht="17.25" customHeight="1" spans="1:9" x14ac:dyDescent="0.25">
      <c r="A657" s="220">
        <v>685</v>
      </c>
      <c r="B657" s="221" t="s">
        <v>1665</v>
      </c>
      <c r="C657" s="222" t="s">
        <v>1666</v>
      </c>
      <c r="D657" s="221" t="s">
        <v>106</v>
      </c>
      <c r="E657" s="221" t="s">
        <v>27</v>
      </c>
      <c r="F657" s="223">
        <v>0</v>
      </c>
      <c r="G657" s="221"/>
      <c r="H657" s="221"/>
      <c r="I657" s="224"/>
    </row>
    <row r="658" ht="17.25" customHeight="1" spans="1:9" x14ac:dyDescent="0.25">
      <c r="A658" s="220">
        <v>686</v>
      </c>
      <c r="B658" s="221" t="s">
        <v>1667</v>
      </c>
      <c r="C658" s="222" t="s">
        <v>1668</v>
      </c>
      <c r="D658" s="221" t="s">
        <v>106</v>
      </c>
      <c r="E658" s="221" t="s">
        <v>27</v>
      </c>
      <c r="F658" s="223">
        <v>0</v>
      </c>
      <c r="G658" s="221" t="s">
        <v>71</v>
      </c>
      <c r="H658" s="221" t="s">
        <v>71</v>
      </c>
      <c r="I658" s="224"/>
    </row>
    <row r="659" ht="17.25" customHeight="1" spans="1:9" x14ac:dyDescent="0.25">
      <c r="A659" s="220">
        <v>687</v>
      </c>
      <c r="B659" s="221" t="s">
        <v>1669</v>
      </c>
      <c r="C659" s="222" t="s">
        <v>1670</v>
      </c>
      <c r="D659" s="221" t="s">
        <v>106</v>
      </c>
      <c r="E659" s="221" t="s">
        <v>27</v>
      </c>
      <c r="F659" s="223">
        <v>0</v>
      </c>
      <c r="G659" s="221"/>
      <c r="H659" s="221"/>
      <c r="I659" s="224"/>
    </row>
    <row r="660" ht="17.25" customHeight="1" spans="1:9" x14ac:dyDescent="0.25">
      <c r="A660" s="220">
        <v>688</v>
      </c>
      <c r="B660" s="221" t="s">
        <v>1671</v>
      </c>
      <c r="C660" s="222" t="s">
        <v>1672</v>
      </c>
      <c r="D660" s="221" t="s">
        <v>106</v>
      </c>
      <c r="E660" s="221" t="s">
        <v>27</v>
      </c>
      <c r="F660" s="223">
        <v>0</v>
      </c>
      <c r="G660" s="221"/>
      <c r="H660" s="221"/>
      <c r="I660" s="224"/>
    </row>
    <row r="661" ht="17.25" customHeight="1" spans="1:9" x14ac:dyDescent="0.25">
      <c r="A661" s="220">
        <v>689</v>
      </c>
      <c r="B661" s="221" t="s">
        <v>1673</v>
      </c>
      <c r="C661" s="222" t="s">
        <v>1674</v>
      </c>
      <c r="D661" s="221" t="s">
        <v>106</v>
      </c>
      <c r="E661" s="221" t="s">
        <v>27</v>
      </c>
      <c r="F661" s="223">
        <v>0</v>
      </c>
      <c r="G661" s="221"/>
      <c r="H661" s="221"/>
      <c r="I661" s="224"/>
    </row>
    <row r="662" ht="17.25" customHeight="1" spans="1:9" x14ac:dyDescent="0.25">
      <c r="A662" s="220">
        <v>690</v>
      </c>
      <c r="B662" s="221" t="s">
        <v>1675</v>
      </c>
      <c r="C662" s="222" t="s">
        <v>1676</v>
      </c>
      <c r="D662" s="221" t="s">
        <v>106</v>
      </c>
      <c r="E662" s="221" t="s">
        <v>27</v>
      </c>
      <c r="F662" s="223">
        <v>0</v>
      </c>
      <c r="G662" s="221" t="s">
        <v>71</v>
      </c>
      <c r="H662" s="221" t="s">
        <v>71</v>
      </c>
      <c r="I662" s="224"/>
    </row>
    <row r="663" ht="17.25" customHeight="1" spans="1:9" x14ac:dyDescent="0.25">
      <c r="A663" s="220">
        <v>691</v>
      </c>
      <c r="B663" s="221" t="s">
        <v>1677</v>
      </c>
      <c r="C663" s="222" t="s">
        <v>1678</v>
      </c>
      <c r="D663" s="221" t="s">
        <v>106</v>
      </c>
      <c r="E663" s="221" t="s">
        <v>27</v>
      </c>
      <c r="F663" s="223">
        <v>0</v>
      </c>
      <c r="G663" s="221" t="s">
        <v>71</v>
      </c>
      <c r="H663" s="221" t="s">
        <v>71</v>
      </c>
      <c r="I663" s="224"/>
    </row>
    <row r="664" ht="17.25" customHeight="1" spans="1:9" x14ac:dyDescent="0.25">
      <c r="A664" s="220">
        <v>692</v>
      </c>
      <c r="B664" s="221" t="s">
        <v>1679</v>
      </c>
      <c r="C664" s="222" t="s">
        <v>1680</v>
      </c>
      <c r="D664" s="221" t="s">
        <v>106</v>
      </c>
      <c r="E664" s="221" t="s">
        <v>27</v>
      </c>
      <c r="F664" s="223">
        <v>0</v>
      </c>
      <c r="G664" s="221" t="s">
        <v>71</v>
      </c>
      <c r="H664" s="221" t="s">
        <v>71</v>
      </c>
      <c r="I664" s="224"/>
    </row>
    <row r="665" ht="17.25" customHeight="1" spans="1:9" x14ac:dyDescent="0.25">
      <c r="A665" s="220">
        <v>693</v>
      </c>
      <c r="B665" s="221" t="s">
        <v>1681</v>
      </c>
      <c r="C665" s="222" t="s">
        <v>1682</v>
      </c>
      <c r="D665" s="221" t="s">
        <v>106</v>
      </c>
      <c r="E665" s="221" t="s">
        <v>27</v>
      </c>
      <c r="F665" s="223">
        <v>0</v>
      </c>
      <c r="G665" s="221"/>
      <c r="H665" s="221"/>
      <c r="I665" s="224"/>
    </row>
    <row r="666" ht="17.25" customHeight="1" spans="1:9" x14ac:dyDescent="0.25">
      <c r="A666" s="220">
        <v>694</v>
      </c>
      <c r="B666" s="221" t="s">
        <v>1683</v>
      </c>
      <c r="C666" s="222" t="s">
        <v>1684</v>
      </c>
      <c r="D666" s="221" t="s">
        <v>106</v>
      </c>
      <c r="E666" s="221" t="s">
        <v>27</v>
      </c>
      <c r="F666" s="223">
        <v>0</v>
      </c>
      <c r="G666" s="221"/>
      <c r="H666" s="221"/>
      <c r="I666" s="224"/>
    </row>
    <row r="667" ht="17.25" customHeight="1" spans="1:9" x14ac:dyDescent="0.25">
      <c r="A667" s="220">
        <v>695</v>
      </c>
      <c r="B667" s="221" t="s">
        <v>1685</v>
      </c>
      <c r="C667" s="222" t="s">
        <v>1686</v>
      </c>
      <c r="D667" s="221" t="s">
        <v>106</v>
      </c>
      <c r="E667" s="221" t="s">
        <v>27</v>
      </c>
      <c r="F667" s="223">
        <v>0</v>
      </c>
      <c r="G667" s="221"/>
      <c r="H667" s="221"/>
      <c r="I667" s="224"/>
    </row>
    <row r="668" ht="17.25" customHeight="1" spans="1:9" x14ac:dyDescent="0.25">
      <c r="A668" s="220">
        <v>696</v>
      </c>
      <c r="B668" s="221" t="s">
        <v>1687</v>
      </c>
      <c r="C668" s="222" t="s">
        <v>1688</v>
      </c>
      <c r="D668" s="221" t="s">
        <v>106</v>
      </c>
      <c r="E668" s="221" t="s">
        <v>27</v>
      </c>
      <c r="F668" s="223">
        <v>0</v>
      </c>
      <c r="G668" s="221" t="s">
        <v>71</v>
      </c>
      <c r="H668" s="221" t="s">
        <v>71</v>
      </c>
      <c r="I668" s="222"/>
    </row>
    <row r="669" ht="17.25" customHeight="1" spans="1:9" x14ac:dyDescent="0.25">
      <c r="A669" s="220">
        <v>697</v>
      </c>
      <c r="B669" s="221" t="s">
        <v>1689</v>
      </c>
      <c r="C669" s="222" t="s">
        <v>1690</v>
      </c>
      <c r="D669" s="221" t="s">
        <v>106</v>
      </c>
      <c r="E669" s="221" t="s">
        <v>27</v>
      </c>
      <c r="F669" s="223">
        <v>0</v>
      </c>
      <c r="G669" s="221"/>
      <c r="H669" s="221"/>
      <c r="I669" s="224"/>
    </row>
    <row r="670" ht="17.25" customHeight="1" spans="1:9" x14ac:dyDescent="0.25">
      <c r="A670" s="220">
        <v>698</v>
      </c>
      <c r="B670" s="221" t="s">
        <v>1691</v>
      </c>
      <c r="C670" s="222" t="s">
        <v>1692</v>
      </c>
      <c r="D670" s="221" t="s">
        <v>106</v>
      </c>
      <c r="E670" s="221" t="s">
        <v>27</v>
      </c>
      <c r="F670" s="223">
        <v>0</v>
      </c>
      <c r="G670" s="221" t="s">
        <v>71</v>
      </c>
      <c r="H670" s="221" t="s">
        <v>71</v>
      </c>
      <c r="I670" s="224"/>
    </row>
    <row r="671" ht="17.25" customHeight="1" spans="1:9" x14ac:dyDescent="0.25">
      <c r="A671" s="220">
        <v>699</v>
      </c>
      <c r="B671" s="221" t="s">
        <v>1693</v>
      </c>
      <c r="C671" s="222" t="s">
        <v>1694</v>
      </c>
      <c r="D671" s="221" t="s">
        <v>106</v>
      </c>
      <c r="E671" s="221" t="s">
        <v>27</v>
      </c>
      <c r="F671" s="223">
        <v>0</v>
      </c>
      <c r="G671" s="221"/>
      <c r="H671" s="221"/>
      <c r="I671" s="224"/>
    </row>
    <row r="672" ht="17.25" customHeight="1" spans="1:9" x14ac:dyDescent="0.25">
      <c r="A672" s="220">
        <v>700</v>
      </c>
      <c r="B672" s="221" t="s">
        <v>1695</v>
      </c>
      <c r="C672" s="222" t="s">
        <v>1696</v>
      </c>
      <c r="D672" s="221" t="s">
        <v>106</v>
      </c>
      <c r="E672" s="221" t="s">
        <v>27</v>
      </c>
      <c r="F672" s="223">
        <v>0</v>
      </c>
      <c r="G672" s="221" t="s">
        <v>71</v>
      </c>
      <c r="H672" s="221" t="s">
        <v>71</v>
      </c>
      <c r="I672" s="224"/>
    </row>
    <row r="673" ht="17.25" customHeight="1" spans="1:9" x14ac:dyDescent="0.25">
      <c r="A673" s="220">
        <v>701</v>
      </c>
      <c r="B673" s="221" t="s">
        <v>1697</v>
      </c>
      <c r="C673" s="222" t="s">
        <v>1698</v>
      </c>
      <c r="D673" s="221" t="s">
        <v>1699</v>
      </c>
      <c r="E673" s="221" t="s">
        <v>27</v>
      </c>
      <c r="F673" s="223">
        <v>0</v>
      </c>
      <c r="G673" s="221"/>
      <c r="H673" s="221"/>
      <c r="I673" s="224"/>
    </row>
    <row r="674" ht="17.25" customHeight="1" spans="1:9" x14ac:dyDescent="0.25">
      <c r="A674" s="220">
        <v>702</v>
      </c>
      <c r="B674" s="221" t="s">
        <v>1700</v>
      </c>
      <c r="C674" s="222" t="s">
        <v>1701</v>
      </c>
      <c r="D674" s="221" t="s">
        <v>1699</v>
      </c>
      <c r="E674" s="221" t="s">
        <v>27</v>
      </c>
      <c r="F674" s="223">
        <v>0</v>
      </c>
      <c r="G674" s="221"/>
      <c r="H674" s="221"/>
      <c r="I674" s="224"/>
    </row>
    <row r="675" ht="17.25" customHeight="1" spans="1:9" x14ac:dyDescent="0.25">
      <c r="A675" s="220">
        <v>703</v>
      </c>
      <c r="B675" s="221" t="s">
        <v>1702</v>
      </c>
      <c r="C675" s="222" t="s">
        <v>1703</v>
      </c>
      <c r="D675" s="221" t="s">
        <v>1699</v>
      </c>
      <c r="E675" s="221" t="s">
        <v>27</v>
      </c>
      <c r="F675" s="223">
        <v>0</v>
      </c>
      <c r="G675" s="221"/>
      <c r="H675" s="221"/>
      <c r="I675" s="224"/>
    </row>
    <row r="676" ht="17.25" customHeight="1" spans="1:9" x14ac:dyDescent="0.25">
      <c r="A676" s="220">
        <v>704</v>
      </c>
      <c r="B676" s="221" t="s">
        <v>1704</v>
      </c>
      <c r="C676" s="222" t="s">
        <v>1705</v>
      </c>
      <c r="D676" s="221" t="s">
        <v>1699</v>
      </c>
      <c r="E676" s="221" t="s">
        <v>27</v>
      </c>
      <c r="F676" s="223">
        <v>0</v>
      </c>
      <c r="G676" s="221"/>
      <c r="H676" s="221"/>
      <c r="I676" s="224"/>
    </row>
    <row r="677" ht="17.25" customHeight="1" spans="1:9" x14ac:dyDescent="0.25">
      <c r="A677" s="220">
        <v>705</v>
      </c>
      <c r="B677" s="221" t="s">
        <v>1706</v>
      </c>
      <c r="C677" s="222" t="s">
        <v>1707</v>
      </c>
      <c r="D677" s="221" t="s">
        <v>1699</v>
      </c>
      <c r="E677" s="221" t="s">
        <v>27</v>
      </c>
      <c r="F677" s="223">
        <v>0</v>
      </c>
      <c r="G677" s="221"/>
      <c r="H677" s="221"/>
      <c r="I677" s="224"/>
    </row>
    <row r="678" ht="17.25" customHeight="1" spans="1:9" x14ac:dyDescent="0.25">
      <c r="A678" s="220">
        <v>706</v>
      </c>
      <c r="B678" s="221" t="s">
        <v>1708</v>
      </c>
      <c r="C678" s="222" t="s">
        <v>1709</v>
      </c>
      <c r="D678" s="221" t="s">
        <v>1710</v>
      </c>
      <c r="E678" s="221" t="s">
        <v>27</v>
      </c>
      <c r="F678" s="223">
        <v>0</v>
      </c>
      <c r="G678" s="221" t="s">
        <v>48</v>
      </c>
      <c r="H678" s="221" t="s">
        <v>48</v>
      </c>
      <c r="I678" s="224"/>
    </row>
    <row r="679" ht="17.25" customHeight="1" spans="1:9" x14ac:dyDescent="0.25">
      <c r="A679" s="220">
        <v>707</v>
      </c>
      <c r="B679" s="221" t="s">
        <v>1711</v>
      </c>
      <c r="C679" s="222" t="s">
        <v>1712</v>
      </c>
      <c r="D679" s="221" t="s">
        <v>1710</v>
      </c>
      <c r="E679" s="221" t="s">
        <v>27</v>
      </c>
      <c r="F679" s="223">
        <v>0</v>
      </c>
      <c r="G679" s="221" t="s">
        <v>48</v>
      </c>
      <c r="H679" s="221" t="s">
        <v>48</v>
      </c>
      <c r="I679" s="224"/>
    </row>
    <row r="680" ht="17.25" customHeight="1" spans="1:9" x14ac:dyDescent="0.25">
      <c r="A680" s="220">
        <v>708</v>
      </c>
      <c r="B680" s="221" t="s">
        <v>1713</v>
      </c>
      <c r="C680" s="222" t="s">
        <v>1714</v>
      </c>
      <c r="D680" s="221" t="s">
        <v>1710</v>
      </c>
      <c r="E680" s="221" t="s">
        <v>27</v>
      </c>
      <c r="F680" s="223">
        <v>0</v>
      </c>
      <c r="G680" s="221" t="s">
        <v>48</v>
      </c>
      <c r="H680" s="221" t="s">
        <v>48</v>
      </c>
      <c r="I680" s="224"/>
    </row>
    <row r="681" ht="17.25" customHeight="1" spans="1:9" x14ac:dyDescent="0.25">
      <c r="A681" s="220">
        <v>709</v>
      </c>
      <c r="B681" s="221" t="s">
        <v>1715</v>
      </c>
      <c r="C681" s="222" t="s">
        <v>1716</v>
      </c>
      <c r="D681" s="221" t="s">
        <v>1710</v>
      </c>
      <c r="E681" s="221" t="s">
        <v>27</v>
      </c>
      <c r="F681" s="223">
        <v>0</v>
      </c>
      <c r="G681" s="221" t="s">
        <v>48</v>
      </c>
      <c r="H681" s="221" t="s">
        <v>48</v>
      </c>
      <c r="I681" s="224"/>
    </row>
    <row r="682" ht="17.25" customHeight="1" spans="1:9" x14ac:dyDescent="0.25">
      <c r="A682" s="220">
        <v>710</v>
      </c>
      <c r="B682" s="221" t="s">
        <v>1717</v>
      </c>
      <c r="C682" s="222" t="s">
        <v>1718</v>
      </c>
      <c r="D682" s="221" t="s">
        <v>1710</v>
      </c>
      <c r="E682" s="221" t="s">
        <v>27</v>
      </c>
      <c r="F682" s="223">
        <v>0</v>
      </c>
      <c r="G682" s="221" t="s">
        <v>48</v>
      </c>
      <c r="H682" s="221" t="s">
        <v>48</v>
      </c>
      <c r="I682" s="224"/>
    </row>
    <row r="683" ht="17.25" customHeight="1" spans="1:9" x14ac:dyDescent="0.25">
      <c r="A683" s="220">
        <v>711</v>
      </c>
      <c r="B683" s="221" t="s">
        <v>1719</v>
      </c>
      <c r="C683" s="222" t="s">
        <v>1720</v>
      </c>
      <c r="D683" s="221" t="s">
        <v>1710</v>
      </c>
      <c r="E683" s="221" t="s">
        <v>27</v>
      </c>
      <c r="F683" s="223">
        <v>0</v>
      </c>
      <c r="G683" s="221" t="s">
        <v>48</v>
      </c>
      <c r="H683" s="221" t="s">
        <v>48</v>
      </c>
      <c r="I683" s="224"/>
    </row>
    <row r="684" ht="17.25" customHeight="1" spans="1:9" x14ac:dyDescent="0.25">
      <c r="A684" s="220">
        <v>712</v>
      </c>
      <c r="B684" s="221" t="s">
        <v>1721</v>
      </c>
      <c r="C684" s="222" t="s">
        <v>1722</v>
      </c>
      <c r="D684" s="221" t="s">
        <v>1710</v>
      </c>
      <c r="E684" s="221" t="s">
        <v>27</v>
      </c>
      <c r="F684" s="223">
        <v>0</v>
      </c>
      <c r="G684" s="221" t="s">
        <v>48</v>
      </c>
      <c r="H684" s="221" t="s">
        <v>48</v>
      </c>
      <c r="I684" s="222" t="s">
        <v>1723</v>
      </c>
    </row>
    <row r="685" ht="17.25" customHeight="1" spans="1:9" x14ac:dyDescent="0.25">
      <c r="A685" s="220">
        <v>713</v>
      </c>
      <c r="B685" s="221" t="s">
        <v>1724</v>
      </c>
      <c r="C685" s="222" t="s">
        <v>1725</v>
      </c>
      <c r="D685" s="221" t="s">
        <v>1710</v>
      </c>
      <c r="E685" s="221" t="s">
        <v>27</v>
      </c>
      <c r="F685" s="223">
        <v>0</v>
      </c>
      <c r="G685" s="221" t="s">
        <v>48</v>
      </c>
      <c r="H685" s="221" t="s">
        <v>48</v>
      </c>
      <c r="I685" s="224"/>
    </row>
    <row r="686" ht="17.25" customHeight="1" spans="1:9" x14ac:dyDescent="0.25">
      <c r="A686" s="220">
        <v>714</v>
      </c>
      <c r="B686" s="221" t="s">
        <v>1726</v>
      </c>
      <c r="C686" s="222" t="s">
        <v>1727</v>
      </c>
      <c r="D686" s="221" t="s">
        <v>1710</v>
      </c>
      <c r="E686" s="221" t="s">
        <v>27</v>
      </c>
      <c r="F686" s="223">
        <v>0</v>
      </c>
      <c r="G686" s="221" t="s">
        <v>48</v>
      </c>
      <c r="H686" s="221" t="s">
        <v>48</v>
      </c>
      <c r="I686" s="224"/>
    </row>
    <row r="687" ht="17.25" customHeight="1" spans="1:9" x14ac:dyDescent="0.25">
      <c r="A687" s="220">
        <v>715</v>
      </c>
      <c r="B687" s="221" t="s">
        <v>1728</v>
      </c>
      <c r="C687" s="222" t="s">
        <v>1729</v>
      </c>
      <c r="D687" s="221" t="s">
        <v>1710</v>
      </c>
      <c r="E687" s="221" t="s">
        <v>27</v>
      </c>
      <c r="F687" s="223">
        <v>0</v>
      </c>
      <c r="G687" s="221" t="s">
        <v>48</v>
      </c>
      <c r="H687" s="221" t="s">
        <v>48</v>
      </c>
      <c r="I687" s="224"/>
    </row>
    <row r="688" ht="17.25" customHeight="1" spans="1:9" x14ac:dyDescent="0.25">
      <c r="A688" s="220">
        <v>716</v>
      </c>
      <c r="B688" s="221" t="s">
        <v>1730</v>
      </c>
      <c r="C688" s="222" t="s">
        <v>1731</v>
      </c>
      <c r="D688" s="221" t="s">
        <v>1710</v>
      </c>
      <c r="E688" s="221" t="s">
        <v>27</v>
      </c>
      <c r="F688" s="223">
        <v>0</v>
      </c>
      <c r="G688" s="221" t="s">
        <v>48</v>
      </c>
      <c r="H688" s="221" t="s">
        <v>48</v>
      </c>
      <c r="I688" s="224"/>
    </row>
    <row r="689" ht="17.25" customHeight="1" spans="1:9" x14ac:dyDescent="0.25">
      <c r="A689" s="220">
        <v>717</v>
      </c>
      <c r="B689" s="221" t="s">
        <v>1732</v>
      </c>
      <c r="C689" s="222" t="s">
        <v>1733</v>
      </c>
      <c r="D689" s="221" t="s">
        <v>1734</v>
      </c>
      <c r="E689" s="221" t="s">
        <v>28</v>
      </c>
      <c r="F689" s="223">
        <v>4500</v>
      </c>
      <c r="G689" s="221" t="s">
        <v>71</v>
      </c>
      <c r="H689" s="221" t="s">
        <v>71</v>
      </c>
      <c r="I689" s="222"/>
    </row>
    <row r="690" ht="17.25" customHeight="1" spans="1:9" x14ac:dyDescent="0.25">
      <c r="A690" s="220">
        <v>718</v>
      </c>
      <c r="B690" s="221" t="s">
        <v>1735</v>
      </c>
      <c r="C690" s="222" t="s">
        <v>1736</v>
      </c>
      <c r="D690" s="221" t="s">
        <v>1737</v>
      </c>
      <c r="E690" s="221" t="s">
        <v>28</v>
      </c>
      <c r="F690" s="223">
        <v>0</v>
      </c>
      <c r="G690" s="221" t="s">
        <v>71</v>
      </c>
      <c r="H690" s="221" t="s">
        <v>71</v>
      </c>
      <c r="I690" s="222"/>
    </row>
    <row r="691" ht="17.25" customHeight="1" spans="1:9" x14ac:dyDescent="0.25">
      <c r="A691" s="220">
        <v>719</v>
      </c>
      <c r="B691" s="221" t="s">
        <v>1738</v>
      </c>
      <c r="C691" s="222" t="s">
        <v>1739</v>
      </c>
      <c r="D691" s="221" t="s">
        <v>1737</v>
      </c>
      <c r="E691" s="221" t="s">
        <v>28</v>
      </c>
      <c r="F691" s="223">
        <v>0</v>
      </c>
      <c r="G691" s="221" t="s">
        <v>71</v>
      </c>
      <c r="H691" s="221" t="s">
        <v>71</v>
      </c>
      <c r="I691" s="222"/>
    </row>
    <row r="692" ht="17.25" customHeight="1" spans="1:9" x14ac:dyDescent="0.25">
      <c r="A692" s="220">
        <v>720</v>
      </c>
      <c r="B692" s="221" t="s">
        <v>1740</v>
      </c>
      <c r="C692" s="222" t="s">
        <v>1741</v>
      </c>
      <c r="D692" s="221" t="s">
        <v>1737</v>
      </c>
      <c r="E692" s="221" t="s">
        <v>28</v>
      </c>
      <c r="F692" s="223">
        <v>7500</v>
      </c>
      <c r="G692" s="221" t="s">
        <v>71</v>
      </c>
      <c r="H692" s="221" t="s">
        <v>71</v>
      </c>
      <c r="I692" s="222"/>
    </row>
    <row r="693" ht="17.25" customHeight="1" spans="1:9" x14ac:dyDescent="0.25">
      <c r="A693" s="220">
        <v>721</v>
      </c>
      <c r="B693" s="221" t="s">
        <v>1742</v>
      </c>
      <c r="C693" s="222" t="s">
        <v>1743</v>
      </c>
      <c r="D693" s="221" t="s">
        <v>1737</v>
      </c>
      <c r="E693" s="221" t="s">
        <v>28</v>
      </c>
      <c r="F693" s="223">
        <v>8200</v>
      </c>
      <c r="G693" s="221" t="s">
        <v>71</v>
      </c>
      <c r="H693" s="221" t="s">
        <v>71</v>
      </c>
      <c r="I693" s="222"/>
    </row>
    <row r="694" ht="17.25" customHeight="1" spans="1:9" x14ac:dyDescent="0.25">
      <c r="A694" s="220">
        <v>722</v>
      </c>
      <c r="B694" s="221" t="s">
        <v>1744</v>
      </c>
      <c r="C694" s="222" t="s">
        <v>1745</v>
      </c>
      <c r="D694" s="221" t="s">
        <v>1737</v>
      </c>
      <c r="E694" s="221" t="s">
        <v>28</v>
      </c>
      <c r="F694" s="223">
        <v>0</v>
      </c>
      <c r="G694" s="221" t="s">
        <v>71</v>
      </c>
      <c r="H694" s="221" t="s">
        <v>71</v>
      </c>
      <c r="I694" s="222"/>
    </row>
    <row r="695" ht="17.25" customHeight="1" spans="1:9" x14ac:dyDescent="0.25">
      <c r="A695" s="220">
        <v>723</v>
      </c>
      <c r="B695" s="221" t="s">
        <v>1746</v>
      </c>
      <c r="C695" s="222" t="s">
        <v>1747</v>
      </c>
      <c r="D695" s="221" t="s">
        <v>1737</v>
      </c>
      <c r="E695" s="221" t="s">
        <v>28</v>
      </c>
      <c r="F695" s="223">
        <v>8500</v>
      </c>
      <c r="G695" s="221" t="s">
        <v>71</v>
      </c>
      <c r="H695" s="221" t="s">
        <v>71</v>
      </c>
      <c r="I695" s="222"/>
    </row>
    <row r="696" ht="17.25" customHeight="1" spans="1:9" x14ac:dyDescent="0.25">
      <c r="A696" s="220">
        <v>724</v>
      </c>
      <c r="B696" s="221" t="s">
        <v>1748</v>
      </c>
      <c r="C696" s="222" t="s">
        <v>1749</v>
      </c>
      <c r="D696" s="221" t="s">
        <v>1750</v>
      </c>
      <c r="E696" s="221" t="s">
        <v>27</v>
      </c>
      <c r="F696" s="223">
        <v>0</v>
      </c>
      <c r="G696" s="221"/>
      <c r="H696" s="221"/>
      <c r="I696" s="224"/>
    </row>
    <row r="697" ht="17.25" customHeight="1" spans="1:9" x14ac:dyDescent="0.25">
      <c r="A697" s="220">
        <v>725</v>
      </c>
      <c r="B697" s="221" t="s">
        <v>1751</v>
      </c>
      <c r="C697" s="222" t="s">
        <v>1752</v>
      </c>
      <c r="D697" s="221" t="s">
        <v>1750</v>
      </c>
      <c r="E697" s="221" t="s">
        <v>27</v>
      </c>
      <c r="F697" s="223">
        <v>0</v>
      </c>
      <c r="G697" s="221"/>
      <c r="H697" s="221"/>
      <c r="I697" s="224"/>
    </row>
    <row r="698" ht="17.25" customHeight="1" spans="1:9" x14ac:dyDescent="0.25">
      <c r="A698" s="220">
        <v>726</v>
      </c>
      <c r="B698" s="221" t="s">
        <v>1753</v>
      </c>
      <c r="C698" s="222" t="s">
        <v>1754</v>
      </c>
      <c r="D698" s="221" t="s">
        <v>1750</v>
      </c>
      <c r="E698" s="221" t="s">
        <v>27</v>
      </c>
      <c r="F698" s="223">
        <v>0</v>
      </c>
      <c r="G698" s="221"/>
      <c r="H698" s="221"/>
      <c r="I698" s="224"/>
    </row>
    <row r="699" ht="17.25" customHeight="1" spans="1:9" x14ac:dyDescent="0.25">
      <c r="A699" s="220">
        <v>727</v>
      </c>
      <c r="B699" s="221" t="s">
        <v>1755</v>
      </c>
      <c r="C699" s="222" t="s">
        <v>1756</v>
      </c>
      <c r="D699" s="221" t="s">
        <v>1750</v>
      </c>
      <c r="E699" s="221" t="s">
        <v>27</v>
      </c>
      <c r="F699" s="223">
        <v>0</v>
      </c>
      <c r="G699" s="221"/>
      <c r="H699" s="221"/>
      <c r="I699" s="224"/>
    </row>
    <row r="700" ht="17.25" customHeight="1" spans="1:9" x14ac:dyDescent="0.25">
      <c r="A700" s="220">
        <v>728</v>
      </c>
      <c r="B700" s="221" t="s">
        <v>1757</v>
      </c>
      <c r="C700" s="222" t="s">
        <v>1758</v>
      </c>
      <c r="D700" s="221" t="s">
        <v>1750</v>
      </c>
      <c r="E700" s="221" t="s">
        <v>27</v>
      </c>
      <c r="F700" s="223">
        <v>0</v>
      </c>
      <c r="G700" s="221"/>
      <c r="H700" s="221"/>
      <c r="I700" s="224"/>
    </row>
    <row r="701" ht="17.25" customHeight="1" spans="1:9" x14ac:dyDescent="0.25">
      <c r="A701" s="220">
        <v>729</v>
      </c>
      <c r="B701" s="221" t="s">
        <v>1759</v>
      </c>
      <c r="C701" s="222" t="s">
        <v>1760</v>
      </c>
      <c r="D701" s="221" t="s">
        <v>1750</v>
      </c>
      <c r="E701" s="221" t="s">
        <v>27</v>
      </c>
      <c r="F701" s="223">
        <v>0</v>
      </c>
      <c r="G701" s="221"/>
      <c r="H701" s="221"/>
      <c r="I701" s="224"/>
    </row>
    <row r="702" ht="17.25" customHeight="1" spans="1:9" x14ac:dyDescent="0.25">
      <c r="A702" s="220">
        <v>730</v>
      </c>
      <c r="B702" s="221" t="s">
        <v>1761</v>
      </c>
      <c r="C702" s="222" t="s">
        <v>1762</v>
      </c>
      <c r="D702" s="221" t="s">
        <v>1750</v>
      </c>
      <c r="E702" s="221" t="s">
        <v>27</v>
      </c>
      <c r="F702" s="223">
        <v>0</v>
      </c>
      <c r="G702" s="221"/>
      <c r="H702" s="221"/>
      <c r="I702" s="224"/>
    </row>
    <row r="703" ht="17.25" customHeight="1" spans="1:9" x14ac:dyDescent="0.25">
      <c r="A703" s="220">
        <v>731</v>
      </c>
      <c r="B703" s="221" t="s">
        <v>1763</v>
      </c>
      <c r="C703" s="222" t="s">
        <v>1764</v>
      </c>
      <c r="D703" s="221" t="s">
        <v>1750</v>
      </c>
      <c r="E703" s="221" t="s">
        <v>27</v>
      </c>
      <c r="F703" s="223">
        <v>0</v>
      </c>
      <c r="G703" s="221"/>
      <c r="H703" s="221"/>
      <c r="I703" s="224"/>
    </row>
    <row r="704" ht="17.25" customHeight="1" spans="1:9" x14ac:dyDescent="0.25">
      <c r="A704" s="220">
        <v>732</v>
      </c>
      <c r="B704" s="221" t="s">
        <v>1765</v>
      </c>
      <c r="C704" s="222" t="s">
        <v>1766</v>
      </c>
      <c r="D704" s="221" t="s">
        <v>1750</v>
      </c>
      <c r="E704" s="221" t="s">
        <v>27</v>
      </c>
      <c r="F704" s="223">
        <v>0</v>
      </c>
      <c r="G704" s="221"/>
      <c r="H704" s="221"/>
      <c r="I704" s="224"/>
    </row>
    <row r="705" ht="17.25" customHeight="1" spans="1:9" x14ac:dyDescent="0.25">
      <c r="A705" s="220">
        <v>733</v>
      </c>
      <c r="B705" s="221" t="s">
        <v>1767</v>
      </c>
      <c r="C705" s="222" t="s">
        <v>1768</v>
      </c>
      <c r="D705" s="221" t="s">
        <v>1750</v>
      </c>
      <c r="E705" s="221" t="s">
        <v>27</v>
      </c>
      <c r="F705" s="223">
        <v>0</v>
      </c>
      <c r="G705" s="221"/>
      <c r="H705" s="221"/>
      <c r="I705" s="224"/>
    </row>
    <row r="706" ht="17.25" customHeight="1" spans="1:9" x14ac:dyDescent="0.25">
      <c r="A706" s="220">
        <v>734</v>
      </c>
      <c r="B706" s="221" t="s">
        <v>1769</v>
      </c>
      <c r="C706" s="222" t="s">
        <v>1770</v>
      </c>
      <c r="D706" s="221" t="s">
        <v>1750</v>
      </c>
      <c r="E706" s="221" t="s">
        <v>27</v>
      </c>
      <c r="F706" s="223">
        <v>0</v>
      </c>
      <c r="G706" s="221"/>
      <c r="H706" s="221"/>
      <c r="I706" s="224"/>
    </row>
    <row r="707" ht="17.25" customHeight="1" spans="1:9" x14ac:dyDescent="0.25">
      <c r="A707" s="220">
        <v>735</v>
      </c>
      <c r="B707" s="221" t="s">
        <v>1771</v>
      </c>
      <c r="C707" s="222" t="s">
        <v>1772</v>
      </c>
      <c r="D707" s="221" t="s">
        <v>1750</v>
      </c>
      <c r="E707" s="221" t="s">
        <v>27</v>
      </c>
      <c r="F707" s="223">
        <v>0</v>
      </c>
      <c r="G707" s="221"/>
      <c r="H707" s="221"/>
      <c r="I707" s="224"/>
    </row>
    <row r="708" ht="17.25" customHeight="1" spans="1:9" x14ac:dyDescent="0.25">
      <c r="A708" s="220">
        <v>736</v>
      </c>
      <c r="B708" s="221" t="s">
        <v>1773</v>
      </c>
      <c r="C708" s="222" t="s">
        <v>1774</v>
      </c>
      <c r="D708" s="221" t="s">
        <v>1775</v>
      </c>
      <c r="E708" s="221" t="s">
        <v>27</v>
      </c>
      <c r="F708" s="223">
        <v>0</v>
      </c>
      <c r="G708" s="221" t="s">
        <v>71</v>
      </c>
      <c r="H708" s="221" t="s">
        <v>71</v>
      </c>
      <c r="I708" s="224"/>
    </row>
    <row r="709" ht="17.25" customHeight="1" spans="1:9" x14ac:dyDescent="0.25">
      <c r="A709" s="220">
        <v>737</v>
      </c>
      <c r="B709" s="221" t="s">
        <v>1776</v>
      </c>
      <c r="C709" s="222" t="s">
        <v>1777</v>
      </c>
      <c r="D709" s="221" t="s">
        <v>1778</v>
      </c>
      <c r="E709" s="221" t="s">
        <v>27</v>
      </c>
      <c r="F709" s="223">
        <v>0</v>
      </c>
      <c r="G709" s="221"/>
      <c r="H709" s="221"/>
      <c r="I709" s="224"/>
    </row>
    <row r="710" ht="17.25" customHeight="1" spans="1:9" x14ac:dyDescent="0.25">
      <c r="A710" s="220">
        <v>738</v>
      </c>
      <c r="B710" s="221" t="s">
        <v>1779</v>
      </c>
      <c r="C710" s="222" t="s">
        <v>1780</v>
      </c>
      <c r="D710" s="221" t="s">
        <v>1778</v>
      </c>
      <c r="E710" s="221" t="s">
        <v>27</v>
      </c>
      <c r="F710" s="223">
        <v>0</v>
      </c>
      <c r="G710" s="221"/>
      <c r="H710" s="221"/>
      <c r="I710" s="224"/>
    </row>
    <row r="711" ht="17.25" customHeight="1" spans="1:9" x14ac:dyDescent="0.25">
      <c r="A711" s="220">
        <v>739</v>
      </c>
      <c r="B711" s="221" t="s">
        <v>1781</v>
      </c>
      <c r="C711" s="222" t="s">
        <v>1782</v>
      </c>
      <c r="D711" s="221" t="s">
        <v>1778</v>
      </c>
      <c r="E711" s="221" t="s">
        <v>27</v>
      </c>
      <c r="F711" s="223">
        <v>0</v>
      </c>
      <c r="G711" s="221"/>
      <c r="H711" s="221"/>
      <c r="I711" s="224"/>
    </row>
    <row r="712" ht="17.25" customHeight="1" spans="1:9" x14ac:dyDescent="0.25">
      <c r="A712" s="220">
        <v>740</v>
      </c>
      <c r="B712" s="221" t="s">
        <v>1783</v>
      </c>
      <c r="C712" s="222" t="s">
        <v>1784</v>
      </c>
      <c r="D712" s="221" t="s">
        <v>1778</v>
      </c>
      <c r="E712" s="221" t="s">
        <v>27</v>
      </c>
      <c r="F712" s="223">
        <v>0</v>
      </c>
      <c r="G712" s="221"/>
      <c r="H712" s="221"/>
      <c r="I712" s="224"/>
    </row>
    <row r="713" ht="17.25" customHeight="1" spans="1:9" x14ac:dyDescent="0.25">
      <c r="A713" s="220">
        <v>741</v>
      </c>
      <c r="B713" s="221" t="s">
        <v>1785</v>
      </c>
      <c r="C713" s="222" t="s">
        <v>1786</v>
      </c>
      <c r="D713" s="221" t="s">
        <v>1787</v>
      </c>
      <c r="E713" s="221" t="s">
        <v>27</v>
      </c>
      <c r="F713" s="223">
        <v>0</v>
      </c>
      <c r="G713" s="221" t="s">
        <v>71</v>
      </c>
      <c r="H713" s="221" t="s">
        <v>71</v>
      </c>
      <c r="I713" s="224"/>
    </row>
    <row r="714" ht="17.25" customHeight="1" spans="1:9" x14ac:dyDescent="0.25">
      <c r="A714" s="220">
        <v>742</v>
      </c>
      <c r="B714" s="221" t="s">
        <v>1788</v>
      </c>
      <c r="C714" s="222" t="s">
        <v>1789</v>
      </c>
      <c r="D714" s="221" t="s">
        <v>1787</v>
      </c>
      <c r="E714" s="221" t="s">
        <v>27</v>
      </c>
      <c r="F714" s="223">
        <v>0</v>
      </c>
      <c r="G714" s="221" t="s">
        <v>71</v>
      </c>
      <c r="H714" s="221" t="s">
        <v>71</v>
      </c>
      <c r="I714" s="224"/>
    </row>
    <row r="715" ht="17.25" customHeight="1" spans="1:9" x14ac:dyDescent="0.25">
      <c r="A715" s="220">
        <v>743</v>
      </c>
      <c r="B715" s="221" t="s">
        <v>1790</v>
      </c>
      <c r="C715" s="222" t="s">
        <v>1791</v>
      </c>
      <c r="D715" s="221" t="s">
        <v>1787</v>
      </c>
      <c r="E715" s="221" t="s">
        <v>27</v>
      </c>
      <c r="F715" s="223">
        <v>0</v>
      </c>
      <c r="G715" s="221" t="s">
        <v>71</v>
      </c>
      <c r="H715" s="221" t="s">
        <v>71</v>
      </c>
      <c r="I715" s="224"/>
    </row>
    <row r="716" ht="17.25" customHeight="1" spans="1:9" x14ac:dyDescent="0.25">
      <c r="A716" s="220">
        <v>744</v>
      </c>
      <c r="B716" s="221" t="s">
        <v>1792</v>
      </c>
      <c r="C716" s="222" t="s">
        <v>1793</v>
      </c>
      <c r="D716" s="221" t="s">
        <v>1787</v>
      </c>
      <c r="E716" s="221" t="s">
        <v>27</v>
      </c>
      <c r="F716" s="223">
        <v>0</v>
      </c>
      <c r="G716" s="221" t="s">
        <v>71</v>
      </c>
      <c r="H716" s="221" t="s">
        <v>71</v>
      </c>
      <c r="I716" s="224"/>
    </row>
    <row r="717" ht="17.25" customHeight="1" spans="1:9" x14ac:dyDescent="0.25">
      <c r="A717" s="220">
        <v>745</v>
      </c>
      <c r="B717" s="221" t="s">
        <v>1794</v>
      </c>
      <c r="C717" s="222" t="s">
        <v>1795</v>
      </c>
      <c r="D717" s="221" t="s">
        <v>1787</v>
      </c>
      <c r="E717" s="221" t="s">
        <v>27</v>
      </c>
      <c r="F717" s="223">
        <v>0</v>
      </c>
      <c r="G717" s="221" t="s">
        <v>71</v>
      </c>
      <c r="H717" s="221" t="s">
        <v>71</v>
      </c>
      <c r="I717" s="224"/>
    </row>
    <row r="718" ht="17.25" customHeight="1" spans="1:9" x14ac:dyDescent="0.25">
      <c r="A718" s="220">
        <v>746</v>
      </c>
      <c r="B718" s="221" t="s">
        <v>1796</v>
      </c>
      <c r="C718" s="222" t="s">
        <v>1797</v>
      </c>
      <c r="D718" s="221" t="s">
        <v>1787</v>
      </c>
      <c r="E718" s="221" t="s">
        <v>27</v>
      </c>
      <c r="F718" s="223">
        <v>0</v>
      </c>
      <c r="G718" s="221" t="s">
        <v>71</v>
      </c>
      <c r="H718" s="221" t="s">
        <v>71</v>
      </c>
      <c r="I718" s="224"/>
    </row>
    <row r="719" ht="17.25" customHeight="1" spans="1:9" x14ac:dyDescent="0.25">
      <c r="A719" s="220">
        <v>747</v>
      </c>
      <c r="B719" s="221" t="s">
        <v>1798</v>
      </c>
      <c r="C719" s="222" t="s">
        <v>1799</v>
      </c>
      <c r="D719" s="221" t="s">
        <v>1787</v>
      </c>
      <c r="E719" s="221" t="s">
        <v>27</v>
      </c>
      <c r="F719" s="223">
        <v>0</v>
      </c>
      <c r="G719" s="221" t="s">
        <v>71</v>
      </c>
      <c r="H719" s="221" t="s">
        <v>71</v>
      </c>
      <c r="I719" s="224"/>
    </row>
    <row r="720" ht="17.25" customHeight="1" spans="1:9" x14ac:dyDescent="0.25">
      <c r="A720" s="220">
        <v>748</v>
      </c>
      <c r="B720" s="221" t="s">
        <v>1800</v>
      </c>
      <c r="C720" s="222" t="s">
        <v>1801</v>
      </c>
      <c r="D720" s="221" t="s">
        <v>1787</v>
      </c>
      <c r="E720" s="221" t="s">
        <v>27</v>
      </c>
      <c r="F720" s="223">
        <v>0</v>
      </c>
      <c r="G720" s="221" t="s">
        <v>71</v>
      </c>
      <c r="H720" s="221" t="s">
        <v>71</v>
      </c>
      <c r="I720" s="224"/>
    </row>
    <row r="721" ht="17.25" customHeight="1" spans="1:9" x14ac:dyDescent="0.25">
      <c r="A721" s="220">
        <v>749</v>
      </c>
      <c r="B721" s="221" t="s">
        <v>1802</v>
      </c>
      <c r="C721" s="222" t="s">
        <v>1803</v>
      </c>
      <c r="D721" s="221" t="s">
        <v>1787</v>
      </c>
      <c r="E721" s="221" t="s">
        <v>27</v>
      </c>
      <c r="F721" s="223">
        <v>0</v>
      </c>
      <c r="G721" s="221" t="s">
        <v>71</v>
      </c>
      <c r="H721" s="221" t="s">
        <v>71</v>
      </c>
      <c r="I721" s="224"/>
    </row>
    <row r="722" ht="17.25" customHeight="1" spans="1:9" x14ac:dyDescent="0.25">
      <c r="A722" s="220">
        <v>750</v>
      </c>
      <c r="B722" s="221" t="s">
        <v>1804</v>
      </c>
      <c r="C722" s="222" t="s">
        <v>1805</v>
      </c>
      <c r="D722" s="221" t="s">
        <v>1787</v>
      </c>
      <c r="E722" s="221" t="s">
        <v>27</v>
      </c>
      <c r="F722" s="223">
        <v>0</v>
      </c>
      <c r="G722" s="221" t="s">
        <v>71</v>
      </c>
      <c r="H722" s="221" t="s">
        <v>71</v>
      </c>
      <c r="I722" s="224"/>
    </row>
    <row r="723" ht="17.25" customHeight="1" spans="1:9" x14ac:dyDescent="0.25">
      <c r="A723" s="220">
        <v>751</v>
      </c>
      <c r="B723" s="221" t="s">
        <v>1806</v>
      </c>
      <c r="C723" s="222" t="s">
        <v>1807</v>
      </c>
      <c r="D723" s="221" t="s">
        <v>1787</v>
      </c>
      <c r="E723" s="221" t="s">
        <v>27</v>
      </c>
      <c r="F723" s="223">
        <v>0</v>
      </c>
      <c r="G723" s="221" t="s">
        <v>71</v>
      </c>
      <c r="H723" s="221" t="s">
        <v>71</v>
      </c>
      <c r="I723" s="224"/>
    </row>
    <row r="724" ht="17.25" customHeight="1" spans="1:9" x14ac:dyDescent="0.25">
      <c r="A724" s="220">
        <v>752</v>
      </c>
      <c r="B724" s="221" t="s">
        <v>1808</v>
      </c>
      <c r="C724" s="222" t="s">
        <v>1809</v>
      </c>
      <c r="D724" s="221" t="s">
        <v>1787</v>
      </c>
      <c r="E724" s="221" t="s">
        <v>27</v>
      </c>
      <c r="F724" s="223">
        <v>0</v>
      </c>
      <c r="G724" s="221" t="s">
        <v>71</v>
      </c>
      <c r="H724" s="221" t="s">
        <v>71</v>
      </c>
      <c r="I724" s="224"/>
    </row>
    <row r="725" ht="17.25" customHeight="1" spans="1:9" x14ac:dyDescent="0.25">
      <c r="A725" s="220">
        <v>753</v>
      </c>
      <c r="B725" s="221" t="s">
        <v>1810</v>
      </c>
      <c r="C725" s="222" t="s">
        <v>1811</v>
      </c>
      <c r="D725" s="221" t="s">
        <v>1787</v>
      </c>
      <c r="E725" s="221" t="s">
        <v>27</v>
      </c>
      <c r="F725" s="223">
        <v>0</v>
      </c>
      <c r="G725" s="221" t="s">
        <v>71</v>
      </c>
      <c r="H725" s="221" t="s">
        <v>71</v>
      </c>
      <c r="I725" s="224"/>
    </row>
    <row r="726" ht="17.25" customHeight="1" spans="1:9" x14ac:dyDescent="0.25">
      <c r="A726" s="220">
        <v>754</v>
      </c>
      <c r="B726" s="221" t="s">
        <v>1812</v>
      </c>
      <c r="C726" s="222" t="s">
        <v>1813</v>
      </c>
      <c r="D726" s="221" t="s">
        <v>1787</v>
      </c>
      <c r="E726" s="221" t="s">
        <v>27</v>
      </c>
      <c r="F726" s="223">
        <v>0</v>
      </c>
      <c r="G726" s="221" t="s">
        <v>71</v>
      </c>
      <c r="H726" s="221" t="s">
        <v>71</v>
      </c>
      <c r="I726" s="224"/>
    </row>
    <row r="727" ht="17.25" customHeight="1" spans="1:9" x14ac:dyDescent="0.25">
      <c r="A727" s="220">
        <v>755</v>
      </c>
      <c r="B727" s="221" t="s">
        <v>1814</v>
      </c>
      <c r="C727" s="222" t="s">
        <v>1815</v>
      </c>
      <c r="D727" s="221" t="s">
        <v>1787</v>
      </c>
      <c r="E727" s="221" t="s">
        <v>27</v>
      </c>
      <c r="F727" s="223">
        <v>0</v>
      </c>
      <c r="G727" s="221" t="s">
        <v>71</v>
      </c>
      <c r="H727" s="221" t="s">
        <v>71</v>
      </c>
      <c r="I727" s="224"/>
    </row>
    <row r="728" ht="17.25" customHeight="1" spans="1:9" x14ac:dyDescent="0.25">
      <c r="A728" s="220">
        <v>756</v>
      </c>
      <c r="B728" s="221" t="s">
        <v>1816</v>
      </c>
      <c r="C728" s="222" t="s">
        <v>1817</v>
      </c>
      <c r="D728" s="221" t="s">
        <v>1787</v>
      </c>
      <c r="E728" s="221" t="s">
        <v>27</v>
      </c>
      <c r="F728" s="223">
        <v>0</v>
      </c>
      <c r="G728" s="221" t="s">
        <v>48</v>
      </c>
      <c r="H728" s="221" t="s">
        <v>48</v>
      </c>
      <c r="I728" s="222"/>
    </row>
    <row r="729" ht="17.25" customHeight="1" spans="1:9" x14ac:dyDescent="0.25">
      <c r="A729" s="220">
        <v>757</v>
      </c>
      <c r="B729" s="221" t="s">
        <v>1818</v>
      </c>
      <c r="C729" s="222" t="s">
        <v>1819</v>
      </c>
      <c r="D729" s="221" t="s">
        <v>1787</v>
      </c>
      <c r="E729" s="221" t="s">
        <v>27</v>
      </c>
      <c r="F729" s="223">
        <v>0</v>
      </c>
      <c r="G729" s="221" t="s">
        <v>71</v>
      </c>
      <c r="H729" s="221" t="s">
        <v>71</v>
      </c>
      <c r="I729" s="224"/>
    </row>
    <row r="730" ht="17.25" customHeight="1" spans="1:9" x14ac:dyDescent="0.25">
      <c r="A730" s="220">
        <v>758</v>
      </c>
      <c r="B730" s="221" t="s">
        <v>1820</v>
      </c>
      <c r="C730" s="222" t="s">
        <v>1821</v>
      </c>
      <c r="D730" s="221" t="s">
        <v>1787</v>
      </c>
      <c r="E730" s="221" t="s">
        <v>27</v>
      </c>
      <c r="F730" s="223">
        <v>0</v>
      </c>
      <c r="G730" s="221" t="s">
        <v>71</v>
      </c>
      <c r="H730" s="221" t="s">
        <v>71</v>
      </c>
      <c r="I730" s="224"/>
    </row>
    <row r="731" ht="17.25" customHeight="1" spans="1:9" x14ac:dyDescent="0.25">
      <c r="A731" s="220">
        <v>759</v>
      </c>
      <c r="B731" s="221" t="s">
        <v>1822</v>
      </c>
      <c r="C731" s="222" t="s">
        <v>1823</v>
      </c>
      <c r="D731" s="221" t="s">
        <v>1787</v>
      </c>
      <c r="E731" s="221" t="s">
        <v>27</v>
      </c>
      <c r="F731" s="223">
        <v>0</v>
      </c>
      <c r="G731" s="221" t="s">
        <v>71</v>
      </c>
      <c r="H731" s="221" t="s">
        <v>71</v>
      </c>
      <c r="I731" s="224"/>
    </row>
    <row r="732" ht="17.25" customHeight="1" spans="1:9" x14ac:dyDescent="0.25">
      <c r="A732" s="220">
        <v>760</v>
      </c>
      <c r="B732" s="221" t="s">
        <v>1824</v>
      </c>
      <c r="C732" s="222" t="s">
        <v>1825</v>
      </c>
      <c r="D732" s="221" t="s">
        <v>1787</v>
      </c>
      <c r="E732" s="221" t="s">
        <v>27</v>
      </c>
      <c r="F732" s="223">
        <v>0</v>
      </c>
      <c r="G732" s="221" t="s">
        <v>71</v>
      </c>
      <c r="H732" s="221" t="s">
        <v>71</v>
      </c>
      <c r="I732" s="224"/>
    </row>
    <row r="733" ht="17.25" customHeight="1" spans="1:9" x14ac:dyDescent="0.25">
      <c r="A733" s="220">
        <v>761</v>
      </c>
      <c r="B733" s="221" t="s">
        <v>1826</v>
      </c>
      <c r="C733" s="222" t="s">
        <v>1827</v>
      </c>
      <c r="D733" s="221" t="s">
        <v>1787</v>
      </c>
      <c r="E733" s="221" t="s">
        <v>27</v>
      </c>
      <c r="F733" s="223">
        <v>0</v>
      </c>
      <c r="G733" s="221" t="s">
        <v>71</v>
      </c>
      <c r="H733" s="221" t="s">
        <v>71</v>
      </c>
      <c r="I733" s="224"/>
    </row>
    <row r="734" ht="17.25" customHeight="1" spans="1:9" x14ac:dyDescent="0.25">
      <c r="A734" s="220">
        <v>762</v>
      </c>
      <c r="B734" s="221" t="s">
        <v>1828</v>
      </c>
      <c r="C734" s="222" t="s">
        <v>1829</v>
      </c>
      <c r="D734" s="221" t="s">
        <v>1787</v>
      </c>
      <c r="E734" s="221" t="s">
        <v>27</v>
      </c>
      <c r="F734" s="223">
        <v>0</v>
      </c>
      <c r="G734" s="221" t="s">
        <v>71</v>
      </c>
      <c r="H734" s="221" t="s">
        <v>71</v>
      </c>
      <c r="I734" s="224"/>
    </row>
    <row r="735" ht="17.25" customHeight="1" spans="1:9" x14ac:dyDescent="0.25">
      <c r="A735" s="220">
        <v>763</v>
      </c>
      <c r="B735" s="221" t="s">
        <v>1830</v>
      </c>
      <c r="C735" s="222" t="s">
        <v>1831</v>
      </c>
      <c r="D735" s="221" t="s">
        <v>1787</v>
      </c>
      <c r="E735" s="221" t="s">
        <v>27</v>
      </c>
      <c r="F735" s="223">
        <v>0</v>
      </c>
      <c r="G735" s="221" t="s">
        <v>71</v>
      </c>
      <c r="H735" s="221" t="s">
        <v>71</v>
      </c>
      <c r="I735" s="224"/>
    </row>
    <row r="736" ht="17.25" customHeight="1" spans="1:9" x14ac:dyDescent="0.25">
      <c r="A736" s="220">
        <v>764</v>
      </c>
      <c r="B736" s="221" t="s">
        <v>1832</v>
      </c>
      <c r="C736" s="222" t="s">
        <v>1833</v>
      </c>
      <c r="D736" s="221" t="s">
        <v>1787</v>
      </c>
      <c r="E736" s="221" t="s">
        <v>27</v>
      </c>
      <c r="F736" s="223">
        <v>0</v>
      </c>
      <c r="G736" s="221" t="s">
        <v>71</v>
      </c>
      <c r="H736" s="221" t="s">
        <v>71</v>
      </c>
      <c r="I736" s="224"/>
    </row>
    <row r="737" ht="17.25" customHeight="1" spans="1:9" x14ac:dyDescent="0.25">
      <c r="A737" s="220">
        <v>765</v>
      </c>
      <c r="B737" s="221" t="s">
        <v>1834</v>
      </c>
      <c r="C737" s="222" t="s">
        <v>1835</v>
      </c>
      <c r="D737" s="221" t="s">
        <v>1787</v>
      </c>
      <c r="E737" s="221" t="s">
        <v>27</v>
      </c>
      <c r="F737" s="223">
        <v>0</v>
      </c>
      <c r="G737" s="221" t="s">
        <v>71</v>
      </c>
      <c r="H737" s="221" t="s">
        <v>71</v>
      </c>
      <c r="I737" s="224"/>
    </row>
    <row r="738" ht="17.25" customHeight="1" spans="1:9" x14ac:dyDescent="0.25">
      <c r="A738" s="220">
        <v>766</v>
      </c>
      <c r="B738" s="221" t="s">
        <v>1836</v>
      </c>
      <c r="C738" s="222" t="s">
        <v>1837</v>
      </c>
      <c r="D738" s="221" t="s">
        <v>1787</v>
      </c>
      <c r="E738" s="221" t="s">
        <v>27</v>
      </c>
      <c r="F738" s="223">
        <v>0</v>
      </c>
      <c r="G738" s="221" t="s">
        <v>71</v>
      </c>
      <c r="H738" s="221" t="s">
        <v>71</v>
      </c>
      <c r="I738" s="224"/>
    </row>
    <row r="739" ht="17.25" customHeight="1" spans="1:9" x14ac:dyDescent="0.25">
      <c r="A739" s="220">
        <v>767</v>
      </c>
      <c r="B739" s="221" t="s">
        <v>1838</v>
      </c>
      <c r="C739" s="222" t="s">
        <v>1839</v>
      </c>
      <c r="D739" s="221" t="s">
        <v>1787</v>
      </c>
      <c r="E739" s="221" t="s">
        <v>27</v>
      </c>
      <c r="F739" s="223">
        <v>0</v>
      </c>
      <c r="G739" s="221" t="s">
        <v>71</v>
      </c>
      <c r="H739" s="221" t="s">
        <v>71</v>
      </c>
      <c r="I739" s="224"/>
    </row>
    <row r="740" ht="17.25" customHeight="1" spans="1:9" x14ac:dyDescent="0.25">
      <c r="A740" s="220">
        <v>768</v>
      </c>
      <c r="B740" s="221" t="s">
        <v>1840</v>
      </c>
      <c r="C740" s="222" t="s">
        <v>1841</v>
      </c>
      <c r="D740" s="221" t="s">
        <v>1787</v>
      </c>
      <c r="E740" s="221" t="s">
        <v>27</v>
      </c>
      <c r="F740" s="223">
        <v>0</v>
      </c>
      <c r="G740" s="221" t="s">
        <v>71</v>
      </c>
      <c r="H740" s="221" t="s">
        <v>71</v>
      </c>
      <c r="I740" s="224"/>
    </row>
    <row r="741" ht="17.25" customHeight="1" spans="1:9" x14ac:dyDescent="0.25">
      <c r="A741" s="220">
        <v>769</v>
      </c>
      <c r="B741" s="221" t="s">
        <v>1842</v>
      </c>
      <c r="C741" s="222" t="s">
        <v>1843</v>
      </c>
      <c r="D741" s="221" t="s">
        <v>1787</v>
      </c>
      <c r="E741" s="221" t="s">
        <v>27</v>
      </c>
      <c r="F741" s="223">
        <v>0</v>
      </c>
      <c r="G741" s="221" t="s">
        <v>71</v>
      </c>
      <c r="H741" s="221" t="s">
        <v>71</v>
      </c>
      <c r="I741" s="224"/>
    </row>
    <row r="742" ht="17.25" customHeight="1" spans="1:9" x14ac:dyDescent="0.25">
      <c r="A742" s="220">
        <v>770</v>
      </c>
      <c r="B742" s="221" t="s">
        <v>1844</v>
      </c>
      <c r="C742" s="222" t="s">
        <v>1845</v>
      </c>
      <c r="D742" s="221" t="s">
        <v>1787</v>
      </c>
      <c r="E742" s="221" t="s">
        <v>27</v>
      </c>
      <c r="F742" s="223">
        <v>0</v>
      </c>
      <c r="G742" s="221" t="s">
        <v>71</v>
      </c>
      <c r="H742" s="221" t="s">
        <v>71</v>
      </c>
      <c r="I742" s="224"/>
    </row>
    <row r="743" ht="17.25" customHeight="1" spans="1:9" x14ac:dyDescent="0.25">
      <c r="A743" s="220">
        <v>771</v>
      </c>
      <c r="B743" s="221" t="s">
        <v>1846</v>
      </c>
      <c r="C743" s="222" t="s">
        <v>1847</v>
      </c>
      <c r="D743" s="221" t="s">
        <v>1787</v>
      </c>
      <c r="E743" s="221" t="s">
        <v>27</v>
      </c>
      <c r="F743" s="223">
        <v>0</v>
      </c>
      <c r="G743" s="221" t="s">
        <v>71</v>
      </c>
      <c r="H743" s="221" t="s">
        <v>71</v>
      </c>
      <c r="I743" s="224"/>
    </row>
    <row r="744" ht="17.25" customHeight="1" spans="1:9" x14ac:dyDescent="0.25">
      <c r="A744" s="220">
        <v>772</v>
      </c>
      <c r="B744" s="221" t="s">
        <v>1848</v>
      </c>
      <c r="C744" s="222" t="s">
        <v>1849</v>
      </c>
      <c r="D744" s="221" t="s">
        <v>1787</v>
      </c>
      <c r="E744" s="221" t="s">
        <v>27</v>
      </c>
      <c r="F744" s="223">
        <v>0</v>
      </c>
      <c r="G744" s="221" t="s">
        <v>71</v>
      </c>
      <c r="H744" s="221" t="s">
        <v>71</v>
      </c>
      <c r="I744" s="224"/>
    </row>
    <row r="745" ht="17.25" customHeight="1" spans="1:9" x14ac:dyDescent="0.25">
      <c r="A745" s="220">
        <v>773</v>
      </c>
      <c r="B745" s="221" t="s">
        <v>1850</v>
      </c>
      <c r="C745" s="222" t="s">
        <v>1851</v>
      </c>
      <c r="D745" s="221" t="s">
        <v>1787</v>
      </c>
      <c r="E745" s="221" t="s">
        <v>27</v>
      </c>
      <c r="F745" s="223">
        <v>0</v>
      </c>
      <c r="G745" s="221" t="s">
        <v>71</v>
      </c>
      <c r="H745" s="221" t="s">
        <v>71</v>
      </c>
      <c r="I745" s="224"/>
    </row>
    <row r="746" ht="17.25" customHeight="1" spans="1:9" x14ac:dyDescent="0.25">
      <c r="A746" s="220">
        <v>774</v>
      </c>
      <c r="B746" s="221" t="s">
        <v>1852</v>
      </c>
      <c r="C746" s="222" t="s">
        <v>1853</v>
      </c>
      <c r="D746" s="221" t="s">
        <v>1787</v>
      </c>
      <c r="E746" s="221" t="s">
        <v>27</v>
      </c>
      <c r="F746" s="223">
        <v>0</v>
      </c>
      <c r="G746" s="221" t="s">
        <v>71</v>
      </c>
      <c r="H746" s="221" t="s">
        <v>71</v>
      </c>
      <c r="I746" s="224"/>
    </row>
    <row r="747" ht="17.25" customHeight="1" spans="1:9" x14ac:dyDescent="0.25">
      <c r="A747" s="220">
        <v>775</v>
      </c>
      <c r="B747" s="221" t="s">
        <v>1854</v>
      </c>
      <c r="C747" s="222" t="s">
        <v>1855</v>
      </c>
      <c r="D747" s="221" t="s">
        <v>1787</v>
      </c>
      <c r="E747" s="221" t="s">
        <v>27</v>
      </c>
      <c r="F747" s="223">
        <v>0</v>
      </c>
      <c r="G747" s="221" t="s">
        <v>71</v>
      </c>
      <c r="H747" s="221" t="s">
        <v>71</v>
      </c>
      <c r="I747" s="224"/>
    </row>
    <row r="748" ht="17.25" customHeight="1" spans="1:9" x14ac:dyDescent="0.25">
      <c r="A748" s="220">
        <v>776</v>
      </c>
      <c r="B748" s="221" t="s">
        <v>1856</v>
      </c>
      <c r="C748" s="222" t="s">
        <v>1857</v>
      </c>
      <c r="D748" s="221" t="s">
        <v>1787</v>
      </c>
      <c r="E748" s="221" t="s">
        <v>27</v>
      </c>
      <c r="F748" s="223">
        <v>0</v>
      </c>
      <c r="G748" s="221" t="s">
        <v>71</v>
      </c>
      <c r="H748" s="221" t="s">
        <v>71</v>
      </c>
      <c r="I748" s="224"/>
    </row>
    <row r="749" ht="17.25" customHeight="1" spans="1:9" x14ac:dyDescent="0.25">
      <c r="A749" s="220">
        <v>777</v>
      </c>
      <c r="B749" s="221" t="s">
        <v>1858</v>
      </c>
      <c r="C749" s="222" t="s">
        <v>1859</v>
      </c>
      <c r="D749" s="221" t="s">
        <v>1787</v>
      </c>
      <c r="E749" s="221" t="s">
        <v>27</v>
      </c>
      <c r="F749" s="223">
        <v>0</v>
      </c>
      <c r="G749" s="221" t="s">
        <v>71</v>
      </c>
      <c r="H749" s="221" t="s">
        <v>71</v>
      </c>
      <c r="I749" s="224"/>
    </row>
    <row r="750" ht="17.25" customHeight="1" spans="1:9" x14ac:dyDescent="0.25">
      <c r="A750" s="220">
        <v>778</v>
      </c>
      <c r="B750" s="221" t="s">
        <v>1860</v>
      </c>
      <c r="C750" s="222" t="s">
        <v>1861</v>
      </c>
      <c r="D750" s="221" t="s">
        <v>1787</v>
      </c>
      <c r="E750" s="221" t="s">
        <v>27</v>
      </c>
      <c r="F750" s="223">
        <v>0</v>
      </c>
      <c r="G750" s="221" t="s">
        <v>71</v>
      </c>
      <c r="H750" s="221" t="s">
        <v>71</v>
      </c>
      <c r="I750" s="224"/>
    </row>
    <row r="751" ht="17.25" customHeight="1" spans="1:9" x14ac:dyDescent="0.25">
      <c r="A751" s="220">
        <v>779</v>
      </c>
      <c r="B751" s="221" t="s">
        <v>1862</v>
      </c>
      <c r="C751" s="222" t="s">
        <v>1863</v>
      </c>
      <c r="D751" s="221" t="s">
        <v>1787</v>
      </c>
      <c r="E751" s="221" t="s">
        <v>27</v>
      </c>
      <c r="F751" s="223">
        <v>0</v>
      </c>
      <c r="G751" s="221" t="s">
        <v>71</v>
      </c>
      <c r="H751" s="221" t="s">
        <v>71</v>
      </c>
      <c r="I751" s="224"/>
    </row>
    <row r="752" ht="17.25" customHeight="1" spans="1:9" x14ac:dyDescent="0.25">
      <c r="A752" s="220">
        <v>780</v>
      </c>
      <c r="B752" s="221" t="s">
        <v>1864</v>
      </c>
      <c r="C752" s="222" t="s">
        <v>1865</v>
      </c>
      <c r="D752" s="221" t="s">
        <v>1787</v>
      </c>
      <c r="E752" s="221" t="s">
        <v>27</v>
      </c>
      <c r="F752" s="223">
        <v>0</v>
      </c>
      <c r="G752" s="221" t="s">
        <v>48</v>
      </c>
      <c r="H752" s="221" t="s">
        <v>48</v>
      </c>
      <c r="I752" s="224"/>
    </row>
    <row r="753" ht="17.25" customHeight="1" spans="1:9" x14ac:dyDescent="0.25">
      <c r="A753" s="220">
        <v>781</v>
      </c>
      <c r="B753" s="221" t="s">
        <v>1866</v>
      </c>
      <c r="C753" s="222" t="s">
        <v>1867</v>
      </c>
      <c r="D753" s="221" t="s">
        <v>1787</v>
      </c>
      <c r="E753" s="221" t="s">
        <v>27</v>
      </c>
      <c r="F753" s="223">
        <v>0</v>
      </c>
      <c r="G753" s="221" t="s">
        <v>71</v>
      </c>
      <c r="H753" s="221" t="s">
        <v>71</v>
      </c>
      <c r="I753" s="224"/>
    </row>
    <row r="754" ht="17.25" customHeight="1" spans="1:9" x14ac:dyDescent="0.25">
      <c r="A754" s="220">
        <v>782</v>
      </c>
      <c r="B754" s="221" t="s">
        <v>1868</v>
      </c>
      <c r="C754" s="222" t="s">
        <v>1869</v>
      </c>
      <c r="D754" s="221" t="s">
        <v>1787</v>
      </c>
      <c r="E754" s="221" t="s">
        <v>27</v>
      </c>
      <c r="F754" s="223">
        <v>0</v>
      </c>
      <c r="G754" s="221" t="s">
        <v>71</v>
      </c>
      <c r="H754" s="221" t="s">
        <v>71</v>
      </c>
      <c r="I754" s="224"/>
    </row>
    <row r="755" ht="17.25" customHeight="1" spans="1:9" x14ac:dyDescent="0.25">
      <c r="A755" s="220">
        <v>783</v>
      </c>
      <c r="B755" s="221" t="s">
        <v>1870</v>
      </c>
      <c r="C755" s="222" t="s">
        <v>1871</v>
      </c>
      <c r="D755" s="221" t="s">
        <v>1787</v>
      </c>
      <c r="E755" s="221" t="s">
        <v>27</v>
      </c>
      <c r="F755" s="223">
        <v>0</v>
      </c>
      <c r="G755" s="221" t="s">
        <v>48</v>
      </c>
      <c r="H755" s="221" t="s">
        <v>48</v>
      </c>
      <c r="I755" s="224"/>
    </row>
    <row r="756" ht="17.25" customHeight="1" spans="1:9" x14ac:dyDescent="0.25">
      <c r="A756" s="220">
        <v>784</v>
      </c>
      <c r="B756" s="221" t="s">
        <v>1872</v>
      </c>
      <c r="C756" s="222" t="s">
        <v>1873</v>
      </c>
      <c r="D756" s="221" t="s">
        <v>1787</v>
      </c>
      <c r="E756" s="221" t="s">
        <v>27</v>
      </c>
      <c r="F756" s="223">
        <v>0</v>
      </c>
      <c r="G756" s="221" t="s">
        <v>48</v>
      </c>
      <c r="H756" s="221" t="s">
        <v>48</v>
      </c>
      <c r="I756" s="224"/>
    </row>
    <row r="757" ht="17.25" customHeight="1" spans="1:9" x14ac:dyDescent="0.25">
      <c r="A757" s="220">
        <v>785</v>
      </c>
      <c r="B757" s="221" t="s">
        <v>1874</v>
      </c>
      <c r="C757" s="222" t="s">
        <v>1875</v>
      </c>
      <c r="D757" s="221" t="s">
        <v>1787</v>
      </c>
      <c r="E757" s="221" t="s">
        <v>27</v>
      </c>
      <c r="F757" s="223">
        <v>0</v>
      </c>
      <c r="G757" s="221" t="s">
        <v>48</v>
      </c>
      <c r="H757" s="221" t="s">
        <v>48</v>
      </c>
      <c r="I757" s="224"/>
    </row>
    <row r="758" ht="17.25" customHeight="1" spans="1:9" x14ac:dyDescent="0.25">
      <c r="A758" s="220">
        <v>786</v>
      </c>
      <c r="B758" s="221" t="s">
        <v>1876</v>
      </c>
      <c r="C758" s="222" t="s">
        <v>1877</v>
      </c>
      <c r="D758" s="221" t="s">
        <v>1787</v>
      </c>
      <c r="E758" s="221" t="s">
        <v>27</v>
      </c>
      <c r="F758" s="223">
        <v>0</v>
      </c>
      <c r="G758" s="221" t="s">
        <v>48</v>
      </c>
      <c r="H758" s="221" t="s">
        <v>48</v>
      </c>
      <c r="I758" s="224"/>
    </row>
    <row r="759" ht="17.25" customHeight="1" spans="1:9" x14ac:dyDescent="0.25">
      <c r="A759" s="220">
        <v>787</v>
      </c>
      <c r="B759" s="221" t="s">
        <v>1878</v>
      </c>
      <c r="C759" s="222" t="s">
        <v>1879</v>
      </c>
      <c r="D759" s="221" t="s">
        <v>1787</v>
      </c>
      <c r="E759" s="221" t="s">
        <v>27</v>
      </c>
      <c r="F759" s="223">
        <v>0</v>
      </c>
      <c r="G759" s="221" t="s">
        <v>48</v>
      </c>
      <c r="H759" s="221" t="s">
        <v>48</v>
      </c>
      <c r="I759" s="224"/>
    </row>
    <row r="760" ht="17.25" customHeight="1" spans="1:9" x14ac:dyDescent="0.25">
      <c r="A760" s="220">
        <v>788</v>
      </c>
      <c r="B760" s="221" t="s">
        <v>1880</v>
      </c>
      <c r="C760" s="222" t="s">
        <v>1881</v>
      </c>
      <c r="D760" s="221" t="s">
        <v>1787</v>
      </c>
      <c r="E760" s="221" t="s">
        <v>27</v>
      </c>
      <c r="F760" s="223">
        <v>0</v>
      </c>
      <c r="G760" s="221" t="s">
        <v>48</v>
      </c>
      <c r="H760" s="221" t="s">
        <v>48</v>
      </c>
      <c r="I760" s="224"/>
    </row>
    <row r="761" ht="17.25" customHeight="1" spans="1:9" x14ac:dyDescent="0.25">
      <c r="A761" s="220">
        <v>789</v>
      </c>
      <c r="B761" s="221" t="s">
        <v>1882</v>
      </c>
      <c r="C761" s="222" t="s">
        <v>1883</v>
      </c>
      <c r="D761" s="221" t="s">
        <v>1787</v>
      </c>
      <c r="E761" s="221" t="s">
        <v>27</v>
      </c>
      <c r="F761" s="223">
        <v>0</v>
      </c>
      <c r="G761" s="221" t="s">
        <v>48</v>
      </c>
      <c r="H761" s="221" t="s">
        <v>48</v>
      </c>
      <c r="I761" s="224"/>
    </row>
    <row r="762" ht="17.25" customHeight="1" spans="1:9" x14ac:dyDescent="0.25">
      <c r="A762" s="220">
        <v>790</v>
      </c>
      <c r="B762" s="221" t="s">
        <v>1884</v>
      </c>
      <c r="C762" s="222" t="s">
        <v>1885</v>
      </c>
      <c r="D762" s="221" t="s">
        <v>1787</v>
      </c>
      <c r="E762" s="221" t="s">
        <v>27</v>
      </c>
      <c r="F762" s="223">
        <v>0</v>
      </c>
      <c r="G762" s="221" t="s">
        <v>48</v>
      </c>
      <c r="H762" s="221" t="s">
        <v>48</v>
      </c>
      <c r="I762" s="222" t="s">
        <v>1886</v>
      </c>
    </row>
    <row r="763" ht="17.25" customHeight="1" spans="1:9" x14ac:dyDescent="0.25">
      <c r="A763" s="220">
        <v>791</v>
      </c>
      <c r="B763" s="221" t="s">
        <v>1887</v>
      </c>
      <c r="C763" s="222" t="s">
        <v>1888</v>
      </c>
      <c r="D763" s="221" t="s">
        <v>1787</v>
      </c>
      <c r="E763" s="221" t="s">
        <v>27</v>
      </c>
      <c r="F763" s="223">
        <v>0</v>
      </c>
      <c r="G763" s="221" t="s">
        <v>48</v>
      </c>
      <c r="H763" s="221" t="s">
        <v>48</v>
      </c>
      <c r="I763" s="224"/>
    </row>
    <row r="764" ht="17.25" customHeight="1" spans="1:9" x14ac:dyDescent="0.25">
      <c r="A764" s="220">
        <v>792</v>
      </c>
      <c r="B764" s="221" t="s">
        <v>1889</v>
      </c>
      <c r="C764" s="222" t="s">
        <v>1890</v>
      </c>
      <c r="D764" s="221" t="s">
        <v>1787</v>
      </c>
      <c r="E764" s="221" t="s">
        <v>27</v>
      </c>
      <c r="F764" s="223">
        <v>0</v>
      </c>
      <c r="G764" s="221" t="s">
        <v>48</v>
      </c>
      <c r="H764" s="221" t="s">
        <v>48</v>
      </c>
      <c r="I764" s="224"/>
    </row>
    <row r="765" ht="17.25" customHeight="1" spans="1:9" x14ac:dyDescent="0.25">
      <c r="A765" s="220">
        <v>793</v>
      </c>
      <c r="B765" s="221" t="s">
        <v>1891</v>
      </c>
      <c r="C765" s="222" t="s">
        <v>1892</v>
      </c>
      <c r="D765" s="221" t="s">
        <v>1787</v>
      </c>
      <c r="E765" s="221" t="s">
        <v>27</v>
      </c>
      <c r="F765" s="223">
        <v>0</v>
      </c>
      <c r="G765" s="221" t="s">
        <v>48</v>
      </c>
      <c r="H765" s="221" t="s">
        <v>48</v>
      </c>
      <c r="I765" s="224"/>
    </row>
    <row r="766" ht="17.25" customHeight="1" spans="1:9" x14ac:dyDescent="0.25">
      <c r="A766" s="220">
        <v>794</v>
      </c>
      <c r="B766" s="221" t="s">
        <v>1893</v>
      </c>
      <c r="C766" s="222" t="s">
        <v>1894</v>
      </c>
      <c r="D766" s="221" t="s">
        <v>1787</v>
      </c>
      <c r="E766" s="221" t="s">
        <v>27</v>
      </c>
      <c r="F766" s="223">
        <v>0</v>
      </c>
      <c r="G766" s="221" t="s">
        <v>48</v>
      </c>
      <c r="H766" s="221" t="s">
        <v>48</v>
      </c>
      <c r="I766" s="224"/>
    </row>
    <row r="767" ht="17.25" customHeight="1" spans="1:9" x14ac:dyDescent="0.25">
      <c r="A767" s="220">
        <v>795</v>
      </c>
      <c r="B767" s="221" t="s">
        <v>1895</v>
      </c>
      <c r="C767" s="222" t="s">
        <v>1896</v>
      </c>
      <c r="D767" s="221" t="s">
        <v>1787</v>
      </c>
      <c r="E767" s="221" t="s">
        <v>27</v>
      </c>
      <c r="F767" s="223">
        <v>0</v>
      </c>
      <c r="G767" s="221" t="s">
        <v>48</v>
      </c>
      <c r="H767" s="221" t="s">
        <v>48</v>
      </c>
      <c r="I767" s="224"/>
    </row>
    <row r="768" ht="17.25" customHeight="1" spans="1:9" x14ac:dyDescent="0.25">
      <c r="A768" s="220">
        <v>796</v>
      </c>
      <c r="B768" s="221" t="s">
        <v>1897</v>
      </c>
      <c r="C768" s="222" t="s">
        <v>1898</v>
      </c>
      <c r="D768" s="221" t="s">
        <v>1787</v>
      </c>
      <c r="E768" s="221" t="s">
        <v>27</v>
      </c>
      <c r="F768" s="223">
        <v>0</v>
      </c>
      <c r="G768" s="221" t="s">
        <v>48</v>
      </c>
      <c r="H768" s="221" t="s">
        <v>48</v>
      </c>
      <c r="I768" s="224"/>
    </row>
    <row r="769" ht="17.25" customHeight="1" spans="1:9" x14ac:dyDescent="0.25">
      <c r="A769" s="220">
        <v>797</v>
      </c>
      <c r="B769" s="221" t="s">
        <v>1899</v>
      </c>
      <c r="C769" s="222" t="s">
        <v>1900</v>
      </c>
      <c r="D769" s="221" t="s">
        <v>1787</v>
      </c>
      <c r="E769" s="221" t="s">
        <v>27</v>
      </c>
      <c r="F769" s="223">
        <v>0</v>
      </c>
      <c r="G769" s="221" t="s">
        <v>48</v>
      </c>
      <c r="H769" s="221" t="s">
        <v>48</v>
      </c>
      <c r="I769" s="224"/>
    </row>
    <row r="770" ht="17.25" customHeight="1" spans="1:9" x14ac:dyDescent="0.25">
      <c r="A770" s="220">
        <v>798</v>
      </c>
      <c r="B770" s="221" t="s">
        <v>1901</v>
      </c>
      <c r="C770" s="222" t="s">
        <v>1902</v>
      </c>
      <c r="D770" s="221" t="s">
        <v>1903</v>
      </c>
      <c r="E770" s="221" t="s">
        <v>27</v>
      </c>
      <c r="F770" s="223">
        <v>0</v>
      </c>
      <c r="G770" s="221" t="s">
        <v>48</v>
      </c>
      <c r="H770" s="221" t="s">
        <v>48</v>
      </c>
      <c r="I770" s="224"/>
    </row>
    <row r="771" ht="17.25" customHeight="1" spans="1:9" x14ac:dyDescent="0.25">
      <c r="A771" s="220">
        <v>799</v>
      </c>
      <c r="B771" s="221" t="s">
        <v>1904</v>
      </c>
      <c r="C771" s="222" t="s">
        <v>1905</v>
      </c>
      <c r="D771" s="221" t="s">
        <v>1903</v>
      </c>
      <c r="E771" s="221" t="s">
        <v>27</v>
      </c>
      <c r="F771" s="223">
        <v>0</v>
      </c>
      <c r="G771" s="221" t="s">
        <v>48</v>
      </c>
      <c r="H771" s="221" t="s">
        <v>48</v>
      </c>
      <c r="I771" s="224"/>
    </row>
    <row r="772" ht="17.25" customHeight="1" spans="1:9" x14ac:dyDescent="0.25">
      <c r="A772" s="220">
        <v>800</v>
      </c>
      <c r="B772" s="221" t="s">
        <v>1906</v>
      </c>
      <c r="C772" s="222" t="s">
        <v>1907</v>
      </c>
      <c r="D772" s="221" t="s">
        <v>1903</v>
      </c>
      <c r="E772" s="221" t="s">
        <v>27</v>
      </c>
      <c r="F772" s="223">
        <v>0</v>
      </c>
      <c r="G772" s="221" t="s">
        <v>48</v>
      </c>
      <c r="H772" s="221" t="s">
        <v>48</v>
      </c>
      <c r="I772" s="224"/>
    </row>
    <row r="773" ht="17.25" customHeight="1" spans="1:9" x14ac:dyDescent="0.25">
      <c r="A773" s="220">
        <v>801</v>
      </c>
      <c r="B773" s="221" t="s">
        <v>1908</v>
      </c>
      <c r="C773" s="222" t="s">
        <v>1909</v>
      </c>
      <c r="D773" s="221" t="s">
        <v>1903</v>
      </c>
      <c r="E773" s="221" t="s">
        <v>27</v>
      </c>
      <c r="F773" s="223">
        <v>0</v>
      </c>
      <c r="G773" s="221" t="s">
        <v>48</v>
      </c>
      <c r="H773" s="221" t="s">
        <v>48</v>
      </c>
      <c r="I773" s="224"/>
    </row>
    <row r="774" ht="17.25" customHeight="1" spans="1:9" x14ac:dyDescent="0.25">
      <c r="A774" s="220">
        <v>802</v>
      </c>
      <c r="B774" s="221" t="s">
        <v>1910</v>
      </c>
      <c r="C774" s="222" t="s">
        <v>1911</v>
      </c>
      <c r="D774" s="221" t="s">
        <v>1903</v>
      </c>
      <c r="E774" s="221" t="s">
        <v>27</v>
      </c>
      <c r="F774" s="223">
        <v>0</v>
      </c>
      <c r="G774" s="221" t="s">
        <v>48</v>
      </c>
      <c r="H774" s="221" t="s">
        <v>48</v>
      </c>
      <c r="I774" s="224"/>
    </row>
    <row r="775" ht="17.25" customHeight="1" spans="1:9" x14ac:dyDescent="0.25">
      <c r="A775" s="220">
        <v>803</v>
      </c>
      <c r="B775" s="221" t="s">
        <v>1912</v>
      </c>
      <c r="C775" s="222" t="s">
        <v>1913</v>
      </c>
      <c r="D775" s="221" t="s">
        <v>1903</v>
      </c>
      <c r="E775" s="221" t="s">
        <v>27</v>
      </c>
      <c r="F775" s="223">
        <v>0</v>
      </c>
      <c r="G775" s="221" t="s">
        <v>48</v>
      </c>
      <c r="H775" s="221" t="s">
        <v>48</v>
      </c>
      <c r="I775" s="224"/>
    </row>
    <row r="776" ht="17.25" customHeight="1" spans="1:9" x14ac:dyDescent="0.25">
      <c r="A776" s="220">
        <v>804</v>
      </c>
      <c r="B776" s="221" t="s">
        <v>1914</v>
      </c>
      <c r="C776" s="222" t="s">
        <v>1915</v>
      </c>
      <c r="D776" s="221" t="s">
        <v>1903</v>
      </c>
      <c r="E776" s="221" t="s">
        <v>27</v>
      </c>
      <c r="F776" s="223">
        <v>0</v>
      </c>
      <c r="G776" s="221" t="s">
        <v>48</v>
      </c>
      <c r="H776" s="221" t="s">
        <v>48</v>
      </c>
      <c r="I776" s="224"/>
    </row>
    <row r="777" ht="17.25" customHeight="1" spans="1:9" x14ac:dyDescent="0.25">
      <c r="A777" s="220">
        <v>805</v>
      </c>
      <c r="B777" s="221" t="s">
        <v>1916</v>
      </c>
      <c r="C777" s="222" t="s">
        <v>1917</v>
      </c>
      <c r="D777" s="221" t="s">
        <v>1903</v>
      </c>
      <c r="E777" s="221" t="s">
        <v>27</v>
      </c>
      <c r="F777" s="223">
        <v>0</v>
      </c>
      <c r="G777" s="221" t="s">
        <v>48</v>
      </c>
      <c r="H777" s="221" t="s">
        <v>48</v>
      </c>
      <c r="I777" s="222"/>
    </row>
    <row r="778" ht="17.25" customHeight="1" spans="1:9" x14ac:dyDescent="0.25">
      <c r="A778" s="220">
        <v>806</v>
      </c>
      <c r="B778" s="221" t="s">
        <v>1918</v>
      </c>
      <c r="C778" s="222" t="s">
        <v>1919</v>
      </c>
      <c r="D778" s="221" t="s">
        <v>1903</v>
      </c>
      <c r="E778" s="221" t="s">
        <v>27</v>
      </c>
      <c r="F778" s="223">
        <v>0</v>
      </c>
      <c r="G778" s="221" t="s">
        <v>48</v>
      </c>
      <c r="H778" s="221" t="s">
        <v>48</v>
      </c>
      <c r="I778" s="224"/>
    </row>
    <row r="779" ht="17.25" customHeight="1" spans="1:9" x14ac:dyDescent="0.25">
      <c r="A779" s="220">
        <v>807</v>
      </c>
      <c r="B779" s="221" t="s">
        <v>1920</v>
      </c>
      <c r="C779" s="222" t="s">
        <v>1921</v>
      </c>
      <c r="D779" s="221" t="s">
        <v>1903</v>
      </c>
      <c r="E779" s="221" t="s">
        <v>27</v>
      </c>
      <c r="F779" s="223">
        <v>0</v>
      </c>
      <c r="G779" s="221" t="s">
        <v>48</v>
      </c>
      <c r="H779" s="221" t="s">
        <v>48</v>
      </c>
      <c r="I779" s="224"/>
    </row>
    <row r="780" ht="17.25" customHeight="1" spans="1:9" x14ac:dyDescent="0.25">
      <c r="A780" s="220">
        <v>808</v>
      </c>
      <c r="B780" s="221" t="s">
        <v>1922</v>
      </c>
      <c r="C780" s="222" t="s">
        <v>1923</v>
      </c>
      <c r="D780" s="221" t="s">
        <v>1903</v>
      </c>
      <c r="E780" s="221" t="s">
        <v>27</v>
      </c>
      <c r="F780" s="223">
        <v>0</v>
      </c>
      <c r="G780" s="221" t="s">
        <v>48</v>
      </c>
      <c r="H780" s="221" t="s">
        <v>48</v>
      </c>
      <c r="I780" s="224"/>
    </row>
    <row r="781" ht="17.25" customHeight="1" spans="1:9" x14ac:dyDescent="0.25">
      <c r="A781" s="220">
        <v>809</v>
      </c>
      <c r="B781" s="221" t="s">
        <v>1924</v>
      </c>
      <c r="C781" s="222" t="s">
        <v>1925</v>
      </c>
      <c r="D781" s="221" t="s">
        <v>1903</v>
      </c>
      <c r="E781" s="221" t="s">
        <v>27</v>
      </c>
      <c r="F781" s="223">
        <v>0</v>
      </c>
      <c r="G781" s="221" t="s">
        <v>48</v>
      </c>
      <c r="H781" s="221" t="s">
        <v>48</v>
      </c>
      <c r="I781" s="224"/>
    </row>
    <row r="782" ht="17.25" customHeight="1" spans="1:9" x14ac:dyDescent="0.25">
      <c r="A782" s="220">
        <v>810</v>
      </c>
      <c r="B782" s="221" t="s">
        <v>1926</v>
      </c>
      <c r="C782" s="222" t="s">
        <v>1927</v>
      </c>
      <c r="D782" s="221" t="s">
        <v>1903</v>
      </c>
      <c r="E782" s="221" t="s">
        <v>27</v>
      </c>
      <c r="F782" s="223">
        <v>0</v>
      </c>
      <c r="G782" s="221" t="s">
        <v>48</v>
      </c>
      <c r="H782" s="221" t="s">
        <v>48</v>
      </c>
      <c r="I782" s="224"/>
    </row>
    <row r="783" ht="17.25" customHeight="1" spans="1:9" x14ac:dyDescent="0.25">
      <c r="A783" s="220">
        <v>811</v>
      </c>
      <c r="B783" s="221" t="s">
        <v>1928</v>
      </c>
      <c r="C783" s="222" t="s">
        <v>1929</v>
      </c>
      <c r="D783" s="221" t="s">
        <v>1903</v>
      </c>
      <c r="E783" s="221" t="s">
        <v>27</v>
      </c>
      <c r="F783" s="223">
        <v>0</v>
      </c>
      <c r="G783" s="221" t="s">
        <v>48</v>
      </c>
      <c r="H783" s="221" t="s">
        <v>48</v>
      </c>
      <c r="I783" s="224"/>
    </row>
    <row r="784" ht="17.25" customHeight="1" spans="1:9" x14ac:dyDescent="0.25">
      <c r="A784" s="220">
        <v>812</v>
      </c>
      <c r="B784" s="221" t="s">
        <v>1930</v>
      </c>
      <c r="C784" s="222" t="s">
        <v>1931</v>
      </c>
      <c r="D784" s="221" t="s">
        <v>1903</v>
      </c>
      <c r="E784" s="221" t="s">
        <v>27</v>
      </c>
      <c r="F784" s="223">
        <v>0</v>
      </c>
      <c r="G784" s="221" t="s">
        <v>48</v>
      </c>
      <c r="H784" s="221" t="s">
        <v>48</v>
      </c>
      <c r="I784" s="224"/>
    </row>
    <row r="785" ht="17.25" customHeight="1" spans="1:9" x14ac:dyDescent="0.25">
      <c r="A785" s="220">
        <v>814</v>
      </c>
      <c r="B785" s="221" t="s">
        <v>1932</v>
      </c>
      <c r="C785" s="222" t="s">
        <v>1933</v>
      </c>
      <c r="D785" s="221" t="s">
        <v>1903</v>
      </c>
      <c r="E785" s="221" t="s">
        <v>27</v>
      </c>
      <c r="F785" s="223">
        <v>0</v>
      </c>
      <c r="G785" s="221" t="s">
        <v>48</v>
      </c>
      <c r="H785" s="221" t="s">
        <v>48</v>
      </c>
      <c r="I785" s="224"/>
    </row>
    <row r="786" ht="17.25" customHeight="1" spans="1:9" x14ac:dyDescent="0.25">
      <c r="A786" s="220">
        <v>815</v>
      </c>
      <c r="B786" s="221" t="s">
        <v>1934</v>
      </c>
      <c r="C786" s="222" t="s">
        <v>1935</v>
      </c>
      <c r="D786" s="221" t="s">
        <v>1903</v>
      </c>
      <c r="E786" s="221" t="s">
        <v>27</v>
      </c>
      <c r="F786" s="223">
        <v>0</v>
      </c>
      <c r="G786" s="221" t="s">
        <v>48</v>
      </c>
      <c r="H786" s="221" t="s">
        <v>48</v>
      </c>
      <c r="I786" s="224"/>
    </row>
    <row r="787" ht="17.25" customHeight="1" spans="1:9" x14ac:dyDescent="0.25">
      <c r="A787" s="220">
        <v>816</v>
      </c>
      <c r="B787" s="221" t="s">
        <v>1936</v>
      </c>
      <c r="C787" s="222" t="s">
        <v>1937</v>
      </c>
      <c r="D787" s="221" t="s">
        <v>1903</v>
      </c>
      <c r="E787" s="221" t="s">
        <v>27</v>
      </c>
      <c r="F787" s="223">
        <v>0</v>
      </c>
      <c r="G787" s="221" t="s">
        <v>48</v>
      </c>
      <c r="H787" s="221" t="s">
        <v>48</v>
      </c>
      <c r="I787" s="224"/>
    </row>
    <row r="788" ht="17.25" customHeight="1" spans="1:9" x14ac:dyDescent="0.25">
      <c r="A788" s="220">
        <v>817</v>
      </c>
      <c r="B788" s="221" t="s">
        <v>1938</v>
      </c>
      <c r="C788" s="222" t="s">
        <v>1939</v>
      </c>
      <c r="D788" s="221" t="s">
        <v>1903</v>
      </c>
      <c r="E788" s="221" t="s">
        <v>27</v>
      </c>
      <c r="F788" s="223">
        <v>0</v>
      </c>
      <c r="G788" s="221" t="s">
        <v>48</v>
      </c>
      <c r="H788" s="221" t="s">
        <v>48</v>
      </c>
      <c r="I788" s="224"/>
    </row>
    <row r="789" ht="17.25" customHeight="1" spans="1:9" x14ac:dyDescent="0.25">
      <c r="A789" s="220">
        <v>818</v>
      </c>
      <c r="B789" s="221" t="s">
        <v>1940</v>
      </c>
      <c r="C789" s="222" t="s">
        <v>1941</v>
      </c>
      <c r="D789" s="221" t="s">
        <v>1903</v>
      </c>
      <c r="E789" s="221" t="s">
        <v>27</v>
      </c>
      <c r="F789" s="223">
        <v>0</v>
      </c>
      <c r="G789" s="221" t="s">
        <v>48</v>
      </c>
      <c r="H789" s="221" t="s">
        <v>48</v>
      </c>
      <c r="I789" s="224"/>
    </row>
    <row r="790" ht="17.25" customHeight="1" spans="1:9" x14ac:dyDescent="0.25">
      <c r="A790" s="220">
        <v>819</v>
      </c>
      <c r="B790" s="221" t="s">
        <v>1942</v>
      </c>
      <c r="C790" s="222" t="s">
        <v>1943</v>
      </c>
      <c r="D790" s="221" t="s">
        <v>1903</v>
      </c>
      <c r="E790" s="221" t="s">
        <v>27</v>
      </c>
      <c r="F790" s="223">
        <v>0</v>
      </c>
      <c r="G790" s="221" t="s">
        <v>48</v>
      </c>
      <c r="H790" s="221" t="s">
        <v>48</v>
      </c>
      <c r="I790" s="224"/>
    </row>
    <row r="791" ht="17.25" customHeight="1" spans="1:9" x14ac:dyDescent="0.25">
      <c r="A791" s="220">
        <v>820</v>
      </c>
      <c r="B791" s="221" t="s">
        <v>1944</v>
      </c>
      <c r="C791" s="222" t="s">
        <v>1945</v>
      </c>
      <c r="D791" s="221" t="s">
        <v>1903</v>
      </c>
      <c r="E791" s="221" t="s">
        <v>27</v>
      </c>
      <c r="F791" s="223">
        <v>0</v>
      </c>
      <c r="G791" s="221" t="s">
        <v>48</v>
      </c>
      <c r="H791" s="221" t="s">
        <v>48</v>
      </c>
      <c r="I791" s="224"/>
    </row>
    <row r="792" ht="17.25" customHeight="1" spans="1:9" x14ac:dyDescent="0.25">
      <c r="A792" s="220">
        <v>821</v>
      </c>
      <c r="B792" s="221" t="s">
        <v>1946</v>
      </c>
      <c r="C792" s="222" t="s">
        <v>1947</v>
      </c>
      <c r="D792" s="221" t="s">
        <v>1948</v>
      </c>
      <c r="E792" s="221" t="s">
        <v>27</v>
      </c>
      <c r="F792" s="223">
        <v>0</v>
      </c>
      <c r="G792" s="221" t="s">
        <v>48</v>
      </c>
      <c r="H792" s="221" t="s">
        <v>48</v>
      </c>
      <c r="I792" s="224"/>
    </row>
    <row r="793" ht="17.25" customHeight="1" spans="1:9" x14ac:dyDescent="0.25">
      <c r="A793" s="220">
        <v>822</v>
      </c>
      <c r="B793" s="221" t="s">
        <v>1949</v>
      </c>
      <c r="C793" s="222" t="s">
        <v>1950</v>
      </c>
      <c r="D793" s="221" t="s">
        <v>1417</v>
      </c>
      <c r="E793" s="221" t="s">
        <v>34</v>
      </c>
      <c r="F793" s="223">
        <v>0</v>
      </c>
      <c r="G793" s="221" t="s">
        <v>71</v>
      </c>
      <c r="H793" s="221" t="s">
        <v>71</v>
      </c>
      <c r="I793" s="224"/>
    </row>
    <row r="794" ht="17.25" customHeight="1" spans="1:9" x14ac:dyDescent="0.25">
      <c r="A794" s="220">
        <v>823</v>
      </c>
      <c r="B794" s="221" t="s">
        <v>1951</v>
      </c>
      <c r="C794" s="222" t="s">
        <v>1952</v>
      </c>
      <c r="D794" s="221" t="s">
        <v>1953</v>
      </c>
      <c r="E794" s="221" t="s">
        <v>28</v>
      </c>
      <c r="F794" s="223">
        <v>5500</v>
      </c>
      <c r="G794" s="221" t="s">
        <v>71</v>
      </c>
      <c r="H794" s="221" t="s">
        <v>71</v>
      </c>
      <c r="I794" s="222"/>
    </row>
    <row r="795" ht="17.25" customHeight="1" spans="1:9" x14ac:dyDescent="0.25">
      <c r="A795" s="220">
        <v>824</v>
      </c>
      <c r="B795" s="221" t="s">
        <v>1954</v>
      </c>
      <c r="C795" s="222" t="s">
        <v>1955</v>
      </c>
      <c r="D795" s="221" t="s">
        <v>1953</v>
      </c>
      <c r="E795" s="221" t="s">
        <v>28</v>
      </c>
      <c r="F795" s="223">
        <v>3900</v>
      </c>
      <c r="G795" s="221" t="s">
        <v>71</v>
      </c>
      <c r="H795" s="221" t="s">
        <v>71</v>
      </c>
      <c r="I795" s="222"/>
    </row>
    <row r="796" ht="17.25" customHeight="1" spans="1:9" x14ac:dyDescent="0.25">
      <c r="A796" s="220">
        <v>825</v>
      </c>
      <c r="B796" s="221" t="s">
        <v>1956</v>
      </c>
      <c r="C796" s="222" t="s">
        <v>1957</v>
      </c>
      <c r="D796" s="221" t="s">
        <v>1958</v>
      </c>
      <c r="E796" s="221" t="s">
        <v>27</v>
      </c>
      <c r="F796" s="223">
        <v>0</v>
      </c>
      <c r="G796" s="221"/>
      <c r="H796" s="221"/>
      <c r="I796" s="224"/>
    </row>
    <row r="797" ht="17.25" customHeight="1" spans="1:9" x14ac:dyDescent="0.25">
      <c r="A797" s="220">
        <v>826</v>
      </c>
      <c r="B797" s="221" t="s">
        <v>1959</v>
      </c>
      <c r="C797" s="222" t="s">
        <v>1960</v>
      </c>
      <c r="D797" s="221" t="s">
        <v>1958</v>
      </c>
      <c r="E797" s="221" t="s">
        <v>27</v>
      </c>
      <c r="F797" s="223">
        <v>0</v>
      </c>
      <c r="G797" s="221"/>
      <c r="H797" s="221"/>
      <c r="I797" s="224"/>
    </row>
    <row r="798" ht="17.25" customHeight="1" spans="1:9" x14ac:dyDescent="0.25">
      <c r="A798" s="220">
        <v>827</v>
      </c>
      <c r="B798" s="221" t="s">
        <v>1961</v>
      </c>
      <c r="C798" s="222" t="s">
        <v>1962</v>
      </c>
      <c r="D798" s="221" t="s">
        <v>1963</v>
      </c>
      <c r="E798" s="221" t="s">
        <v>27</v>
      </c>
      <c r="F798" s="223">
        <v>0</v>
      </c>
      <c r="G798" s="221"/>
      <c r="H798" s="221"/>
      <c r="I798" s="224"/>
    </row>
    <row r="799" ht="17.25" customHeight="1" spans="1:9" x14ac:dyDescent="0.25">
      <c r="A799" s="220">
        <v>828</v>
      </c>
      <c r="B799" s="221" t="s">
        <v>1964</v>
      </c>
      <c r="C799" s="222" t="s">
        <v>1965</v>
      </c>
      <c r="D799" s="221" t="s">
        <v>1963</v>
      </c>
      <c r="E799" s="221" t="s">
        <v>27</v>
      </c>
      <c r="F799" s="223">
        <v>0</v>
      </c>
      <c r="G799" s="221"/>
      <c r="H799" s="221"/>
      <c r="I799" s="224"/>
    </row>
    <row r="800" ht="17.25" customHeight="1" spans="1:9" x14ac:dyDescent="0.25">
      <c r="A800" s="220">
        <v>829</v>
      </c>
      <c r="B800" s="221" t="s">
        <v>1966</v>
      </c>
      <c r="C800" s="222" t="s">
        <v>1967</v>
      </c>
      <c r="D800" s="221" t="s">
        <v>1963</v>
      </c>
      <c r="E800" s="221" t="s">
        <v>27</v>
      </c>
      <c r="F800" s="223">
        <v>0</v>
      </c>
      <c r="G800" s="221"/>
      <c r="H800" s="221"/>
      <c r="I800" s="224"/>
    </row>
    <row r="801" ht="17.25" customHeight="1" spans="1:9" x14ac:dyDescent="0.25">
      <c r="A801" s="220">
        <v>830</v>
      </c>
      <c r="B801" s="221" t="s">
        <v>1968</v>
      </c>
      <c r="C801" s="222" t="s">
        <v>1969</v>
      </c>
      <c r="D801" s="221" t="s">
        <v>1970</v>
      </c>
      <c r="E801" s="221" t="s">
        <v>27</v>
      </c>
      <c r="F801" s="223">
        <v>0</v>
      </c>
      <c r="G801" s="221" t="s">
        <v>48</v>
      </c>
      <c r="H801" s="221" t="s">
        <v>48</v>
      </c>
      <c r="I801" s="224"/>
    </row>
    <row r="802" ht="17.25" customHeight="1" spans="1:9" x14ac:dyDescent="0.25">
      <c r="A802" s="220">
        <v>831</v>
      </c>
      <c r="B802" s="221" t="s">
        <v>1971</v>
      </c>
      <c r="C802" s="222" t="s">
        <v>1972</v>
      </c>
      <c r="D802" s="221" t="s">
        <v>1970</v>
      </c>
      <c r="E802" s="221" t="s">
        <v>27</v>
      </c>
      <c r="F802" s="223">
        <v>0</v>
      </c>
      <c r="G802" s="221" t="s">
        <v>48</v>
      </c>
      <c r="H802" s="221" t="s">
        <v>48</v>
      </c>
      <c r="I802" s="224"/>
    </row>
    <row r="803" ht="17.25" customHeight="1" spans="1:9" x14ac:dyDescent="0.25">
      <c r="A803" s="220">
        <v>832</v>
      </c>
      <c r="B803" s="221" t="s">
        <v>1973</v>
      </c>
      <c r="C803" s="222" t="s">
        <v>1974</v>
      </c>
      <c r="D803" s="221" t="s">
        <v>1970</v>
      </c>
      <c r="E803" s="221" t="s">
        <v>27</v>
      </c>
      <c r="F803" s="223">
        <v>0</v>
      </c>
      <c r="G803" s="221" t="s">
        <v>48</v>
      </c>
      <c r="H803" s="221" t="s">
        <v>48</v>
      </c>
      <c r="I803" s="224"/>
    </row>
    <row r="804" ht="17.25" customHeight="1" spans="1:9" x14ac:dyDescent="0.25">
      <c r="A804" s="220">
        <v>833</v>
      </c>
      <c r="B804" s="221" t="s">
        <v>1975</v>
      </c>
      <c r="C804" s="222" t="s">
        <v>1976</v>
      </c>
      <c r="D804" s="221" t="s">
        <v>1970</v>
      </c>
      <c r="E804" s="221" t="s">
        <v>27</v>
      </c>
      <c r="F804" s="223">
        <v>0</v>
      </c>
      <c r="G804" s="221" t="s">
        <v>48</v>
      </c>
      <c r="H804" s="221" t="s">
        <v>48</v>
      </c>
      <c r="I804" s="224"/>
    </row>
    <row r="805" ht="17.25" customHeight="1" spans="1:9" x14ac:dyDescent="0.25">
      <c r="A805" s="220">
        <v>834</v>
      </c>
      <c r="B805" s="221" t="s">
        <v>1977</v>
      </c>
      <c r="C805" s="222" t="s">
        <v>1978</v>
      </c>
      <c r="D805" s="221" t="s">
        <v>1970</v>
      </c>
      <c r="E805" s="221" t="s">
        <v>27</v>
      </c>
      <c r="F805" s="223">
        <v>0</v>
      </c>
      <c r="G805" s="221" t="s">
        <v>48</v>
      </c>
      <c r="H805" s="221" t="s">
        <v>48</v>
      </c>
      <c r="I805" s="224"/>
    </row>
    <row r="806" ht="17.25" customHeight="1" spans="1:9" x14ac:dyDescent="0.25">
      <c r="A806" s="220">
        <v>835</v>
      </c>
      <c r="B806" s="221" t="s">
        <v>1979</v>
      </c>
      <c r="C806" s="222" t="s">
        <v>1980</v>
      </c>
      <c r="D806" s="221" t="s">
        <v>1970</v>
      </c>
      <c r="E806" s="221" t="s">
        <v>27</v>
      </c>
      <c r="F806" s="223">
        <v>0</v>
      </c>
      <c r="G806" s="221" t="s">
        <v>48</v>
      </c>
      <c r="H806" s="221" t="s">
        <v>48</v>
      </c>
      <c r="I806" s="224"/>
    </row>
    <row r="807" ht="17.25" customHeight="1" spans="1:9" x14ac:dyDescent="0.25">
      <c r="A807" s="220">
        <v>836</v>
      </c>
      <c r="B807" s="221" t="s">
        <v>1981</v>
      </c>
      <c r="C807" s="222" t="s">
        <v>1982</v>
      </c>
      <c r="D807" s="221" t="s">
        <v>1970</v>
      </c>
      <c r="E807" s="221" t="s">
        <v>27</v>
      </c>
      <c r="F807" s="223">
        <v>0</v>
      </c>
      <c r="G807" s="221" t="s">
        <v>48</v>
      </c>
      <c r="H807" s="221" t="s">
        <v>48</v>
      </c>
      <c r="I807" s="224"/>
    </row>
    <row r="808" ht="17.25" customHeight="1" spans="1:9" x14ac:dyDescent="0.25">
      <c r="A808" s="220">
        <v>837</v>
      </c>
      <c r="B808" s="221" t="s">
        <v>1983</v>
      </c>
      <c r="C808" s="222" t="s">
        <v>1984</v>
      </c>
      <c r="D808" s="221" t="s">
        <v>1970</v>
      </c>
      <c r="E808" s="221" t="s">
        <v>27</v>
      </c>
      <c r="F808" s="223">
        <v>0</v>
      </c>
      <c r="G808" s="221" t="s">
        <v>48</v>
      </c>
      <c r="H808" s="221" t="s">
        <v>48</v>
      </c>
      <c r="I808" s="224"/>
    </row>
    <row r="809" ht="17.25" customHeight="1" spans="1:9" x14ac:dyDescent="0.25">
      <c r="A809" s="220">
        <v>838</v>
      </c>
      <c r="B809" s="221" t="s">
        <v>1985</v>
      </c>
      <c r="C809" s="222" t="s">
        <v>1986</v>
      </c>
      <c r="D809" s="221" t="s">
        <v>1970</v>
      </c>
      <c r="E809" s="221" t="s">
        <v>27</v>
      </c>
      <c r="F809" s="223">
        <v>0</v>
      </c>
      <c r="G809" s="221" t="s">
        <v>48</v>
      </c>
      <c r="H809" s="221" t="s">
        <v>48</v>
      </c>
      <c r="I809" s="224"/>
    </row>
    <row r="810" ht="17.25" customHeight="1" spans="1:9" x14ac:dyDescent="0.25">
      <c r="A810" s="220">
        <v>839</v>
      </c>
      <c r="B810" s="221" t="s">
        <v>1987</v>
      </c>
      <c r="C810" s="222" t="s">
        <v>1988</v>
      </c>
      <c r="D810" s="221" t="s">
        <v>1970</v>
      </c>
      <c r="E810" s="221" t="s">
        <v>27</v>
      </c>
      <c r="F810" s="223">
        <v>0</v>
      </c>
      <c r="G810" s="221" t="s">
        <v>48</v>
      </c>
      <c r="H810" s="221" t="s">
        <v>48</v>
      </c>
      <c r="I810" s="224"/>
    </row>
    <row r="811" ht="17.25" customHeight="1" spans="1:9" x14ac:dyDescent="0.25">
      <c r="A811" s="220">
        <v>840</v>
      </c>
      <c r="B811" s="221" t="s">
        <v>1989</v>
      </c>
      <c r="C811" s="222" t="s">
        <v>1990</v>
      </c>
      <c r="D811" s="221" t="s">
        <v>1970</v>
      </c>
      <c r="E811" s="221" t="s">
        <v>27</v>
      </c>
      <c r="F811" s="223">
        <v>0</v>
      </c>
      <c r="G811" s="221" t="s">
        <v>48</v>
      </c>
      <c r="H811" s="221" t="s">
        <v>48</v>
      </c>
      <c r="I811" s="224"/>
    </row>
    <row r="812" ht="17.25" customHeight="1" spans="1:9" x14ac:dyDescent="0.25">
      <c r="A812" s="220">
        <v>841</v>
      </c>
      <c r="B812" s="221" t="s">
        <v>1991</v>
      </c>
      <c r="C812" s="222" t="s">
        <v>1992</v>
      </c>
      <c r="D812" s="221" t="s">
        <v>1970</v>
      </c>
      <c r="E812" s="221" t="s">
        <v>27</v>
      </c>
      <c r="F812" s="223">
        <v>0</v>
      </c>
      <c r="G812" s="221" t="s">
        <v>48</v>
      </c>
      <c r="H812" s="221" t="s">
        <v>48</v>
      </c>
      <c r="I812" s="224"/>
    </row>
    <row r="813" ht="17.25" customHeight="1" spans="1:9" x14ac:dyDescent="0.25">
      <c r="A813" s="220">
        <v>842</v>
      </c>
      <c r="B813" s="221" t="s">
        <v>1993</v>
      </c>
      <c r="C813" s="222" t="s">
        <v>1994</v>
      </c>
      <c r="D813" s="221" t="s">
        <v>1970</v>
      </c>
      <c r="E813" s="221" t="s">
        <v>27</v>
      </c>
      <c r="F813" s="223">
        <v>0</v>
      </c>
      <c r="G813" s="221" t="s">
        <v>48</v>
      </c>
      <c r="H813" s="221" t="s">
        <v>48</v>
      </c>
      <c r="I813" s="224"/>
    </row>
    <row r="814" ht="17.25" customHeight="1" spans="1:9" x14ac:dyDescent="0.25">
      <c r="A814" s="220">
        <v>843</v>
      </c>
      <c r="B814" s="221" t="s">
        <v>1995</v>
      </c>
      <c r="C814" s="222" t="s">
        <v>1996</v>
      </c>
      <c r="D814" s="221" t="s">
        <v>1970</v>
      </c>
      <c r="E814" s="221" t="s">
        <v>27</v>
      </c>
      <c r="F814" s="223">
        <v>0</v>
      </c>
      <c r="G814" s="221" t="s">
        <v>48</v>
      </c>
      <c r="H814" s="221" t="s">
        <v>48</v>
      </c>
      <c r="I814" s="224"/>
    </row>
    <row r="815" ht="17.25" customHeight="1" spans="1:9" x14ac:dyDescent="0.25">
      <c r="A815" s="220">
        <v>844</v>
      </c>
      <c r="B815" s="221" t="s">
        <v>1997</v>
      </c>
      <c r="C815" s="222" t="s">
        <v>1998</v>
      </c>
      <c r="D815" s="221" t="s">
        <v>1999</v>
      </c>
      <c r="E815" s="221" t="s">
        <v>27</v>
      </c>
      <c r="F815" s="223">
        <v>0</v>
      </c>
      <c r="G815" s="221" t="s">
        <v>71</v>
      </c>
      <c r="H815" s="221" t="s">
        <v>71</v>
      </c>
      <c r="I815" s="224"/>
    </row>
    <row r="816" ht="17.25" customHeight="1" spans="1:9" x14ac:dyDescent="0.25">
      <c r="A816" s="220">
        <v>845</v>
      </c>
      <c r="B816" s="221" t="s">
        <v>2000</v>
      </c>
      <c r="C816" s="222" t="s">
        <v>2001</v>
      </c>
      <c r="D816" s="221" t="s">
        <v>1999</v>
      </c>
      <c r="E816" s="221" t="s">
        <v>27</v>
      </c>
      <c r="F816" s="223">
        <v>0</v>
      </c>
      <c r="G816" s="221" t="s">
        <v>71</v>
      </c>
      <c r="H816" s="221" t="s">
        <v>71</v>
      </c>
      <c r="I816" s="224"/>
    </row>
    <row r="817" ht="17.25" customHeight="1" spans="1:9" x14ac:dyDescent="0.25">
      <c r="A817" s="220">
        <v>846</v>
      </c>
      <c r="B817" s="221" t="s">
        <v>2002</v>
      </c>
      <c r="C817" s="222" t="s">
        <v>2003</v>
      </c>
      <c r="D817" s="221" t="s">
        <v>1999</v>
      </c>
      <c r="E817" s="221" t="s">
        <v>27</v>
      </c>
      <c r="F817" s="223">
        <v>0</v>
      </c>
      <c r="G817" s="221" t="s">
        <v>71</v>
      </c>
      <c r="H817" s="221" t="s">
        <v>71</v>
      </c>
      <c r="I817" s="224"/>
    </row>
    <row r="818" ht="17.25" customHeight="1" spans="1:9" x14ac:dyDescent="0.25">
      <c r="A818" s="220">
        <v>847</v>
      </c>
      <c r="B818" s="221" t="s">
        <v>2004</v>
      </c>
      <c r="C818" s="222" t="s">
        <v>2005</v>
      </c>
      <c r="D818" s="221" t="s">
        <v>1999</v>
      </c>
      <c r="E818" s="221" t="s">
        <v>27</v>
      </c>
      <c r="F818" s="223">
        <v>0</v>
      </c>
      <c r="G818" s="221" t="s">
        <v>71</v>
      </c>
      <c r="H818" s="221" t="s">
        <v>71</v>
      </c>
      <c r="I818" s="224"/>
    </row>
    <row r="819" ht="17.25" customHeight="1" spans="1:9" x14ac:dyDescent="0.25">
      <c r="A819" s="220">
        <v>848</v>
      </c>
      <c r="B819" s="221" t="s">
        <v>2006</v>
      </c>
      <c r="C819" s="222" t="s">
        <v>2007</v>
      </c>
      <c r="D819" s="221" t="s">
        <v>1999</v>
      </c>
      <c r="E819" s="221" t="s">
        <v>27</v>
      </c>
      <c r="F819" s="223">
        <v>0</v>
      </c>
      <c r="G819" s="221" t="s">
        <v>71</v>
      </c>
      <c r="H819" s="221" t="s">
        <v>71</v>
      </c>
      <c r="I819" s="224"/>
    </row>
    <row r="820" ht="17.25" customHeight="1" spans="1:9" x14ac:dyDescent="0.25">
      <c r="A820" s="220">
        <v>849</v>
      </c>
      <c r="B820" s="221" t="s">
        <v>2008</v>
      </c>
      <c r="C820" s="222" t="s">
        <v>2009</v>
      </c>
      <c r="D820" s="221" t="s">
        <v>1999</v>
      </c>
      <c r="E820" s="221" t="s">
        <v>27</v>
      </c>
      <c r="F820" s="223">
        <v>0</v>
      </c>
      <c r="G820" s="221" t="s">
        <v>71</v>
      </c>
      <c r="H820" s="221" t="s">
        <v>71</v>
      </c>
      <c r="I820" s="224"/>
    </row>
    <row r="821" ht="17.25" customHeight="1" spans="1:9" x14ac:dyDescent="0.25">
      <c r="A821" s="220">
        <v>850</v>
      </c>
      <c r="B821" s="221" t="s">
        <v>2010</v>
      </c>
      <c r="C821" s="222" t="s">
        <v>2011</v>
      </c>
      <c r="D821" s="221" t="s">
        <v>1999</v>
      </c>
      <c r="E821" s="221" t="s">
        <v>27</v>
      </c>
      <c r="F821" s="223">
        <v>0</v>
      </c>
      <c r="G821" s="221" t="s">
        <v>71</v>
      </c>
      <c r="H821" s="221" t="s">
        <v>71</v>
      </c>
      <c r="I821" s="222"/>
    </row>
    <row r="822" ht="17.25" customHeight="1" spans="1:9" x14ac:dyDescent="0.25">
      <c r="A822" s="220">
        <v>851</v>
      </c>
      <c r="B822" s="221" t="s">
        <v>2012</v>
      </c>
      <c r="C822" s="222" t="s">
        <v>2013</v>
      </c>
      <c r="D822" s="221" t="s">
        <v>1999</v>
      </c>
      <c r="E822" s="221" t="s">
        <v>27</v>
      </c>
      <c r="F822" s="223">
        <v>0</v>
      </c>
      <c r="G822" s="221" t="s">
        <v>71</v>
      </c>
      <c r="H822" s="221" t="s">
        <v>71</v>
      </c>
      <c r="I822" s="222" t="s">
        <v>2014</v>
      </c>
    </row>
    <row r="823" ht="17.25" customHeight="1" spans="1:9" x14ac:dyDescent="0.25">
      <c r="A823" s="220">
        <v>852</v>
      </c>
      <c r="B823" s="221" t="s">
        <v>2015</v>
      </c>
      <c r="C823" s="222" t="s">
        <v>2016</v>
      </c>
      <c r="D823" s="221" t="s">
        <v>1999</v>
      </c>
      <c r="E823" s="221" t="s">
        <v>27</v>
      </c>
      <c r="F823" s="223">
        <v>0</v>
      </c>
      <c r="G823" s="221" t="s">
        <v>71</v>
      </c>
      <c r="H823" s="221" t="s">
        <v>71</v>
      </c>
      <c r="I823" s="224"/>
    </row>
    <row r="824" ht="17.25" customHeight="1" spans="1:9" x14ac:dyDescent="0.25">
      <c r="A824" s="220">
        <v>853</v>
      </c>
      <c r="B824" s="221" t="s">
        <v>2017</v>
      </c>
      <c r="C824" s="222" t="s">
        <v>2018</v>
      </c>
      <c r="D824" s="221" t="s">
        <v>1999</v>
      </c>
      <c r="E824" s="221" t="s">
        <v>27</v>
      </c>
      <c r="F824" s="223">
        <v>0</v>
      </c>
      <c r="G824" s="221" t="s">
        <v>71</v>
      </c>
      <c r="H824" s="221" t="s">
        <v>71</v>
      </c>
      <c r="I824" s="224"/>
    </row>
    <row r="825" ht="17.25" customHeight="1" spans="1:9" x14ac:dyDescent="0.25">
      <c r="A825" s="220">
        <v>854</v>
      </c>
      <c r="B825" s="221" t="s">
        <v>2019</v>
      </c>
      <c r="C825" s="222" t="s">
        <v>2020</v>
      </c>
      <c r="D825" s="221" t="s">
        <v>1999</v>
      </c>
      <c r="E825" s="221" t="s">
        <v>27</v>
      </c>
      <c r="F825" s="223">
        <v>0</v>
      </c>
      <c r="G825" s="221" t="s">
        <v>71</v>
      </c>
      <c r="H825" s="221" t="s">
        <v>71</v>
      </c>
      <c r="I825" s="224"/>
    </row>
    <row r="826" ht="17.25" customHeight="1" spans="1:9" x14ac:dyDescent="0.25">
      <c r="A826" s="220">
        <v>855</v>
      </c>
      <c r="B826" s="221" t="s">
        <v>2021</v>
      </c>
      <c r="C826" s="222" t="s">
        <v>2022</v>
      </c>
      <c r="D826" s="221" t="s">
        <v>1999</v>
      </c>
      <c r="E826" s="221" t="s">
        <v>27</v>
      </c>
      <c r="F826" s="223">
        <v>0</v>
      </c>
      <c r="G826" s="221" t="s">
        <v>71</v>
      </c>
      <c r="H826" s="221" t="s">
        <v>71</v>
      </c>
      <c r="I826" s="224"/>
    </row>
    <row r="827" ht="17.25" customHeight="1" spans="1:9" x14ac:dyDescent="0.25">
      <c r="A827" s="220">
        <v>856</v>
      </c>
      <c r="B827" s="221" t="s">
        <v>2023</v>
      </c>
      <c r="C827" s="222" t="s">
        <v>2024</v>
      </c>
      <c r="D827" s="221" t="s">
        <v>1999</v>
      </c>
      <c r="E827" s="221" t="s">
        <v>27</v>
      </c>
      <c r="F827" s="223">
        <v>0</v>
      </c>
      <c r="G827" s="221" t="s">
        <v>71</v>
      </c>
      <c r="H827" s="221" t="s">
        <v>71</v>
      </c>
      <c r="I827" s="224"/>
    </row>
    <row r="828" ht="17.25" customHeight="1" spans="1:9" x14ac:dyDescent="0.25">
      <c r="A828" s="220">
        <v>857</v>
      </c>
      <c r="B828" s="221" t="s">
        <v>2025</v>
      </c>
      <c r="C828" s="222" t="s">
        <v>2026</v>
      </c>
      <c r="D828" s="221" t="s">
        <v>1999</v>
      </c>
      <c r="E828" s="221" t="s">
        <v>27</v>
      </c>
      <c r="F828" s="223">
        <v>0</v>
      </c>
      <c r="G828" s="221" t="s">
        <v>71</v>
      </c>
      <c r="H828" s="221" t="s">
        <v>71</v>
      </c>
      <c r="I828" s="224"/>
    </row>
    <row r="829" ht="17.25" customHeight="1" spans="1:9" x14ac:dyDescent="0.25">
      <c r="A829" s="220">
        <v>858</v>
      </c>
      <c r="B829" s="221" t="s">
        <v>2027</v>
      </c>
      <c r="C829" s="222" t="s">
        <v>2028</v>
      </c>
      <c r="D829" s="221" t="s">
        <v>1999</v>
      </c>
      <c r="E829" s="221" t="s">
        <v>27</v>
      </c>
      <c r="F829" s="223">
        <v>0</v>
      </c>
      <c r="G829" s="221" t="s">
        <v>71</v>
      </c>
      <c r="H829" s="221" t="s">
        <v>71</v>
      </c>
      <c r="I829" s="222" t="s">
        <v>656</v>
      </c>
    </row>
    <row r="830" ht="17.25" customHeight="1" spans="1:9" x14ac:dyDescent="0.25">
      <c r="A830" s="220">
        <v>859</v>
      </c>
      <c r="B830" s="221" t="s">
        <v>2029</v>
      </c>
      <c r="C830" s="222" t="s">
        <v>2030</v>
      </c>
      <c r="D830" s="221" t="s">
        <v>1999</v>
      </c>
      <c r="E830" s="221" t="s">
        <v>27</v>
      </c>
      <c r="F830" s="223">
        <v>0</v>
      </c>
      <c r="G830" s="221" t="s">
        <v>71</v>
      </c>
      <c r="H830" s="221" t="s">
        <v>71</v>
      </c>
      <c r="I830" s="224"/>
    </row>
    <row r="831" ht="17.25" customHeight="1" spans="1:9" x14ac:dyDescent="0.25">
      <c r="A831" s="220">
        <v>860</v>
      </c>
      <c r="B831" s="221" t="s">
        <v>2031</v>
      </c>
      <c r="C831" s="222" t="s">
        <v>2032</v>
      </c>
      <c r="D831" s="221" t="s">
        <v>1999</v>
      </c>
      <c r="E831" s="221" t="s">
        <v>27</v>
      </c>
      <c r="F831" s="223">
        <v>0</v>
      </c>
      <c r="G831" s="221" t="s">
        <v>71</v>
      </c>
      <c r="H831" s="221" t="s">
        <v>71</v>
      </c>
      <c r="I831" s="224"/>
    </row>
    <row r="832" ht="17.25" customHeight="1" spans="1:9" x14ac:dyDescent="0.25">
      <c r="A832" s="220">
        <v>861</v>
      </c>
      <c r="B832" s="221" t="s">
        <v>2033</v>
      </c>
      <c r="C832" s="222" t="s">
        <v>2034</v>
      </c>
      <c r="D832" s="221" t="s">
        <v>1999</v>
      </c>
      <c r="E832" s="221" t="s">
        <v>27</v>
      </c>
      <c r="F832" s="223">
        <v>0</v>
      </c>
      <c r="G832" s="221" t="s">
        <v>71</v>
      </c>
      <c r="H832" s="221" t="s">
        <v>71</v>
      </c>
      <c r="I832" s="224"/>
    </row>
    <row r="833" ht="17.25" customHeight="1" spans="1:9" x14ac:dyDescent="0.25">
      <c r="A833" s="220">
        <v>862</v>
      </c>
      <c r="B833" s="221" t="s">
        <v>2035</v>
      </c>
      <c r="C833" s="222" t="s">
        <v>2036</v>
      </c>
      <c r="D833" s="221" t="s">
        <v>1999</v>
      </c>
      <c r="E833" s="221" t="s">
        <v>27</v>
      </c>
      <c r="F833" s="223">
        <v>0</v>
      </c>
      <c r="G833" s="221" t="s">
        <v>71</v>
      </c>
      <c r="H833" s="221" t="s">
        <v>71</v>
      </c>
      <c r="I833" s="224"/>
    </row>
    <row r="834" ht="17.25" customHeight="1" spans="1:9" x14ac:dyDescent="0.25">
      <c r="A834" s="220">
        <v>863</v>
      </c>
      <c r="B834" s="221" t="s">
        <v>2037</v>
      </c>
      <c r="C834" s="222" t="s">
        <v>2038</v>
      </c>
      <c r="D834" s="221" t="s">
        <v>1999</v>
      </c>
      <c r="E834" s="221" t="s">
        <v>27</v>
      </c>
      <c r="F834" s="223">
        <v>0</v>
      </c>
      <c r="G834" s="221" t="s">
        <v>71</v>
      </c>
      <c r="H834" s="221" t="s">
        <v>71</v>
      </c>
      <c r="I834" s="224"/>
    </row>
    <row r="835" ht="17.25" customHeight="1" spans="1:9" x14ac:dyDescent="0.25">
      <c r="A835" s="220">
        <v>864</v>
      </c>
      <c r="B835" s="221" t="s">
        <v>2039</v>
      </c>
      <c r="C835" s="222" t="s">
        <v>2040</v>
      </c>
      <c r="D835" s="221" t="s">
        <v>1999</v>
      </c>
      <c r="E835" s="221" t="s">
        <v>27</v>
      </c>
      <c r="F835" s="223">
        <v>0</v>
      </c>
      <c r="G835" s="221" t="s">
        <v>71</v>
      </c>
      <c r="H835" s="221" t="s">
        <v>71</v>
      </c>
      <c r="I835" s="224"/>
    </row>
    <row r="836" ht="17.25" customHeight="1" spans="1:9" x14ac:dyDescent="0.25">
      <c r="A836" s="220">
        <v>865</v>
      </c>
      <c r="B836" s="221" t="s">
        <v>2041</v>
      </c>
      <c r="C836" s="222" t="s">
        <v>2042</v>
      </c>
      <c r="D836" s="221" t="s">
        <v>1999</v>
      </c>
      <c r="E836" s="221" t="s">
        <v>27</v>
      </c>
      <c r="F836" s="223">
        <v>0</v>
      </c>
      <c r="G836" s="221" t="s">
        <v>71</v>
      </c>
      <c r="H836" s="221" t="s">
        <v>71</v>
      </c>
      <c r="I836" s="222" t="s">
        <v>2043</v>
      </c>
    </row>
    <row r="837" ht="17.25" customHeight="1" spans="1:9" x14ac:dyDescent="0.25">
      <c r="A837" s="220">
        <v>866</v>
      </c>
      <c r="B837" s="221" t="s">
        <v>2044</v>
      </c>
      <c r="C837" s="222" t="s">
        <v>2045</v>
      </c>
      <c r="D837" s="221" t="s">
        <v>44</v>
      </c>
      <c r="E837" s="221" t="s">
        <v>395</v>
      </c>
      <c r="F837" s="223">
        <v>2650</v>
      </c>
      <c r="G837" s="221" t="s">
        <v>46</v>
      </c>
      <c r="H837" s="221" t="s">
        <v>48</v>
      </c>
      <c r="I837" s="222"/>
    </row>
    <row r="838" ht="17.25" customHeight="1" spans="1:9" x14ac:dyDescent="0.25">
      <c r="A838" s="220">
        <v>867</v>
      </c>
      <c r="B838" s="221" t="s">
        <v>2046</v>
      </c>
      <c r="C838" s="222" t="s">
        <v>2047</v>
      </c>
      <c r="D838" s="221" t="s">
        <v>44</v>
      </c>
      <c r="E838" s="221" t="s">
        <v>395</v>
      </c>
      <c r="F838" s="223">
        <v>0</v>
      </c>
      <c r="G838" s="221" t="s">
        <v>46</v>
      </c>
      <c r="H838" s="221" t="s">
        <v>48</v>
      </c>
      <c r="I838" s="222"/>
    </row>
    <row r="839" ht="17.25" customHeight="1" spans="1:9" x14ac:dyDescent="0.25">
      <c r="A839" s="220">
        <v>868</v>
      </c>
      <c r="B839" s="221" t="s">
        <v>2048</v>
      </c>
      <c r="C839" s="222" t="s">
        <v>2049</v>
      </c>
      <c r="D839" s="221" t="s">
        <v>44</v>
      </c>
      <c r="E839" s="221" t="s">
        <v>395</v>
      </c>
      <c r="F839" s="223">
        <v>3200</v>
      </c>
      <c r="G839" s="221" t="s">
        <v>46</v>
      </c>
      <c r="H839" s="221" t="s">
        <v>48</v>
      </c>
      <c r="I839" s="222"/>
    </row>
    <row r="840" ht="17.25" customHeight="1" spans="1:9" x14ac:dyDescent="0.25">
      <c r="A840" s="220">
        <v>869</v>
      </c>
      <c r="B840" s="221" t="s">
        <v>2050</v>
      </c>
      <c r="C840" s="222" t="s">
        <v>2051</v>
      </c>
      <c r="D840" s="221" t="s">
        <v>44</v>
      </c>
      <c r="E840" s="221" t="s">
        <v>395</v>
      </c>
      <c r="F840" s="223">
        <v>3000</v>
      </c>
      <c r="G840" s="221" t="s">
        <v>46</v>
      </c>
      <c r="H840" s="221" t="s">
        <v>48</v>
      </c>
      <c r="I840" s="222"/>
    </row>
    <row r="841" ht="17.25" customHeight="1" spans="1:9" x14ac:dyDescent="0.25">
      <c r="A841" s="220">
        <v>870</v>
      </c>
      <c r="B841" s="221" t="s">
        <v>2052</v>
      </c>
      <c r="C841" s="222" t="s">
        <v>2053</v>
      </c>
      <c r="D841" s="221" t="s">
        <v>44</v>
      </c>
      <c r="E841" s="221" t="s">
        <v>395</v>
      </c>
      <c r="F841" s="223">
        <v>0</v>
      </c>
      <c r="G841" s="221" t="s">
        <v>46</v>
      </c>
      <c r="H841" s="221" t="s">
        <v>48</v>
      </c>
      <c r="I841" s="222"/>
    </row>
    <row r="842" ht="17.25" customHeight="1" spans="1:9" x14ac:dyDescent="0.25">
      <c r="A842" s="220">
        <v>871</v>
      </c>
      <c r="B842" s="221" t="s">
        <v>2054</v>
      </c>
      <c r="C842" s="222" t="s">
        <v>2055</v>
      </c>
      <c r="D842" s="221" t="s">
        <v>44</v>
      </c>
      <c r="E842" s="221" t="s">
        <v>395</v>
      </c>
      <c r="F842" s="223">
        <v>3200</v>
      </c>
      <c r="G842" s="221" t="s">
        <v>46</v>
      </c>
      <c r="H842" s="221" t="s">
        <v>48</v>
      </c>
      <c r="I842" s="222"/>
    </row>
    <row r="843" ht="17.25" customHeight="1" spans="1:9" x14ac:dyDescent="0.25">
      <c r="A843" s="220">
        <v>872</v>
      </c>
      <c r="B843" s="221" t="s">
        <v>2056</v>
      </c>
      <c r="C843" s="222" t="s">
        <v>2057</v>
      </c>
      <c r="D843" s="221" t="s">
        <v>44</v>
      </c>
      <c r="E843" s="221" t="s">
        <v>395</v>
      </c>
      <c r="F843" s="223">
        <v>0</v>
      </c>
      <c r="G843" s="221" t="s">
        <v>46</v>
      </c>
      <c r="H843" s="221" t="s">
        <v>48</v>
      </c>
      <c r="I843" s="222"/>
    </row>
    <row r="844" ht="17.25" customHeight="1" spans="1:9" x14ac:dyDescent="0.25">
      <c r="A844" s="220">
        <v>873</v>
      </c>
      <c r="B844" s="221" t="s">
        <v>2058</v>
      </c>
      <c r="C844" s="222" t="s">
        <v>2059</v>
      </c>
      <c r="D844" s="221" t="s">
        <v>44</v>
      </c>
      <c r="E844" s="221" t="s">
        <v>395</v>
      </c>
      <c r="F844" s="223">
        <v>2200</v>
      </c>
      <c r="G844" s="221" t="s">
        <v>46</v>
      </c>
      <c r="H844" s="221" t="s">
        <v>48</v>
      </c>
      <c r="I844" s="222"/>
    </row>
    <row r="845" ht="17.25" customHeight="1" spans="1:9" x14ac:dyDescent="0.25">
      <c r="A845" s="220">
        <v>874</v>
      </c>
      <c r="B845" s="221" t="s">
        <v>2060</v>
      </c>
      <c r="C845" s="222" t="s">
        <v>2061</v>
      </c>
      <c r="D845" s="221" t="s">
        <v>44</v>
      </c>
      <c r="E845" s="221" t="s">
        <v>395</v>
      </c>
      <c r="F845" s="223">
        <v>2200</v>
      </c>
      <c r="G845" s="221" t="s">
        <v>46</v>
      </c>
      <c r="H845" s="221" t="s">
        <v>48</v>
      </c>
      <c r="I845" s="222"/>
    </row>
    <row r="846" ht="17.25" customHeight="1" spans="1:9" x14ac:dyDescent="0.25">
      <c r="A846" s="220">
        <v>875</v>
      </c>
      <c r="B846" s="221" t="s">
        <v>2062</v>
      </c>
      <c r="C846" s="222" t="s">
        <v>2063</v>
      </c>
      <c r="D846" s="221" t="s">
        <v>44</v>
      </c>
      <c r="E846" s="221" t="s">
        <v>395</v>
      </c>
      <c r="F846" s="223">
        <v>0</v>
      </c>
      <c r="G846" s="221" t="s">
        <v>46</v>
      </c>
      <c r="H846" s="221" t="s">
        <v>48</v>
      </c>
      <c r="I846" s="222"/>
    </row>
    <row r="847" ht="17.25" customHeight="1" spans="1:9" x14ac:dyDescent="0.25">
      <c r="A847" s="220">
        <v>876</v>
      </c>
      <c r="B847" s="221" t="s">
        <v>2064</v>
      </c>
      <c r="C847" s="222" t="s">
        <v>2065</v>
      </c>
      <c r="D847" s="221" t="s">
        <v>44</v>
      </c>
      <c r="E847" s="221" t="s">
        <v>395</v>
      </c>
      <c r="F847" s="223">
        <v>0</v>
      </c>
      <c r="G847" s="221" t="s">
        <v>46</v>
      </c>
      <c r="H847" s="221" t="s">
        <v>48</v>
      </c>
      <c r="I847" s="222"/>
    </row>
    <row r="848" ht="17.25" customHeight="1" spans="1:9" x14ac:dyDescent="0.25">
      <c r="A848" s="220">
        <v>877</v>
      </c>
      <c r="B848" s="221" t="s">
        <v>2066</v>
      </c>
      <c r="C848" s="222" t="s">
        <v>2067</v>
      </c>
      <c r="D848" s="221" t="s">
        <v>44</v>
      </c>
      <c r="E848" s="221" t="s">
        <v>395</v>
      </c>
      <c r="F848" s="223">
        <v>0</v>
      </c>
      <c r="G848" s="221" t="s">
        <v>46</v>
      </c>
      <c r="H848" s="221" t="s">
        <v>48</v>
      </c>
      <c r="I848" s="222"/>
    </row>
    <row r="849" ht="17.25" customHeight="1" spans="1:9" x14ac:dyDescent="0.25">
      <c r="A849" s="220">
        <v>878</v>
      </c>
      <c r="B849" s="221" t="s">
        <v>2068</v>
      </c>
      <c r="C849" s="222" t="s">
        <v>2069</v>
      </c>
      <c r="D849" s="221" t="s">
        <v>44</v>
      </c>
      <c r="E849" s="221" t="s">
        <v>395</v>
      </c>
      <c r="F849" s="223">
        <v>3200</v>
      </c>
      <c r="G849" s="221" t="s">
        <v>46</v>
      </c>
      <c r="H849" s="221" t="s">
        <v>48</v>
      </c>
      <c r="I849" s="222"/>
    </row>
    <row r="850" ht="17.25" customHeight="1" spans="1:9" x14ac:dyDescent="0.25">
      <c r="A850" s="220">
        <v>879</v>
      </c>
      <c r="B850" s="221" t="s">
        <v>2070</v>
      </c>
      <c r="C850" s="222" t="s">
        <v>2071</v>
      </c>
      <c r="D850" s="221" t="s">
        <v>44</v>
      </c>
      <c r="E850" s="221" t="s">
        <v>395</v>
      </c>
      <c r="F850" s="223">
        <v>3200</v>
      </c>
      <c r="G850" s="221" t="s">
        <v>46</v>
      </c>
      <c r="H850" s="221" t="s">
        <v>48</v>
      </c>
      <c r="I850" s="222"/>
    </row>
    <row r="851" ht="17.25" customHeight="1" spans="1:9" x14ac:dyDescent="0.25">
      <c r="A851" s="220">
        <v>880</v>
      </c>
      <c r="B851" s="221" t="s">
        <v>2072</v>
      </c>
      <c r="C851" s="222" t="s">
        <v>2073</v>
      </c>
      <c r="D851" s="221" t="s">
        <v>44</v>
      </c>
      <c r="E851" s="221" t="s">
        <v>395</v>
      </c>
      <c r="F851" s="223">
        <v>0</v>
      </c>
      <c r="G851" s="221" t="s">
        <v>46</v>
      </c>
      <c r="H851" s="221" t="s">
        <v>48</v>
      </c>
      <c r="I851" s="222"/>
    </row>
    <row r="852" ht="17.25" customHeight="1" spans="1:9" x14ac:dyDescent="0.25">
      <c r="A852" s="220">
        <v>881</v>
      </c>
      <c r="B852" s="221" t="s">
        <v>2074</v>
      </c>
      <c r="C852" s="222" t="s">
        <v>2075</v>
      </c>
      <c r="D852" s="221" t="s">
        <v>44</v>
      </c>
      <c r="E852" s="221" t="s">
        <v>395</v>
      </c>
      <c r="F852" s="223">
        <v>3200</v>
      </c>
      <c r="G852" s="221" t="s">
        <v>46</v>
      </c>
      <c r="H852" s="221" t="s">
        <v>48</v>
      </c>
      <c r="I852" s="222"/>
    </row>
    <row r="853" ht="17.25" customHeight="1" spans="1:9" x14ac:dyDescent="0.25">
      <c r="A853" s="220">
        <v>882</v>
      </c>
      <c r="B853" s="221" t="s">
        <v>2076</v>
      </c>
      <c r="C853" s="222" t="s">
        <v>2077</v>
      </c>
      <c r="D853" s="221" t="s">
        <v>44</v>
      </c>
      <c r="E853" s="221" t="s">
        <v>395</v>
      </c>
      <c r="F853" s="223">
        <v>0</v>
      </c>
      <c r="G853" s="221" t="s">
        <v>46</v>
      </c>
      <c r="H853" s="221" t="s">
        <v>48</v>
      </c>
      <c r="I853" s="222"/>
    </row>
    <row r="854" ht="17.25" customHeight="1" spans="1:9" x14ac:dyDescent="0.25">
      <c r="A854" s="220">
        <v>883</v>
      </c>
      <c r="B854" s="221" t="s">
        <v>2078</v>
      </c>
      <c r="C854" s="222" t="s">
        <v>2079</v>
      </c>
      <c r="D854" s="221" t="s">
        <v>44</v>
      </c>
      <c r="E854" s="221" t="s">
        <v>395</v>
      </c>
      <c r="F854" s="223">
        <v>3000</v>
      </c>
      <c r="G854" s="221" t="s">
        <v>46</v>
      </c>
      <c r="H854" s="221" t="s">
        <v>48</v>
      </c>
      <c r="I854" s="222"/>
    </row>
    <row r="855" ht="17.25" customHeight="1" spans="1:9" x14ac:dyDescent="0.25">
      <c r="A855" s="220">
        <v>884</v>
      </c>
      <c r="B855" s="221" t="s">
        <v>2080</v>
      </c>
      <c r="C855" s="222" t="s">
        <v>2081</v>
      </c>
      <c r="D855" s="221" t="s">
        <v>44</v>
      </c>
      <c r="E855" s="221" t="s">
        <v>395</v>
      </c>
      <c r="F855" s="223">
        <v>0</v>
      </c>
      <c r="G855" s="221" t="s">
        <v>46</v>
      </c>
      <c r="H855" s="221" t="s">
        <v>48</v>
      </c>
      <c r="I855" s="222"/>
    </row>
    <row r="856" ht="17.25" customHeight="1" spans="1:9" x14ac:dyDescent="0.25">
      <c r="A856" s="220">
        <v>885</v>
      </c>
      <c r="B856" s="221" t="s">
        <v>2082</v>
      </c>
      <c r="C856" s="222" t="s">
        <v>2083</v>
      </c>
      <c r="D856" s="221" t="s">
        <v>44</v>
      </c>
      <c r="E856" s="221" t="s">
        <v>395</v>
      </c>
      <c r="F856" s="223">
        <v>0</v>
      </c>
      <c r="G856" s="221" t="s">
        <v>46</v>
      </c>
      <c r="H856" s="221" t="s">
        <v>48</v>
      </c>
      <c r="I856" s="222"/>
    </row>
    <row r="857" ht="17.25" customHeight="1" spans="1:9" x14ac:dyDescent="0.25">
      <c r="A857" s="220">
        <v>886</v>
      </c>
      <c r="B857" s="221" t="s">
        <v>2084</v>
      </c>
      <c r="C857" s="222" t="s">
        <v>2085</v>
      </c>
      <c r="D857" s="221" t="s">
        <v>44</v>
      </c>
      <c r="E857" s="221" t="s">
        <v>395</v>
      </c>
      <c r="F857" s="223">
        <v>0</v>
      </c>
      <c r="G857" s="221" t="s">
        <v>46</v>
      </c>
      <c r="H857" s="221" t="s">
        <v>48</v>
      </c>
      <c r="I857" s="222"/>
    </row>
    <row r="858" ht="17.25" customHeight="1" spans="1:9" x14ac:dyDescent="0.25">
      <c r="A858" s="220">
        <v>887</v>
      </c>
      <c r="B858" s="221" t="s">
        <v>2086</v>
      </c>
      <c r="C858" s="222" t="s">
        <v>2087</v>
      </c>
      <c r="D858" s="221" t="s">
        <v>44</v>
      </c>
      <c r="E858" s="221" t="s">
        <v>395</v>
      </c>
      <c r="F858" s="223">
        <v>3200</v>
      </c>
      <c r="G858" s="221" t="s">
        <v>46</v>
      </c>
      <c r="H858" s="221" t="s">
        <v>48</v>
      </c>
      <c r="I858" s="222"/>
    </row>
    <row r="859" ht="17.25" customHeight="1" spans="1:9" x14ac:dyDescent="0.25">
      <c r="A859" s="220">
        <v>888</v>
      </c>
      <c r="B859" s="221" t="s">
        <v>2088</v>
      </c>
      <c r="C859" s="222" t="s">
        <v>2089</v>
      </c>
      <c r="D859" s="221" t="s">
        <v>44</v>
      </c>
      <c r="E859" s="221" t="s">
        <v>395</v>
      </c>
      <c r="F859" s="223">
        <v>0</v>
      </c>
      <c r="G859" s="221" t="s">
        <v>46</v>
      </c>
      <c r="H859" s="221" t="s">
        <v>48</v>
      </c>
      <c r="I859" s="222"/>
    </row>
    <row r="860" ht="17.25" customHeight="1" spans="1:9" x14ac:dyDescent="0.25">
      <c r="A860" s="220">
        <v>889</v>
      </c>
      <c r="B860" s="221" t="s">
        <v>2090</v>
      </c>
      <c r="C860" s="222" t="s">
        <v>2091</v>
      </c>
      <c r="D860" s="221" t="s">
        <v>44</v>
      </c>
      <c r="E860" s="221" t="s">
        <v>395</v>
      </c>
      <c r="F860" s="223">
        <v>2550</v>
      </c>
      <c r="G860" s="221" t="s">
        <v>46</v>
      </c>
      <c r="H860" s="221" t="s">
        <v>48</v>
      </c>
      <c r="I860" s="222"/>
    </row>
    <row r="861" ht="17.25" customHeight="1" spans="1:9" x14ac:dyDescent="0.25">
      <c r="A861" s="220">
        <v>890</v>
      </c>
      <c r="B861" s="221" t="s">
        <v>2092</v>
      </c>
      <c r="C861" s="222" t="s">
        <v>2093</v>
      </c>
      <c r="D861" s="221" t="s">
        <v>44</v>
      </c>
      <c r="E861" s="221" t="s">
        <v>395</v>
      </c>
      <c r="F861" s="223">
        <v>3200</v>
      </c>
      <c r="G861" s="221" t="s">
        <v>46</v>
      </c>
      <c r="H861" s="221" t="s">
        <v>48</v>
      </c>
      <c r="I861" s="222"/>
    </row>
    <row r="862" ht="17.25" customHeight="1" spans="1:9" x14ac:dyDescent="0.25">
      <c r="A862" s="220">
        <v>891</v>
      </c>
      <c r="B862" s="221" t="s">
        <v>2094</v>
      </c>
      <c r="C862" s="222" t="s">
        <v>2095</v>
      </c>
      <c r="D862" s="221" t="s">
        <v>44</v>
      </c>
      <c r="E862" s="221" t="s">
        <v>395</v>
      </c>
      <c r="F862" s="223">
        <v>3200</v>
      </c>
      <c r="G862" s="221" t="s">
        <v>46</v>
      </c>
      <c r="H862" s="221" t="s">
        <v>48</v>
      </c>
      <c r="I862" s="222"/>
    </row>
    <row r="863" ht="17.25" customHeight="1" spans="1:9" x14ac:dyDescent="0.25">
      <c r="A863" s="220">
        <v>892</v>
      </c>
      <c r="B863" s="221" t="s">
        <v>2096</v>
      </c>
      <c r="C863" s="222" t="s">
        <v>2097</v>
      </c>
      <c r="D863" s="221" t="s">
        <v>44</v>
      </c>
      <c r="E863" s="221" t="s">
        <v>395</v>
      </c>
      <c r="F863" s="223">
        <v>0</v>
      </c>
      <c r="G863" s="221" t="s">
        <v>46</v>
      </c>
      <c r="H863" s="221" t="s">
        <v>71</v>
      </c>
      <c r="I863" s="222"/>
    </row>
    <row r="864" ht="17.25" customHeight="1" spans="1:9" x14ac:dyDescent="0.25">
      <c r="A864" s="220">
        <v>893</v>
      </c>
      <c r="B864" s="221" t="s">
        <v>2098</v>
      </c>
      <c r="C864" s="222" t="s">
        <v>2099</v>
      </c>
      <c r="D864" s="221" t="s">
        <v>44</v>
      </c>
      <c r="E864" s="221" t="s">
        <v>395</v>
      </c>
      <c r="F864" s="223">
        <v>3200</v>
      </c>
      <c r="G864" s="221" t="s">
        <v>46</v>
      </c>
      <c r="H864" s="221" t="s">
        <v>48</v>
      </c>
      <c r="I864" s="222"/>
    </row>
    <row r="865" ht="17.25" customHeight="1" spans="1:9" x14ac:dyDescent="0.25">
      <c r="A865" s="220">
        <v>894</v>
      </c>
      <c r="B865" s="221" t="s">
        <v>2100</v>
      </c>
      <c r="C865" s="222" t="s">
        <v>2101</v>
      </c>
      <c r="D865" s="221" t="s">
        <v>44</v>
      </c>
      <c r="E865" s="221" t="s">
        <v>395</v>
      </c>
      <c r="F865" s="223">
        <v>3200</v>
      </c>
      <c r="G865" s="221" t="s">
        <v>46</v>
      </c>
      <c r="H865" s="221" t="s">
        <v>48</v>
      </c>
      <c r="I865" s="222"/>
    </row>
    <row r="866" ht="17.25" customHeight="1" spans="1:9" x14ac:dyDescent="0.25">
      <c r="A866" s="220">
        <v>895</v>
      </c>
      <c r="B866" s="221" t="s">
        <v>2102</v>
      </c>
      <c r="C866" s="222" t="s">
        <v>2103</v>
      </c>
      <c r="D866" s="221" t="s">
        <v>44</v>
      </c>
      <c r="E866" s="221" t="s">
        <v>395</v>
      </c>
      <c r="F866" s="223">
        <v>0</v>
      </c>
      <c r="G866" s="221" t="s">
        <v>46</v>
      </c>
      <c r="H866" s="221" t="s">
        <v>48</v>
      </c>
      <c r="I866" s="222"/>
    </row>
    <row r="867" ht="17.25" customHeight="1" spans="1:9" x14ac:dyDescent="0.25">
      <c r="A867" s="220">
        <v>897</v>
      </c>
      <c r="B867" s="221" t="s">
        <v>2104</v>
      </c>
      <c r="C867" s="222" t="s">
        <v>2105</v>
      </c>
      <c r="D867" s="221" t="s">
        <v>44</v>
      </c>
      <c r="E867" s="221" t="s">
        <v>395</v>
      </c>
      <c r="F867" s="223">
        <v>0</v>
      </c>
      <c r="G867" s="221" t="s">
        <v>46</v>
      </c>
      <c r="H867" s="221" t="s">
        <v>48</v>
      </c>
      <c r="I867" s="222"/>
    </row>
    <row r="868" ht="17.25" customHeight="1" spans="1:9" x14ac:dyDescent="0.25">
      <c r="A868" s="220">
        <v>898</v>
      </c>
      <c r="B868" s="221" t="s">
        <v>2106</v>
      </c>
      <c r="C868" s="222" t="s">
        <v>2107</v>
      </c>
      <c r="D868" s="221" t="s">
        <v>44</v>
      </c>
      <c r="E868" s="221" t="s">
        <v>27</v>
      </c>
      <c r="F868" s="223">
        <v>0</v>
      </c>
      <c r="G868" s="221" t="s">
        <v>48</v>
      </c>
      <c r="H868" s="221" t="s">
        <v>48</v>
      </c>
      <c r="I868" s="224"/>
    </row>
    <row r="869" ht="17.25" customHeight="1" spans="1:9" x14ac:dyDescent="0.25">
      <c r="A869" s="220">
        <v>899</v>
      </c>
      <c r="B869" s="221" t="s">
        <v>2108</v>
      </c>
      <c r="C869" s="222" t="s">
        <v>2109</v>
      </c>
      <c r="D869" s="221" t="s">
        <v>44</v>
      </c>
      <c r="E869" s="221" t="s">
        <v>27</v>
      </c>
      <c r="F869" s="223">
        <v>0</v>
      </c>
      <c r="G869" s="221" t="s">
        <v>48</v>
      </c>
      <c r="H869" s="221" t="s">
        <v>48</v>
      </c>
      <c r="I869" s="224"/>
    </row>
    <row r="870" ht="17.25" customHeight="1" spans="1:9" x14ac:dyDescent="0.25">
      <c r="A870" s="220">
        <v>900</v>
      </c>
      <c r="B870" s="221" t="s">
        <v>2110</v>
      </c>
      <c r="C870" s="222" t="s">
        <v>2111</v>
      </c>
      <c r="D870" s="221" t="s">
        <v>44</v>
      </c>
      <c r="E870" s="221" t="s">
        <v>27</v>
      </c>
      <c r="F870" s="223">
        <v>0</v>
      </c>
      <c r="G870" s="221" t="s">
        <v>48</v>
      </c>
      <c r="H870" s="221" t="s">
        <v>48</v>
      </c>
      <c r="I870" s="224"/>
    </row>
    <row r="871" ht="17.25" customHeight="1" spans="1:9" x14ac:dyDescent="0.25">
      <c r="A871" s="220">
        <v>901</v>
      </c>
      <c r="B871" s="221" t="s">
        <v>2112</v>
      </c>
      <c r="C871" s="222" t="s">
        <v>2113</v>
      </c>
      <c r="D871" s="221" t="s">
        <v>44</v>
      </c>
      <c r="E871" s="221" t="s">
        <v>27</v>
      </c>
      <c r="F871" s="223">
        <v>0</v>
      </c>
      <c r="G871" s="221" t="s">
        <v>48</v>
      </c>
      <c r="H871" s="221" t="s">
        <v>48</v>
      </c>
      <c r="I871" s="224"/>
    </row>
    <row r="872" ht="17.25" customHeight="1" spans="1:9" x14ac:dyDescent="0.25">
      <c r="A872" s="220">
        <v>902</v>
      </c>
      <c r="B872" s="221" t="s">
        <v>2114</v>
      </c>
      <c r="C872" s="222" t="s">
        <v>2115</v>
      </c>
      <c r="D872" s="221" t="s">
        <v>44</v>
      </c>
      <c r="E872" s="221" t="s">
        <v>27</v>
      </c>
      <c r="F872" s="223">
        <v>0</v>
      </c>
      <c r="G872" s="221" t="s">
        <v>48</v>
      </c>
      <c r="H872" s="221" t="s">
        <v>48</v>
      </c>
      <c r="I872" s="224"/>
    </row>
    <row r="873" ht="17.25" customHeight="1" spans="1:9" x14ac:dyDescent="0.25">
      <c r="A873" s="220">
        <v>903</v>
      </c>
      <c r="B873" s="221" t="s">
        <v>2116</v>
      </c>
      <c r="C873" s="222" t="s">
        <v>2117</v>
      </c>
      <c r="D873" s="221" t="s">
        <v>44</v>
      </c>
      <c r="E873" s="221" t="s">
        <v>27</v>
      </c>
      <c r="F873" s="223">
        <v>0</v>
      </c>
      <c r="G873" s="221" t="s">
        <v>48</v>
      </c>
      <c r="H873" s="221" t="s">
        <v>48</v>
      </c>
      <c r="I873" s="224"/>
    </row>
    <row r="874" ht="17.25" customHeight="1" spans="1:9" x14ac:dyDescent="0.25">
      <c r="A874" s="220">
        <v>904</v>
      </c>
      <c r="B874" s="221" t="s">
        <v>2118</v>
      </c>
      <c r="C874" s="222" t="s">
        <v>2119</v>
      </c>
      <c r="D874" s="221" t="s">
        <v>44</v>
      </c>
      <c r="E874" s="221" t="s">
        <v>27</v>
      </c>
      <c r="F874" s="223">
        <v>0</v>
      </c>
      <c r="G874" s="221" t="s">
        <v>48</v>
      </c>
      <c r="H874" s="221" t="s">
        <v>48</v>
      </c>
      <c r="I874" s="224"/>
    </row>
    <row r="875" ht="17.25" customHeight="1" spans="1:9" x14ac:dyDescent="0.25">
      <c r="A875" s="220">
        <v>905</v>
      </c>
      <c r="B875" s="221" t="s">
        <v>2120</v>
      </c>
      <c r="C875" s="222" t="s">
        <v>2121</v>
      </c>
      <c r="D875" s="221" t="s">
        <v>44</v>
      </c>
      <c r="E875" s="221" t="s">
        <v>27</v>
      </c>
      <c r="F875" s="223">
        <v>0</v>
      </c>
      <c r="G875" s="221" t="s">
        <v>48</v>
      </c>
      <c r="H875" s="221" t="s">
        <v>48</v>
      </c>
      <c r="I875" s="224"/>
    </row>
    <row r="876" ht="17.25" customHeight="1" spans="1:9" x14ac:dyDescent="0.25">
      <c r="A876" s="220">
        <v>906</v>
      </c>
      <c r="B876" s="221" t="s">
        <v>2122</v>
      </c>
      <c r="C876" s="222" t="s">
        <v>2123</v>
      </c>
      <c r="D876" s="221" t="s">
        <v>44</v>
      </c>
      <c r="E876" s="221" t="s">
        <v>27</v>
      </c>
      <c r="F876" s="223">
        <v>0</v>
      </c>
      <c r="G876" s="221" t="s">
        <v>48</v>
      </c>
      <c r="H876" s="221" t="s">
        <v>48</v>
      </c>
      <c r="I876" s="224"/>
    </row>
    <row r="877" ht="17.25" customHeight="1" spans="1:9" x14ac:dyDescent="0.25">
      <c r="A877" s="220">
        <v>907</v>
      </c>
      <c r="B877" s="221" t="s">
        <v>2124</v>
      </c>
      <c r="C877" s="222" t="s">
        <v>2125</v>
      </c>
      <c r="D877" s="221" t="s">
        <v>44</v>
      </c>
      <c r="E877" s="221" t="s">
        <v>27</v>
      </c>
      <c r="F877" s="223">
        <v>0</v>
      </c>
      <c r="G877" s="221" t="s">
        <v>48</v>
      </c>
      <c r="H877" s="221" t="s">
        <v>48</v>
      </c>
      <c r="I877" s="222" t="s">
        <v>2126</v>
      </c>
    </row>
    <row r="878" ht="17.25" customHeight="1" spans="1:9" x14ac:dyDescent="0.25">
      <c r="A878" s="220">
        <v>908</v>
      </c>
      <c r="B878" s="221" t="s">
        <v>2127</v>
      </c>
      <c r="C878" s="222" t="s">
        <v>2128</v>
      </c>
      <c r="D878" s="221" t="s">
        <v>44</v>
      </c>
      <c r="E878" s="221" t="s">
        <v>27</v>
      </c>
      <c r="F878" s="223">
        <v>0</v>
      </c>
      <c r="G878" s="221" t="s">
        <v>48</v>
      </c>
      <c r="H878" s="221" t="s">
        <v>48</v>
      </c>
      <c r="I878" s="224"/>
    </row>
    <row r="879" ht="17.25" customHeight="1" spans="1:9" x14ac:dyDescent="0.25">
      <c r="A879" s="220">
        <v>909</v>
      </c>
      <c r="B879" s="221" t="s">
        <v>2129</v>
      </c>
      <c r="C879" s="222" t="s">
        <v>2130</v>
      </c>
      <c r="D879" s="221" t="s">
        <v>44</v>
      </c>
      <c r="E879" s="221" t="s">
        <v>27</v>
      </c>
      <c r="F879" s="223">
        <v>0</v>
      </c>
      <c r="G879" s="221" t="s">
        <v>48</v>
      </c>
      <c r="H879" s="221" t="s">
        <v>48</v>
      </c>
      <c r="I879" s="224"/>
    </row>
    <row r="880" ht="17.25" customHeight="1" spans="1:9" x14ac:dyDescent="0.25">
      <c r="A880" s="220">
        <v>910</v>
      </c>
      <c r="B880" s="221" t="s">
        <v>2131</v>
      </c>
      <c r="C880" s="222" t="s">
        <v>2132</v>
      </c>
      <c r="D880" s="221" t="s">
        <v>44</v>
      </c>
      <c r="E880" s="221" t="s">
        <v>27</v>
      </c>
      <c r="F880" s="223">
        <v>0</v>
      </c>
      <c r="G880" s="221" t="s">
        <v>48</v>
      </c>
      <c r="H880" s="221" t="s">
        <v>48</v>
      </c>
      <c r="I880" s="224"/>
    </row>
    <row r="881" ht="17.25" customHeight="1" spans="1:9" x14ac:dyDescent="0.25">
      <c r="A881" s="220">
        <v>911</v>
      </c>
      <c r="B881" s="221" t="s">
        <v>2133</v>
      </c>
      <c r="C881" s="222" t="s">
        <v>2134</v>
      </c>
      <c r="D881" s="221" t="s">
        <v>44</v>
      </c>
      <c r="E881" s="221" t="s">
        <v>27</v>
      </c>
      <c r="F881" s="223">
        <v>0</v>
      </c>
      <c r="G881" s="221" t="s">
        <v>48</v>
      </c>
      <c r="H881" s="221" t="s">
        <v>48</v>
      </c>
      <c r="I881" s="224"/>
    </row>
    <row r="882" ht="17.25" customHeight="1" spans="1:9" x14ac:dyDescent="0.25">
      <c r="A882" s="220">
        <v>912</v>
      </c>
      <c r="B882" s="221" t="s">
        <v>2135</v>
      </c>
      <c r="C882" s="222" t="s">
        <v>2136</v>
      </c>
      <c r="D882" s="221" t="s">
        <v>44</v>
      </c>
      <c r="E882" s="221" t="s">
        <v>27</v>
      </c>
      <c r="F882" s="223">
        <v>0</v>
      </c>
      <c r="G882" s="221" t="s">
        <v>48</v>
      </c>
      <c r="H882" s="221" t="s">
        <v>48</v>
      </c>
      <c r="I882" s="224"/>
    </row>
    <row r="883" ht="17.25" customHeight="1" spans="1:9" x14ac:dyDescent="0.25">
      <c r="A883" s="220">
        <v>913</v>
      </c>
      <c r="B883" s="221" t="s">
        <v>2137</v>
      </c>
      <c r="C883" s="222" t="s">
        <v>2138</v>
      </c>
      <c r="D883" s="221" t="s">
        <v>44</v>
      </c>
      <c r="E883" s="221" t="s">
        <v>27</v>
      </c>
      <c r="F883" s="223">
        <v>0</v>
      </c>
      <c r="G883" s="221" t="s">
        <v>48</v>
      </c>
      <c r="H883" s="221" t="s">
        <v>48</v>
      </c>
      <c r="I883" s="224"/>
    </row>
    <row r="884" ht="17.25" customHeight="1" spans="1:9" x14ac:dyDescent="0.25">
      <c r="A884" s="220">
        <v>914</v>
      </c>
      <c r="B884" s="221" t="s">
        <v>2139</v>
      </c>
      <c r="C884" s="222" t="s">
        <v>2140</v>
      </c>
      <c r="D884" s="221" t="s">
        <v>44</v>
      </c>
      <c r="E884" s="221" t="s">
        <v>27</v>
      </c>
      <c r="F884" s="223">
        <v>0</v>
      </c>
      <c r="G884" s="221" t="s">
        <v>48</v>
      </c>
      <c r="H884" s="221" t="s">
        <v>48</v>
      </c>
      <c r="I884" s="222" t="s">
        <v>2126</v>
      </c>
    </row>
    <row r="885" ht="17.25" customHeight="1" spans="1:9" x14ac:dyDescent="0.25">
      <c r="A885" s="220">
        <v>915</v>
      </c>
      <c r="B885" s="221" t="s">
        <v>2141</v>
      </c>
      <c r="C885" s="222" t="s">
        <v>2142</v>
      </c>
      <c r="D885" s="221" t="s">
        <v>44</v>
      </c>
      <c r="E885" s="221" t="s">
        <v>27</v>
      </c>
      <c r="F885" s="223">
        <v>0</v>
      </c>
      <c r="G885" s="221" t="s">
        <v>48</v>
      </c>
      <c r="H885" s="221" t="s">
        <v>48</v>
      </c>
      <c r="I885" s="222" t="s">
        <v>2143</v>
      </c>
    </row>
    <row r="886" ht="17.25" customHeight="1" spans="1:9" x14ac:dyDescent="0.25">
      <c r="A886" s="220">
        <v>916</v>
      </c>
      <c r="B886" s="221" t="s">
        <v>2144</v>
      </c>
      <c r="C886" s="222" t="s">
        <v>2145</v>
      </c>
      <c r="D886" s="221" t="s">
        <v>44</v>
      </c>
      <c r="E886" s="221" t="s">
        <v>27</v>
      </c>
      <c r="F886" s="223">
        <v>0</v>
      </c>
      <c r="G886" s="221" t="s">
        <v>48</v>
      </c>
      <c r="H886" s="221" t="s">
        <v>48</v>
      </c>
      <c r="I886" s="224"/>
    </row>
    <row r="887" ht="17.25" customHeight="1" spans="1:9" x14ac:dyDescent="0.25">
      <c r="A887" s="220">
        <v>917</v>
      </c>
      <c r="B887" s="221" t="s">
        <v>2146</v>
      </c>
      <c r="C887" s="222" t="s">
        <v>2147</v>
      </c>
      <c r="D887" s="221" t="s">
        <v>44</v>
      </c>
      <c r="E887" s="221" t="s">
        <v>27</v>
      </c>
      <c r="F887" s="223">
        <v>0</v>
      </c>
      <c r="G887" s="221" t="s">
        <v>48</v>
      </c>
      <c r="H887" s="221" t="s">
        <v>48</v>
      </c>
      <c r="I887" s="224"/>
    </row>
    <row r="888" ht="17.25" customHeight="1" spans="1:9" x14ac:dyDescent="0.25">
      <c r="A888" s="220">
        <v>918</v>
      </c>
      <c r="B888" s="221" t="s">
        <v>2148</v>
      </c>
      <c r="C888" s="222" t="s">
        <v>2149</v>
      </c>
      <c r="D888" s="221" t="s">
        <v>44</v>
      </c>
      <c r="E888" s="221" t="s">
        <v>27</v>
      </c>
      <c r="F888" s="223">
        <v>0</v>
      </c>
      <c r="G888" s="221" t="s">
        <v>48</v>
      </c>
      <c r="H888" s="221" t="s">
        <v>48</v>
      </c>
      <c r="I888" s="224"/>
    </row>
    <row r="889" ht="17.25" customHeight="1" spans="1:9" x14ac:dyDescent="0.25">
      <c r="A889" s="220">
        <v>919</v>
      </c>
      <c r="B889" s="221" t="s">
        <v>2150</v>
      </c>
      <c r="C889" s="222" t="s">
        <v>2151</v>
      </c>
      <c r="D889" s="221" t="s">
        <v>44</v>
      </c>
      <c r="E889" s="221" t="s">
        <v>27</v>
      </c>
      <c r="F889" s="223">
        <v>0</v>
      </c>
      <c r="G889" s="221" t="s">
        <v>48</v>
      </c>
      <c r="H889" s="221" t="s">
        <v>48</v>
      </c>
      <c r="I889" s="224"/>
    </row>
    <row r="890" ht="17.25" customHeight="1" spans="1:9" x14ac:dyDescent="0.25">
      <c r="A890" s="220">
        <v>920</v>
      </c>
      <c r="B890" s="221" t="s">
        <v>2152</v>
      </c>
      <c r="C890" s="222" t="s">
        <v>2153</v>
      </c>
      <c r="D890" s="221" t="s">
        <v>44</v>
      </c>
      <c r="E890" s="221" t="s">
        <v>27</v>
      </c>
      <c r="F890" s="223">
        <v>0</v>
      </c>
      <c r="G890" s="221" t="s">
        <v>48</v>
      </c>
      <c r="H890" s="221" t="s">
        <v>48</v>
      </c>
      <c r="I890" s="224"/>
    </row>
    <row r="891" ht="17.25" customHeight="1" spans="1:9" x14ac:dyDescent="0.25">
      <c r="A891" s="220">
        <v>921</v>
      </c>
      <c r="B891" s="221" t="s">
        <v>2154</v>
      </c>
      <c r="C891" s="222" t="s">
        <v>2155</v>
      </c>
      <c r="D891" s="221" t="s">
        <v>44</v>
      </c>
      <c r="E891" s="221" t="s">
        <v>27</v>
      </c>
      <c r="F891" s="223">
        <v>0</v>
      </c>
      <c r="G891" s="221" t="s">
        <v>48</v>
      </c>
      <c r="H891" s="221" t="s">
        <v>48</v>
      </c>
      <c r="I891" s="222" t="s">
        <v>2126</v>
      </c>
    </row>
    <row r="892" ht="17.25" customHeight="1" spans="1:9" x14ac:dyDescent="0.25">
      <c r="A892" s="220">
        <v>922</v>
      </c>
      <c r="B892" s="221" t="s">
        <v>2156</v>
      </c>
      <c r="C892" s="222" t="s">
        <v>2157</v>
      </c>
      <c r="D892" s="221" t="s">
        <v>44</v>
      </c>
      <c r="E892" s="221" t="s">
        <v>27</v>
      </c>
      <c r="F892" s="223">
        <v>0</v>
      </c>
      <c r="G892" s="221" t="s">
        <v>48</v>
      </c>
      <c r="H892" s="221" t="s">
        <v>48</v>
      </c>
      <c r="I892" s="222" t="s">
        <v>2143</v>
      </c>
    </row>
    <row r="893" ht="17.25" customHeight="1" spans="1:9" x14ac:dyDescent="0.25">
      <c r="A893" s="220">
        <v>923</v>
      </c>
      <c r="B893" s="221" t="s">
        <v>2158</v>
      </c>
      <c r="C893" s="222" t="s">
        <v>2159</v>
      </c>
      <c r="D893" s="221" t="s">
        <v>44</v>
      </c>
      <c r="E893" s="221" t="s">
        <v>27</v>
      </c>
      <c r="F893" s="223">
        <v>0</v>
      </c>
      <c r="G893" s="221" t="s">
        <v>48</v>
      </c>
      <c r="H893" s="221" t="s">
        <v>48</v>
      </c>
      <c r="I893" s="224"/>
    </row>
    <row r="894" ht="17.25" customHeight="1" spans="1:9" x14ac:dyDescent="0.25">
      <c r="A894" s="220">
        <v>924</v>
      </c>
      <c r="B894" s="221" t="s">
        <v>2160</v>
      </c>
      <c r="C894" s="222" t="s">
        <v>2161</v>
      </c>
      <c r="D894" s="221" t="s">
        <v>44</v>
      </c>
      <c r="E894" s="221" t="s">
        <v>27</v>
      </c>
      <c r="F894" s="223">
        <v>0</v>
      </c>
      <c r="G894" s="221" t="s">
        <v>48</v>
      </c>
      <c r="H894" s="221" t="s">
        <v>48</v>
      </c>
      <c r="I894" s="224"/>
    </row>
    <row r="895" ht="17.25" customHeight="1" spans="1:9" x14ac:dyDescent="0.25">
      <c r="A895" s="220">
        <v>925</v>
      </c>
      <c r="B895" s="221" t="s">
        <v>2162</v>
      </c>
      <c r="C895" s="222" t="s">
        <v>2163</v>
      </c>
      <c r="D895" s="221" t="s">
        <v>44</v>
      </c>
      <c r="E895" s="221" t="s">
        <v>27</v>
      </c>
      <c r="F895" s="223">
        <v>0</v>
      </c>
      <c r="G895" s="221" t="s">
        <v>48</v>
      </c>
      <c r="H895" s="221" t="s">
        <v>48</v>
      </c>
      <c r="I895" s="224"/>
    </row>
    <row r="896" ht="17.25" customHeight="1" spans="1:9" x14ac:dyDescent="0.25">
      <c r="A896" s="220">
        <v>926</v>
      </c>
      <c r="B896" s="221" t="s">
        <v>2164</v>
      </c>
      <c r="C896" s="222" t="s">
        <v>2165</v>
      </c>
      <c r="D896" s="221" t="s">
        <v>44</v>
      </c>
      <c r="E896" s="221" t="s">
        <v>27</v>
      </c>
      <c r="F896" s="223">
        <v>0</v>
      </c>
      <c r="G896" s="221" t="s">
        <v>48</v>
      </c>
      <c r="H896" s="221" t="s">
        <v>48</v>
      </c>
      <c r="I896" s="224"/>
    </row>
    <row r="897" ht="17.25" customHeight="1" spans="1:9" x14ac:dyDescent="0.25">
      <c r="A897" s="220">
        <v>927</v>
      </c>
      <c r="B897" s="221" t="s">
        <v>2166</v>
      </c>
      <c r="C897" s="222" t="s">
        <v>2167</v>
      </c>
      <c r="D897" s="221" t="s">
        <v>44</v>
      </c>
      <c r="E897" s="221" t="s">
        <v>27</v>
      </c>
      <c r="F897" s="223">
        <v>0</v>
      </c>
      <c r="G897" s="221" t="s">
        <v>48</v>
      </c>
      <c r="H897" s="221" t="s">
        <v>48</v>
      </c>
      <c r="I897" s="224"/>
    </row>
    <row r="898" ht="17.25" customHeight="1" spans="1:9" x14ac:dyDescent="0.25">
      <c r="A898" s="220">
        <v>928</v>
      </c>
      <c r="B898" s="221" t="s">
        <v>2168</v>
      </c>
      <c r="C898" s="222" t="s">
        <v>2169</v>
      </c>
      <c r="D898" s="221" t="s">
        <v>44</v>
      </c>
      <c r="E898" s="221" t="s">
        <v>27</v>
      </c>
      <c r="F898" s="223">
        <v>0</v>
      </c>
      <c r="G898" s="221" t="s">
        <v>48</v>
      </c>
      <c r="H898" s="221" t="s">
        <v>48</v>
      </c>
      <c r="I898" s="224"/>
    </row>
    <row r="899" ht="17.25" customHeight="1" spans="1:9" x14ac:dyDescent="0.25">
      <c r="A899" s="220">
        <v>929</v>
      </c>
      <c r="B899" s="221" t="s">
        <v>2170</v>
      </c>
      <c r="C899" s="222" t="s">
        <v>2171</v>
      </c>
      <c r="D899" s="221" t="s">
        <v>44</v>
      </c>
      <c r="E899" s="221" t="s">
        <v>27</v>
      </c>
      <c r="F899" s="223">
        <v>0</v>
      </c>
      <c r="G899" s="221" t="s">
        <v>48</v>
      </c>
      <c r="H899" s="221" t="s">
        <v>48</v>
      </c>
      <c r="I899" s="224"/>
    </row>
    <row r="900" ht="17.25" customHeight="1" spans="1:9" x14ac:dyDescent="0.25">
      <c r="A900" s="220">
        <v>930</v>
      </c>
      <c r="B900" s="221" t="s">
        <v>2172</v>
      </c>
      <c r="C900" s="222" t="s">
        <v>2173</v>
      </c>
      <c r="D900" s="221" t="s">
        <v>44</v>
      </c>
      <c r="E900" s="221" t="s">
        <v>27</v>
      </c>
      <c r="F900" s="223">
        <v>0</v>
      </c>
      <c r="G900" s="221" t="s">
        <v>48</v>
      </c>
      <c r="H900" s="221" t="s">
        <v>48</v>
      </c>
      <c r="I900" s="224"/>
    </row>
    <row r="901" ht="17.25" customHeight="1" spans="1:9" x14ac:dyDescent="0.25">
      <c r="A901" s="220">
        <v>931</v>
      </c>
      <c r="B901" s="221" t="s">
        <v>2174</v>
      </c>
      <c r="C901" s="222" t="s">
        <v>2175</v>
      </c>
      <c r="D901" s="221" t="s">
        <v>44</v>
      </c>
      <c r="E901" s="221" t="s">
        <v>27</v>
      </c>
      <c r="F901" s="223">
        <v>0</v>
      </c>
      <c r="G901" s="221" t="s">
        <v>48</v>
      </c>
      <c r="H901" s="221" t="s">
        <v>48</v>
      </c>
      <c r="I901" s="224"/>
    </row>
    <row r="902" ht="17.25" customHeight="1" spans="1:9" x14ac:dyDescent="0.25">
      <c r="A902" s="220">
        <v>932</v>
      </c>
      <c r="B902" s="221" t="s">
        <v>2176</v>
      </c>
      <c r="C902" s="222" t="s">
        <v>2177</v>
      </c>
      <c r="D902" s="221" t="s">
        <v>44</v>
      </c>
      <c r="E902" s="221" t="s">
        <v>27</v>
      </c>
      <c r="F902" s="223">
        <v>0</v>
      </c>
      <c r="G902" s="221" t="s">
        <v>48</v>
      </c>
      <c r="H902" s="221" t="s">
        <v>48</v>
      </c>
      <c r="I902" s="222" t="s">
        <v>2126</v>
      </c>
    </row>
    <row r="903" ht="17.25" customHeight="1" spans="1:9" x14ac:dyDescent="0.25">
      <c r="A903" s="220">
        <v>933</v>
      </c>
      <c r="B903" s="221" t="s">
        <v>2178</v>
      </c>
      <c r="C903" s="222" t="s">
        <v>2179</v>
      </c>
      <c r="D903" s="221" t="s">
        <v>44</v>
      </c>
      <c r="E903" s="221" t="s">
        <v>27</v>
      </c>
      <c r="F903" s="223">
        <v>0</v>
      </c>
      <c r="G903" s="221" t="s">
        <v>48</v>
      </c>
      <c r="H903" s="221" t="s">
        <v>48</v>
      </c>
      <c r="I903" s="224"/>
    </row>
    <row r="904" ht="17.25" customHeight="1" spans="1:9" x14ac:dyDescent="0.25">
      <c r="A904" s="220">
        <v>934</v>
      </c>
      <c r="B904" s="221" t="s">
        <v>2180</v>
      </c>
      <c r="C904" s="222" t="s">
        <v>2181</v>
      </c>
      <c r="D904" s="221" t="s">
        <v>44</v>
      </c>
      <c r="E904" s="221" t="s">
        <v>27</v>
      </c>
      <c r="F904" s="223">
        <v>0</v>
      </c>
      <c r="G904" s="221" t="s">
        <v>48</v>
      </c>
      <c r="H904" s="221" t="s">
        <v>48</v>
      </c>
      <c r="I904" s="222" t="s">
        <v>2143</v>
      </c>
    </row>
    <row r="905" ht="17.25" customHeight="1" spans="1:9" x14ac:dyDescent="0.25">
      <c r="A905" s="220">
        <v>935</v>
      </c>
      <c r="B905" s="221" t="s">
        <v>2182</v>
      </c>
      <c r="C905" s="222" t="s">
        <v>2183</v>
      </c>
      <c r="D905" s="221" t="s">
        <v>44</v>
      </c>
      <c r="E905" s="221" t="s">
        <v>27</v>
      </c>
      <c r="F905" s="223">
        <v>0</v>
      </c>
      <c r="G905" s="221" t="s">
        <v>48</v>
      </c>
      <c r="H905" s="221" t="s">
        <v>48</v>
      </c>
      <c r="I905" s="224"/>
    </row>
    <row r="906" ht="17.25" customHeight="1" spans="1:9" x14ac:dyDescent="0.25">
      <c r="A906" s="220">
        <v>936</v>
      </c>
      <c r="B906" s="221" t="s">
        <v>2184</v>
      </c>
      <c r="C906" s="222" t="s">
        <v>2185</v>
      </c>
      <c r="D906" s="221" t="s">
        <v>44</v>
      </c>
      <c r="E906" s="221" t="s">
        <v>27</v>
      </c>
      <c r="F906" s="223">
        <v>0</v>
      </c>
      <c r="G906" s="221" t="s">
        <v>48</v>
      </c>
      <c r="H906" s="221" t="s">
        <v>48</v>
      </c>
      <c r="I906" s="224"/>
    </row>
    <row r="907" ht="17.25" customHeight="1" spans="1:9" x14ac:dyDescent="0.25">
      <c r="A907" s="220">
        <v>937</v>
      </c>
      <c r="B907" s="221" t="s">
        <v>2186</v>
      </c>
      <c r="C907" s="222" t="s">
        <v>2187</v>
      </c>
      <c r="D907" s="221" t="s">
        <v>44</v>
      </c>
      <c r="E907" s="221" t="s">
        <v>27</v>
      </c>
      <c r="F907" s="223">
        <v>0</v>
      </c>
      <c r="G907" s="221" t="s">
        <v>48</v>
      </c>
      <c r="H907" s="221" t="s">
        <v>48</v>
      </c>
      <c r="I907" s="224"/>
    </row>
    <row r="908" ht="17.25" customHeight="1" spans="1:9" x14ac:dyDescent="0.25">
      <c r="A908" s="220">
        <v>938</v>
      </c>
      <c r="B908" s="221" t="s">
        <v>2188</v>
      </c>
      <c r="C908" s="222" t="s">
        <v>2189</v>
      </c>
      <c r="D908" s="221" t="s">
        <v>44</v>
      </c>
      <c r="E908" s="221" t="s">
        <v>27</v>
      </c>
      <c r="F908" s="223">
        <v>0</v>
      </c>
      <c r="G908" s="221" t="s">
        <v>48</v>
      </c>
      <c r="H908" s="221" t="s">
        <v>48</v>
      </c>
      <c r="I908" s="224"/>
    </row>
    <row r="909" ht="17.25" customHeight="1" spans="1:9" x14ac:dyDescent="0.25">
      <c r="A909" s="220">
        <v>939</v>
      </c>
      <c r="B909" s="221" t="s">
        <v>2190</v>
      </c>
      <c r="C909" s="222" t="s">
        <v>2191</v>
      </c>
      <c r="D909" s="221" t="s">
        <v>44</v>
      </c>
      <c r="E909" s="221" t="s">
        <v>27</v>
      </c>
      <c r="F909" s="223">
        <v>0</v>
      </c>
      <c r="G909" s="221" t="s">
        <v>48</v>
      </c>
      <c r="H909" s="221" t="s">
        <v>48</v>
      </c>
      <c r="I909" s="224"/>
    </row>
    <row r="910" ht="17.25" customHeight="1" spans="1:9" x14ac:dyDescent="0.25">
      <c r="A910" s="220">
        <v>940</v>
      </c>
      <c r="B910" s="221" t="s">
        <v>2192</v>
      </c>
      <c r="C910" s="222" t="s">
        <v>2193</v>
      </c>
      <c r="D910" s="221" t="s">
        <v>44</v>
      </c>
      <c r="E910" s="221" t="s">
        <v>27</v>
      </c>
      <c r="F910" s="223">
        <v>0</v>
      </c>
      <c r="G910" s="221" t="s">
        <v>48</v>
      </c>
      <c r="H910" s="221" t="s">
        <v>48</v>
      </c>
      <c r="I910" s="224"/>
    </row>
    <row r="911" ht="17.25" customHeight="1" spans="1:9" x14ac:dyDescent="0.25">
      <c r="A911" s="220">
        <v>941</v>
      </c>
      <c r="B911" s="221" t="s">
        <v>2194</v>
      </c>
      <c r="C911" s="222" t="s">
        <v>2195</v>
      </c>
      <c r="D911" s="221" t="s">
        <v>44</v>
      </c>
      <c r="E911" s="221" t="s">
        <v>27</v>
      </c>
      <c r="F911" s="223">
        <v>0</v>
      </c>
      <c r="G911" s="221" t="s">
        <v>48</v>
      </c>
      <c r="H911" s="221" t="s">
        <v>48</v>
      </c>
      <c r="I911" s="222" t="s">
        <v>2126</v>
      </c>
    </row>
    <row r="912" ht="17.25" customHeight="1" spans="1:9" x14ac:dyDescent="0.25">
      <c r="A912" s="220">
        <v>942</v>
      </c>
      <c r="B912" s="221" t="s">
        <v>2196</v>
      </c>
      <c r="C912" s="222" t="s">
        <v>2197</v>
      </c>
      <c r="D912" s="221" t="s">
        <v>44</v>
      </c>
      <c r="E912" s="221" t="s">
        <v>27</v>
      </c>
      <c r="F912" s="223">
        <v>0</v>
      </c>
      <c r="G912" s="221" t="s">
        <v>48</v>
      </c>
      <c r="H912" s="221" t="s">
        <v>48</v>
      </c>
      <c r="I912" s="222" t="s">
        <v>2143</v>
      </c>
    </row>
    <row r="913" ht="17.25" customHeight="1" spans="1:9" x14ac:dyDescent="0.25">
      <c r="A913" s="220">
        <v>943</v>
      </c>
      <c r="B913" s="221" t="s">
        <v>2198</v>
      </c>
      <c r="C913" s="222" t="s">
        <v>2199</v>
      </c>
      <c r="D913" s="221" t="s">
        <v>44</v>
      </c>
      <c r="E913" s="221" t="s">
        <v>27</v>
      </c>
      <c r="F913" s="223">
        <v>0</v>
      </c>
      <c r="G913" s="221" t="s">
        <v>48</v>
      </c>
      <c r="H913" s="221" t="s">
        <v>48</v>
      </c>
      <c r="I913" s="222" t="s">
        <v>2143</v>
      </c>
    </row>
    <row r="914" ht="17.25" customHeight="1" spans="1:9" x14ac:dyDescent="0.25">
      <c r="A914" s="220">
        <v>944</v>
      </c>
      <c r="B914" s="221" t="s">
        <v>2200</v>
      </c>
      <c r="C914" s="222" t="s">
        <v>2201</v>
      </c>
      <c r="D914" s="221" t="s">
        <v>44</v>
      </c>
      <c r="E914" s="221" t="s">
        <v>27</v>
      </c>
      <c r="F914" s="223">
        <v>0</v>
      </c>
      <c r="G914" s="221" t="s">
        <v>48</v>
      </c>
      <c r="H914" s="221" t="s">
        <v>48</v>
      </c>
      <c r="I914" s="222" t="s">
        <v>2126</v>
      </c>
    </row>
    <row r="915" ht="17.25" customHeight="1" spans="1:9" x14ac:dyDescent="0.25">
      <c r="A915" s="220">
        <v>945</v>
      </c>
      <c r="B915" s="221" t="s">
        <v>2202</v>
      </c>
      <c r="C915" s="222" t="s">
        <v>2203</v>
      </c>
      <c r="D915" s="221" t="s">
        <v>44</v>
      </c>
      <c r="E915" s="221" t="s">
        <v>27</v>
      </c>
      <c r="F915" s="223">
        <v>0</v>
      </c>
      <c r="G915" s="221" t="s">
        <v>48</v>
      </c>
      <c r="H915" s="221" t="s">
        <v>48</v>
      </c>
      <c r="I915" s="224"/>
    </row>
    <row r="916" ht="17.25" customHeight="1" spans="1:9" x14ac:dyDescent="0.25">
      <c r="A916" s="220">
        <v>946</v>
      </c>
      <c r="B916" s="221" t="s">
        <v>2204</v>
      </c>
      <c r="C916" s="222" t="s">
        <v>2205</v>
      </c>
      <c r="D916" s="221" t="s">
        <v>44</v>
      </c>
      <c r="E916" s="221" t="s">
        <v>27</v>
      </c>
      <c r="F916" s="223">
        <v>0</v>
      </c>
      <c r="G916" s="221" t="s">
        <v>48</v>
      </c>
      <c r="H916" s="221" t="s">
        <v>48</v>
      </c>
      <c r="I916" s="224"/>
    </row>
    <row r="917" ht="17.25" customHeight="1" spans="1:9" x14ac:dyDescent="0.25">
      <c r="A917" s="220">
        <v>947</v>
      </c>
      <c r="B917" s="221" t="s">
        <v>2206</v>
      </c>
      <c r="C917" s="222" t="s">
        <v>2207</v>
      </c>
      <c r="D917" s="221" t="s">
        <v>44</v>
      </c>
      <c r="E917" s="221" t="s">
        <v>27</v>
      </c>
      <c r="F917" s="223">
        <v>0</v>
      </c>
      <c r="G917" s="221" t="s">
        <v>48</v>
      </c>
      <c r="H917" s="221" t="s">
        <v>48</v>
      </c>
      <c r="I917" s="224"/>
    </row>
    <row r="918" ht="17.25" customHeight="1" spans="1:9" x14ac:dyDescent="0.25">
      <c r="A918" s="220">
        <v>948</v>
      </c>
      <c r="B918" s="221" t="s">
        <v>2208</v>
      </c>
      <c r="C918" s="222" t="s">
        <v>2209</v>
      </c>
      <c r="D918" s="221" t="s">
        <v>44</v>
      </c>
      <c r="E918" s="221" t="s">
        <v>27</v>
      </c>
      <c r="F918" s="223">
        <v>0</v>
      </c>
      <c r="G918" s="221" t="s">
        <v>48</v>
      </c>
      <c r="H918" s="221" t="s">
        <v>48</v>
      </c>
      <c r="I918" s="222" t="s">
        <v>2143</v>
      </c>
    </row>
    <row r="919" ht="17.25" customHeight="1" spans="1:9" x14ac:dyDescent="0.25">
      <c r="A919" s="220">
        <v>949</v>
      </c>
      <c r="B919" s="221" t="s">
        <v>2210</v>
      </c>
      <c r="C919" s="222" t="s">
        <v>2211</v>
      </c>
      <c r="D919" s="221" t="s">
        <v>44</v>
      </c>
      <c r="E919" s="221" t="s">
        <v>27</v>
      </c>
      <c r="F919" s="223">
        <v>0</v>
      </c>
      <c r="G919" s="221" t="s">
        <v>48</v>
      </c>
      <c r="H919" s="221" t="s">
        <v>48</v>
      </c>
      <c r="I919" s="224"/>
    </row>
    <row r="920" ht="17.25" customHeight="1" spans="1:9" x14ac:dyDescent="0.25">
      <c r="A920" s="220">
        <v>950</v>
      </c>
      <c r="B920" s="221" t="s">
        <v>2212</v>
      </c>
      <c r="C920" s="222" t="s">
        <v>2213</v>
      </c>
      <c r="D920" s="221" t="s">
        <v>44</v>
      </c>
      <c r="E920" s="221" t="s">
        <v>27</v>
      </c>
      <c r="F920" s="223">
        <v>0</v>
      </c>
      <c r="G920" s="221" t="s">
        <v>48</v>
      </c>
      <c r="H920" s="221" t="s">
        <v>48</v>
      </c>
      <c r="I920" s="224"/>
    </row>
    <row r="921" ht="17.25" customHeight="1" spans="1:9" x14ac:dyDescent="0.25">
      <c r="A921" s="220">
        <v>951</v>
      </c>
      <c r="B921" s="221" t="s">
        <v>2214</v>
      </c>
      <c r="C921" s="222" t="s">
        <v>2215</v>
      </c>
      <c r="D921" s="221" t="s">
        <v>44</v>
      </c>
      <c r="E921" s="221" t="s">
        <v>27</v>
      </c>
      <c r="F921" s="223">
        <v>0</v>
      </c>
      <c r="G921" s="221" t="s">
        <v>48</v>
      </c>
      <c r="H921" s="221" t="s">
        <v>48</v>
      </c>
      <c r="I921" s="224"/>
    </row>
    <row r="922" ht="17.25" customHeight="1" spans="1:9" x14ac:dyDescent="0.25">
      <c r="A922" s="220">
        <v>952</v>
      </c>
      <c r="B922" s="221" t="s">
        <v>2216</v>
      </c>
      <c r="C922" s="222" t="s">
        <v>2217</v>
      </c>
      <c r="D922" s="221" t="s">
        <v>44</v>
      </c>
      <c r="E922" s="221" t="s">
        <v>27</v>
      </c>
      <c r="F922" s="223">
        <v>0</v>
      </c>
      <c r="G922" s="221" t="s">
        <v>48</v>
      </c>
      <c r="H922" s="221" t="s">
        <v>48</v>
      </c>
      <c r="I922" s="224"/>
    </row>
    <row r="923" ht="17.25" customHeight="1" spans="1:9" x14ac:dyDescent="0.25">
      <c r="A923" s="220">
        <v>953</v>
      </c>
      <c r="B923" s="221" t="s">
        <v>2218</v>
      </c>
      <c r="C923" s="222" t="s">
        <v>2219</v>
      </c>
      <c r="D923" s="221" t="s">
        <v>44</v>
      </c>
      <c r="E923" s="221" t="s">
        <v>27</v>
      </c>
      <c r="F923" s="223">
        <v>0</v>
      </c>
      <c r="G923" s="221" t="s">
        <v>48</v>
      </c>
      <c r="H923" s="221" t="s">
        <v>48</v>
      </c>
      <c r="I923" s="224"/>
    </row>
    <row r="924" ht="17.25" customHeight="1" spans="1:9" x14ac:dyDescent="0.25">
      <c r="A924" s="220">
        <v>954</v>
      </c>
      <c r="B924" s="221" t="s">
        <v>2220</v>
      </c>
      <c r="C924" s="222" t="s">
        <v>2221</v>
      </c>
      <c r="D924" s="221" t="s">
        <v>44</v>
      </c>
      <c r="E924" s="221" t="s">
        <v>27</v>
      </c>
      <c r="F924" s="223">
        <v>0</v>
      </c>
      <c r="G924" s="221" t="s">
        <v>48</v>
      </c>
      <c r="H924" s="221" t="s">
        <v>48</v>
      </c>
      <c r="I924" s="224"/>
    </row>
    <row r="925" ht="17.25" customHeight="1" spans="1:9" x14ac:dyDescent="0.25">
      <c r="A925" s="220">
        <v>955</v>
      </c>
      <c r="B925" s="221" t="s">
        <v>2222</v>
      </c>
      <c r="C925" s="222" t="s">
        <v>2223</v>
      </c>
      <c r="D925" s="221" t="s">
        <v>44</v>
      </c>
      <c r="E925" s="221" t="s">
        <v>27</v>
      </c>
      <c r="F925" s="223">
        <v>0</v>
      </c>
      <c r="G925" s="221" t="s">
        <v>48</v>
      </c>
      <c r="H925" s="221" t="s">
        <v>48</v>
      </c>
      <c r="I925" s="224"/>
    </row>
    <row r="926" ht="17.25" customHeight="1" spans="1:9" x14ac:dyDescent="0.25">
      <c r="A926" s="220">
        <v>956</v>
      </c>
      <c r="B926" s="221" t="s">
        <v>2224</v>
      </c>
      <c r="C926" s="222" t="s">
        <v>2225</v>
      </c>
      <c r="D926" s="221" t="s">
        <v>44</v>
      </c>
      <c r="E926" s="221" t="s">
        <v>27</v>
      </c>
      <c r="F926" s="223">
        <v>0</v>
      </c>
      <c r="G926" s="221" t="s">
        <v>48</v>
      </c>
      <c r="H926" s="221" t="s">
        <v>48</v>
      </c>
      <c r="I926" s="224"/>
    </row>
    <row r="927" ht="17.25" customHeight="1" spans="1:9" x14ac:dyDescent="0.25">
      <c r="A927" s="220">
        <v>957</v>
      </c>
      <c r="B927" s="221" t="s">
        <v>2226</v>
      </c>
      <c r="C927" s="222" t="s">
        <v>2227</v>
      </c>
      <c r="D927" s="221" t="s">
        <v>44</v>
      </c>
      <c r="E927" s="221" t="s">
        <v>27</v>
      </c>
      <c r="F927" s="223">
        <v>0</v>
      </c>
      <c r="G927" s="221" t="s">
        <v>48</v>
      </c>
      <c r="H927" s="221" t="s">
        <v>48</v>
      </c>
      <c r="I927" s="224"/>
    </row>
    <row r="928" ht="17.25" customHeight="1" spans="1:9" x14ac:dyDescent="0.25">
      <c r="A928" s="220">
        <v>958</v>
      </c>
      <c r="B928" s="221" t="s">
        <v>2228</v>
      </c>
      <c r="C928" s="222" t="s">
        <v>2229</v>
      </c>
      <c r="D928" s="221" t="s">
        <v>44</v>
      </c>
      <c r="E928" s="221" t="s">
        <v>27</v>
      </c>
      <c r="F928" s="223">
        <v>0</v>
      </c>
      <c r="G928" s="221" t="s">
        <v>48</v>
      </c>
      <c r="H928" s="221" t="s">
        <v>48</v>
      </c>
      <c r="I928" s="222" t="s">
        <v>2126</v>
      </c>
    </row>
    <row r="929" ht="17.25" customHeight="1" spans="1:9" x14ac:dyDescent="0.25">
      <c r="A929" s="220">
        <v>959</v>
      </c>
      <c r="B929" s="221" t="s">
        <v>2230</v>
      </c>
      <c r="C929" s="222" t="s">
        <v>2231</v>
      </c>
      <c r="D929" s="221" t="s">
        <v>44</v>
      </c>
      <c r="E929" s="221" t="s">
        <v>27</v>
      </c>
      <c r="F929" s="223">
        <v>0</v>
      </c>
      <c r="G929" s="221" t="s">
        <v>48</v>
      </c>
      <c r="H929" s="221" t="s">
        <v>48</v>
      </c>
      <c r="I929" s="224"/>
    </row>
    <row r="930" ht="17.25" customHeight="1" spans="1:9" x14ac:dyDescent="0.25">
      <c r="A930" s="220">
        <v>960</v>
      </c>
      <c r="B930" s="221" t="s">
        <v>2232</v>
      </c>
      <c r="C930" s="222" t="s">
        <v>2233</v>
      </c>
      <c r="D930" s="221" t="s">
        <v>44</v>
      </c>
      <c r="E930" s="221" t="s">
        <v>27</v>
      </c>
      <c r="F930" s="223">
        <v>0</v>
      </c>
      <c r="G930" s="221" t="s">
        <v>48</v>
      </c>
      <c r="H930" s="221" t="s">
        <v>48</v>
      </c>
      <c r="I930" s="224"/>
    </row>
    <row r="931" ht="17.25" customHeight="1" spans="1:9" x14ac:dyDescent="0.25">
      <c r="A931" s="220">
        <v>961</v>
      </c>
      <c r="B931" s="221" t="s">
        <v>2234</v>
      </c>
      <c r="C931" s="222" t="s">
        <v>2235</v>
      </c>
      <c r="D931" s="221" t="s">
        <v>44</v>
      </c>
      <c r="E931" s="221" t="s">
        <v>27</v>
      </c>
      <c r="F931" s="223">
        <v>0</v>
      </c>
      <c r="G931" s="221" t="s">
        <v>48</v>
      </c>
      <c r="H931" s="221" t="s">
        <v>48</v>
      </c>
      <c r="I931" s="222" t="s">
        <v>2143</v>
      </c>
    </row>
    <row r="932" ht="17.25" customHeight="1" spans="1:9" x14ac:dyDescent="0.25">
      <c r="A932" s="220">
        <v>962</v>
      </c>
      <c r="B932" s="221" t="s">
        <v>2236</v>
      </c>
      <c r="C932" s="222" t="s">
        <v>2237</v>
      </c>
      <c r="D932" s="221" t="s">
        <v>44</v>
      </c>
      <c r="E932" s="221" t="s">
        <v>27</v>
      </c>
      <c r="F932" s="223">
        <v>0</v>
      </c>
      <c r="G932" s="221" t="s">
        <v>48</v>
      </c>
      <c r="H932" s="221" t="s">
        <v>48</v>
      </c>
      <c r="I932" s="222" t="s">
        <v>2126</v>
      </c>
    </row>
    <row r="933" ht="17.25" customHeight="1" spans="1:9" x14ac:dyDescent="0.25">
      <c r="A933" s="220">
        <v>963</v>
      </c>
      <c r="B933" s="221" t="s">
        <v>2238</v>
      </c>
      <c r="C933" s="222" t="s">
        <v>2239</v>
      </c>
      <c r="D933" s="221" t="s">
        <v>44</v>
      </c>
      <c r="E933" s="221" t="s">
        <v>27</v>
      </c>
      <c r="F933" s="223">
        <v>0</v>
      </c>
      <c r="G933" s="221" t="s">
        <v>48</v>
      </c>
      <c r="H933" s="221" t="s">
        <v>48</v>
      </c>
      <c r="I933" s="224"/>
    </row>
    <row r="934" ht="17.25" customHeight="1" spans="1:9" x14ac:dyDescent="0.25">
      <c r="A934" s="220">
        <v>964</v>
      </c>
      <c r="B934" s="221" t="s">
        <v>2240</v>
      </c>
      <c r="C934" s="222" t="s">
        <v>2241</v>
      </c>
      <c r="D934" s="221" t="s">
        <v>44</v>
      </c>
      <c r="E934" s="221" t="s">
        <v>27</v>
      </c>
      <c r="F934" s="223">
        <v>0</v>
      </c>
      <c r="G934" s="221" t="s">
        <v>48</v>
      </c>
      <c r="H934" s="221" t="s">
        <v>48</v>
      </c>
      <c r="I934" s="224"/>
    </row>
    <row r="935" ht="17.25" customHeight="1" spans="1:9" x14ac:dyDescent="0.25">
      <c r="A935" s="220">
        <v>965</v>
      </c>
      <c r="B935" s="221" t="s">
        <v>2242</v>
      </c>
      <c r="C935" s="222" t="s">
        <v>2243</v>
      </c>
      <c r="D935" s="221" t="s">
        <v>44</v>
      </c>
      <c r="E935" s="221" t="s">
        <v>27</v>
      </c>
      <c r="F935" s="223">
        <v>0</v>
      </c>
      <c r="G935" s="221" t="s">
        <v>48</v>
      </c>
      <c r="H935" s="221" t="s">
        <v>48</v>
      </c>
      <c r="I935" s="224"/>
    </row>
    <row r="936" ht="17.25" customHeight="1" spans="1:9" x14ac:dyDescent="0.25">
      <c r="A936" s="220">
        <v>966</v>
      </c>
      <c r="B936" s="221" t="s">
        <v>2244</v>
      </c>
      <c r="C936" s="222" t="s">
        <v>2245</v>
      </c>
      <c r="D936" s="221" t="s">
        <v>44</v>
      </c>
      <c r="E936" s="221" t="s">
        <v>27</v>
      </c>
      <c r="F936" s="223">
        <v>0</v>
      </c>
      <c r="G936" s="221" t="s">
        <v>48</v>
      </c>
      <c r="H936" s="221" t="s">
        <v>48</v>
      </c>
      <c r="I936" s="224"/>
    </row>
    <row r="937" ht="17.25" customHeight="1" spans="1:9" x14ac:dyDescent="0.25">
      <c r="A937" s="220">
        <v>967</v>
      </c>
      <c r="B937" s="221" t="s">
        <v>2246</v>
      </c>
      <c r="C937" s="222" t="s">
        <v>2247</v>
      </c>
      <c r="D937" s="221" t="s">
        <v>44</v>
      </c>
      <c r="E937" s="221" t="s">
        <v>27</v>
      </c>
      <c r="F937" s="223">
        <v>0</v>
      </c>
      <c r="G937" s="221" t="s">
        <v>48</v>
      </c>
      <c r="H937" s="221" t="s">
        <v>48</v>
      </c>
      <c r="I937" s="222" t="s">
        <v>2126</v>
      </c>
    </row>
    <row r="938" ht="17.25" customHeight="1" spans="1:9" x14ac:dyDescent="0.25">
      <c r="A938" s="220">
        <v>968</v>
      </c>
      <c r="B938" s="221" t="s">
        <v>2248</v>
      </c>
      <c r="C938" s="222" t="s">
        <v>2249</v>
      </c>
      <c r="D938" s="221" t="s">
        <v>44</v>
      </c>
      <c r="E938" s="221" t="s">
        <v>27</v>
      </c>
      <c r="F938" s="223">
        <v>0</v>
      </c>
      <c r="G938" s="221" t="s">
        <v>48</v>
      </c>
      <c r="H938" s="221" t="s">
        <v>48</v>
      </c>
      <c r="I938" s="222" t="s">
        <v>2143</v>
      </c>
    </row>
    <row r="939" ht="17.25" customHeight="1" spans="1:9" x14ac:dyDescent="0.25">
      <c r="A939" s="220">
        <v>969</v>
      </c>
      <c r="B939" s="221" t="s">
        <v>2250</v>
      </c>
      <c r="C939" s="222" t="s">
        <v>2251</v>
      </c>
      <c r="D939" s="221" t="s">
        <v>44</v>
      </c>
      <c r="E939" s="221" t="s">
        <v>27</v>
      </c>
      <c r="F939" s="223">
        <v>0</v>
      </c>
      <c r="G939" s="221" t="s">
        <v>48</v>
      </c>
      <c r="H939" s="221" t="s">
        <v>48</v>
      </c>
      <c r="I939" s="222" t="s">
        <v>2143</v>
      </c>
    </row>
    <row r="940" ht="17.25" customHeight="1" spans="1:9" x14ac:dyDescent="0.25">
      <c r="A940" s="220">
        <v>970</v>
      </c>
      <c r="B940" s="221" t="s">
        <v>2252</v>
      </c>
      <c r="C940" s="222" t="s">
        <v>2253</v>
      </c>
      <c r="D940" s="221" t="s">
        <v>44</v>
      </c>
      <c r="E940" s="221" t="s">
        <v>27</v>
      </c>
      <c r="F940" s="223">
        <v>0</v>
      </c>
      <c r="G940" s="221" t="s">
        <v>48</v>
      </c>
      <c r="H940" s="221" t="s">
        <v>48</v>
      </c>
      <c r="I940" s="224"/>
    </row>
    <row r="941" ht="17.25" customHeight="1" spans="1:9" x14ac:dyDescent="0.25">
      <c r="A941" s="220">
        <v>971</v>
      </c>
      <c r="B941" s="221" t="s">
        <v>2254</v>
      </c>
      <c r="C941" s="222" t="s">
        <v>2255</v>
      </c>
      <c r="D941" s="221" t="s">
        <v>44</v>
      </c>
      <c r="E941" s="221" t="s">
        <v>27</v>
      </c>
      <c r="F941" s="223">
        <v>0</v>
      </c>
      <c r="G941" s="221" t="s">
        <v>48</v>
      </c>
      <c r="H941" s="221" t="s">
        <v>48</v>
      </c>
      <c r="I941" s="222" t="s">
        <v>2143</v>
      </c>
    </row>
    <row r="942" ht="17.25" customHeight="1" spans="1:9" x14ac:dyDescent="0.25">
      <c r="A942" s="220">
        <v>972</v>
      </c>
      <c r="B942" s="221" t="s">
        <v>2256</v>
      </c>
      <c r="C942" s="222" t="s">
        <v>2257</v>
      </c>
      <c r="D942" s="221" t="s">
        <v>44</v>
      </c>
      <c r="E942" s="221" t="s">
        <v>27</v>
      </c>
      <c r="F942" s="223">
        <v>0</v>
      </c>
      <c r="G942" s="221" t="s">
        <v>48</v>
      </c>
      <c r="H942" s="221" t="s">
        <v>48</v>
      </c>
      <c r="I942" s="224"/>
    </row>
    <row r="943" ht="17.25" customHeight="1" spans="1:9" x14ac:dyDescent="0.25">
      <c r="A943" s="220">
        <v>973</v>
      </c>
      <c r="B943" s="221" t="s">
        <v>2258</v>
      </c>
      <c r="C943" s="222" t="s">
        <v>2259</v>
      </c>
      <c r="D943" s="221" t="s">
        <v>44</v>
      </c>
      <c r="E943" s="221" t="s">
        <v>27</v>
      </c>
      <c r="F943" s="223">
        <v>0</v>
      </c>
      <c r="G943" s="221" t="s">
        <v>48</v>
      </c>
      <c r="H943" s="221" t="s">
        <v>48</v>
      </c>
      <c r="I943" s="222" t="s">
        <v>2143</v>
      </c>
    </row>
    <row r="944" ht="17.25" customHeight="1" spans="1:9" x14ac:dyDescent="0.25">
      <c r="A944" s="220">
        <v>974</v>
      </c>
      <c r="B944" s="221" t="s">
        <v>2260</v>
      </c>
      <c r="C944" s="222" t="s">
        <v>2261</v>
      </c>
      <c r="D944" s="221" t="s">
        <v>44</v>
      </c>
      <c r="E944" s="221" t="s">
        <v>27</v>
      </c>
      <c r="F944" s="223">
        <v>0</v>
      </c>
      <c r="G944" s="221" t="s">
        <v>48</v>
      </c>
      <c r="H944" s="221" t="s">
        <v>48</v>
      </c>
      <c r="I944" s="224"/>
    </row>
    <row r="945" ht="17.25" customHeight="1" spans="1:9" x14ac:dyDescent="0.25">
      <c r="A945" s="220">
        <v>975</v>
      </c>
      <c r="B945" s="221" t="s">
        <v>2262</v>
      </c>
      <c r="C945" s="222" t="s">
        <v>2263</v>
      </c>
      <c r="D945" s="221" t="s">
        <v>44</v>
      </c>
      <c r="E945" s="221" t="s">
        <v>27</v>
      </c>
      <c r="F945" s="223">
        <v>0</v>
      </c>
      <c r="G945" s="221" t="s">
        <v>48</v>
      </c>
      <c r="H945" s="221" t="s">
        <v>48</v>
      </c>
      <c r="I945" s="224"/>
    </row>
    <row r="946" ht="17.25" customHeight="1" spans="1:9" x14ac:dyDescent="0.25">
      <c r="A946" s="220">
        <v>976</v>
      </c>
      <c r="B946" s="221" t="s">
        <v>2264</v>
      </c>
      <c r="C946" s="222" t="s">
        <v>2265</v>
      </c>
      <c r="D946" s="221" t="s">
        <v>44</v>
      </c>
      <c r="E946" s="221" t="s">
        <v>27</v>
      </c>
      <c r="F946" s="223">
        <v>0</v>
      </c>
      <c r="G946" s="221" t="s">
        <v>48</v>
      </c>
      <c r="H946" s="221" t="s">
        <v>48</v>
      </c>
      <c r="I946" s="224"/>
    </row>
    <row r="947" ht="17.25" customHeight="1" spans="1:9" x14ac:dyDescent="0.25">
      <c r="A947" s="220">
        <v>977</v>
      </c>
      <c r="B947" s="221" t="s">
        <v>2266</v>
      </c>
      <c r="C947" s="222" t="s">
        <v>2267</v>
      </c>
      <c r="D947" s="221" t="s">
        <v>44</v>
      </c>
      <c r="E947" s="221" t="s">
        <v>27</v>
      </c>
      <c r="F947" s="223">
        <v>0</v>
      </c>
      <c r="G947" s="221" t="s">
        <v>48</v>
      </c>
      <c r="H947" s="221" t="s">
        <v>48</v>
      </c>
      <c r="I947" s="224"/>
    </row>
    <row r="948" ht="17.25" customHeight="1" spans="1:9" x14ac:dyDescent="0.25">
      <c r="A948" s="220">
        <v>978</v>
      </c>
      <c r="B948" s="221" t="s">
        <v>2268</v>
      </c>
      <c r="C948" s="222" t="s">
        <v>2269</v>
      </c>
      <c r="D948" s="221" t="s">
        <v>44</v>
      </c>
      <c r="E948" s="221" t="s">
        <v>27</v>
      </c>
      <c r="F948" s="223">
        <v>0</v>
      </c>
      <c r="G948" s="221" t="s">
        <v>48</v>
      </c>
      <c r="H948" s="221" t="s">
        <v>48</v>
      </c>
      <c r="I948" s="224"/>
    </row>
    <row r="949" ht="17.25" customHeight="1" spans="1:9" x14ac:dyDescent="0.25">
      <c r="A949" s="220">
        <v>979</v>
      </c>
      <c r="B949" s="221" t="s">
        <v>2270</v>
      </c>
      <c r="C949" s="222" t="s">
        <v>2271</v>
      </c>
      <c r="D949" s="221" t="s">
        <v>44</v>
      </c>
      <c r="E949" s="221" t="s">
        <v>27</v>
      </c>
      <c r="F949" s="223">
        <v>0</v>
      </c>
      <c r="G949" s="221" t="s">
        <v>48</v>
      </c>
      <c r="H949" s="221" t="s">
        <v>48</v>
      </c>
      <c r="I949" s="224"/>
    </row>
    <row r="950" ht="17.25" customHeight="1" spans="1:9" x14ac:dyDescent="0.25">
      <c r="A950" s="220">
        <v>980</v>
      </c>
      <c r="B950" s="221" t="s">
        <v>2272</v>
      </c>
      <c r="C950" s="222" t="s">
        <v>2273</v>
      </c>
      <c r="D950" s="221" t="s">
        <v>44</v>
      </c>
      <c r="E950" s="221" t="s">
        <v>27</v>
      </c>
      <c r="F950" s="223">
        <v>0</v>
      </c>
      <c r="G950" s="221" t="s">
        <v>48</v>
      </c>
      <c r="H950" s="221" t="s">
        <v>48</v>
      </c>
      <c r="I950" s="224"/>
    </row>
    <row r="951" ht="17.25" customHeight="1" spans="1:9" x14ac:dyDescent="0.25">
      <c r="A951" s="220">
        <v>981</v>
      </c>
      <c r="B951" s="221" t="s">
        <v>2274</v>
      </c>
      <c r="C951" s="222" t="s">
        <v>2275</v>
      </c>
      <c r="D951" s="221" t="s">
        <v>44</v>
      </c>
      <c r="E951" s="221" t="s">
        <v>27</v>
      </c>
      <c r="F951" s="223">
        <v>0</v>
      </c>
      <c r="G951" s="221" t="s">
        <v>48</v>
      </c>
      <c r="H951" s="221" t="s">
        <v>48</v>
      </c>
      <c r="I951" s="224"/>
    </row>
    <row r="952" ht="17.25" customHeight="1" spans="1:9" x14ac:dyDescent="0.25">
      <c r="A952" s="220">
        <v>982</v>
      </c>
      <c r="B952" s="221" t="s">
        <v>2276</v>
      </c>
      <c r="C952" s="222" t="s">
        <v>2277</v>
      </c>
      <c r="D952" s="221" t="s">
        <v>44</v>
      </c>
      <c r="E952" s="221" t="s">
        <v>27</v>
      </c>
      <c r="F952" s="223">
        <v>0</v>
      </c>
      <c r="G952" s="221" t="s">
        <v>48</v>
      </c>
      <c r="H952" s="221" t="s">
        <v>48</v>
      </c>
      <c r="I952" s="222" t="s">
        <v>2143</v>
      </c>
    </row>
    <row r="953" ht="17.25" customHeight="1" spans="1:9" x14ac:dyDescent="0.25">
      <c r="A953" s="220">
        <v>983</v>
      </c>
      <c r="B953" s="221" t="s">
        <v>2278</v>
      </c>
      <c r="C953" s="222" t="s">
        <v>2279</v>
      </c>
      <c r="D953" s="221" t="s">
        <v>44</v>
      </c>
      <c r="E953" s="221" t="s">
        <v>27</v>
      </c>
      <c r="F953" s="223">
        <v>0</v>
      </c>
      <c r="G953" s="221" t="s">
        <v>48</v>
      </c>
      <c r="H953" s="221" t="s">
        <v>48</v>
      </c>
      <c r="I953" s="224"/>
    </row>
    <row r="954" ht="17.25" customHeight="1" spans="1:9" x14ac:dyDescent="0.25">
      <c r="A954" s="220">
        <v>984</v>
      </c>
      <c r="B954" s="221" t="s">
        <v>2280</v>
      </c>
      <c r="C954" s="222" t="s">
        <v>2281</v>
      </c>
      <c r="D954" s="221" t="s">
        <v>44</v>
      </c>
      <c r="E954" s="221" t="s">
        <v>27</v>
      </c>
      <c r="F954" s="223">
        <v>0</v>
      </c>
      <c r="G954" s="221" t="s">
        <v>48</v>
      </c>
      <c r="H954" s="221" t="s">
        <v>48</v>
      </c>
      <c r="I954" s="224"/>
    </row>
    <row r="955" ht="17.25" customHeight="1" spans="1:9" x14ac:dyDescent="0.25">
      <c r="A955" s="220">
        <v>985</v>
      </c>
      <c r="B955" s="221" t="s">
        <v>2282</v>
      </c>
      <c r="C955" s="222" t="s">
        <v>2283</v>
      </c>
      <c r="D955" s="221" t="s">
        <v>44</v>
      </c>
      <c r="E955" s="221" t="s">
        <v>27</v>
      </c>
      <c r="F955" s="223">
        <v>0</v>
      </c>
      <c r="G955" s="221" t="s">
        <v>48</v>
      </c>
      <c r="H955" s="221" t="s">
        <v>48</v>
      </c>
      <c r="I955" s="222" t="s">
        <v>2126</v>
      </c>
    </row>
    <row r="956" ht="17.25" customHeight="1" spans="1:9" x14ac:dyDescent="0.25">
      <c r="A956" s="220">
        <v>986</v>
      </c>
      <c r="B956" s="221" t="s">
        <v>2284</v>
      </c>
      <c r="C956" s="222" t="s">
        <v>2285</v>
      </c>
      <c r="D956" s="221" t="s">
        <v>44</v>
      </c>
      <c r="E956" s="221" t="s">
        <v>27</v>
      </c>
      <c r="F956" s="223">
        <v>0</v>
      </c>
      <c r="G956" s="221" t="s">
        <v>48</v>
      </c>
      <c r="H956" s="221" t="s">
        <v>48</v>
      </c>
      <c r="I956" s="224"/>
    </row>
    <row r="957" ht="17.25" customHeight="1" spans="1:9" x14ac:dyDescent="0.25">
      <c r="A957" s="220">
        <v>987</v>
      </c>
      <c r="B957" s="221" t="s">
        <v>2286</v>
      </c>
      <c r="C957" s="222" t="s">
        <v>2287</v>
      </c>
      <c r="D957" s="221" t="s">
        <v>44</v>
      </c>
      <c r="E957" s="221" t="s">
        <v>27</v>
      </c>
      <c r="F957" s="223">
        <v>0</v>
      </c>
      <c r="G957" s="221" t="s">
        <v>48</v>
      </c>
      <c r="H957" s="221" t="s">
        <v>48</v>
      </c>
      <c r="I957" s="222" t="s">
        <v>2143</v>
      </c>
    </row>
    <row r="958" ht="17.25" customHeight="1" spans="1:9" x14ac:dyDescent="0.25">
      <c r="A958" s="220">
        <v>988</v>
      </c>
      <c r="B958" s="221" t="s">
        <v>2288</v>
      </c>
      <c r="C958" s="222" t="s">
        <v>2289</v>
      </c>
      <c r="D958" s="221" t="s">
        <v>44</v>
      </c>
      <c r="E958" s="221" t="s">
        <v>27</v>
      </c>
      <c r="F958" s="223">
        <v>0</v>
      </c>
      <c r="G958" s="221" t="s">
        <v>48</v>
      </c>
      <c r="H958" s="221" t="s">
        <v>48</v>
      </c>
      <c r="I958" s="224"/>
    </row>
    <row r="959" ht="17.25" customHeight="1" spans="1:9" x14ac:dyDescent="0.25">
      <c r="A959" s="220">
        <v>989</v>
      </c>
      <c r="B959" s="221" t="s">
        <v>2290</v>
      </c>
      <c r="C959" s="222" t="s">
        <v>2291</v>
      </c>
      <c r="D959" s="221" t="s">
        <v>44</v>
      </c>
      <c r="E959" s="221" t="s">
        <v>27</v>
      </c>
      <c r="F959" s="223">
        <v>0</v>
      </c>
      <c r="G959" s="221" t="s">
        <v>48</v>
      </c>
      <c r="H959" s="221" t="s">
        <v>48</v>
      </c>
      <c r="I959" s="224"/>
    </row>
    <row r="960" ht="17.25" customHeight="1" spans="1:9" x14ac:dyDescent="0.25">
      <c r="A960" s="220">
        <v>990</v>
      </c>
      <c r="B960" s="221" t="s">
        <v>2292</v>
      </c>
      <c r="C960" s="222" t="s">
        <v>2293</v>
      </c>
      <c r="D960" s="221" t="s">
        <v>44</v>
      </c>
      <c r="E960" s="221" t="s">
        <v>27</v>
      </c>
      <c r="F960" s="223">
        <v>0</v>
      </c>
      <c r="G960" s="221" t="s">
        <v>48</v>
      </c>
      <c r="H960" s="221" t="s">
        <v>48</v>
      </c>
      <c r="I960" s="224"/>
    </row>
    <row r="961" ht="17.25" customHeight="1" spans="1:9" x14ac:dyDescent="0.25">
      <c r="A961" s="220">
        <v>991</v>
      </c>
      <c r="B961" s="221" t="s">
        <v>2294</v>
      </c>
      <c r="C961" s="222" t="s">
        <v>2295</v>
      </c>
      <c r="D961" s="221" t="s">
        <v>44</v>
      </c>
      <c r="E961" s="221" t="s">
        <v>27</v>
      </c>
      <c r="F961" s="223">
        <v>0</v>
      </c>
      <c r="G961" s="221" t="s">
        <v>48</v>
      </c>
      <c r="H961" s="221" t="s">
        <v>48</v>
      </c>
      <c r="I961" s="224"/>
    </row>
    <row r="962" ht="17.25" customHeight="1" spans="1:9" x14ac:dyDescent="0.25">
      <c r="A962" s="220">
        <v>992</v>
      </c>
      <c r="B962" s="221" t="s">
        <v>2296</v>
      </c>
      <c r="C962" s="222" t="s">
        <v>2297</v>
      </c>
      <c r="D962" s="221" t="s">
        <v>44</v>
      </c>
      <c r="E962" s="221" t="s">
        <v>27</v>
      </c>
      <c r="F962" s="223">
        <v>0</v>
      </c>
      <c r="G962" s="221" t="s">
        <v>48</v>
      </c>
      <c r="H962" s="221" t="s">
        <v>48</v>
      </c>
      <c r="I962" s="222"/>
    </row>
    <row r="963" ht="17.25" customHeight="1" spans="1:9" x14ac:dyDescent="0.25">
      <c r="A963" s="220">
        <v>993</v>
      </c>
      <c r="B963" s="221" t="s">
        <v>2298</v>
      </c>
      <c r="C963" s="222" t="s">
        <v>2299</v>
      </c>
      <c r="D963" s="221" t="s">
        <v>44</v>
      </c>
      <c r="E963" s="221" t="s">
        <v>27</v>
      </c>
      <c r="F963" s="223">
        <v>0</v>
      </c>
      <c r="G963" s="221" t="s">
        <v>48</v>
      </c>
      <c r="H963" s="221" t="s">
        <v>48</v>
      </c>
      <c r="I963" s="222" t="s">
        <v>2126</v>
      </c>
    </row>
    <row r="964" ht="17.25" customHeight="1" spans="1:9" x14ac:dyDescent="0.25">
      <c r="A964" s="220">
        <v>994</v>
      </c>
      <c r="B964" s="221" t="s">
        <v>2300</v>
      </c>
      <c r="C964" s="222" t="s">
        <v>2301</v>
      </c>
      <c r="D964" s="221" t="s">
        <v>44</v>
      </c>
      <c r="E964" s="221" t="s">
        <v>27</v>
      </c>
      <c r="F964" s="223">
        <v>0</v>
      </c>
      <c r="G964" s="221" t="s">
        <v>48</v>
      </c>
      <c r="H964" s="221" t="s">
        <v>48</v>
      </c>
      <c r="I964" s="224"/>
    </row>
    <row r="965" ht="17.25" customHeight="1" spans="1:9" x14ac:dyDescent="0.25">
      <c r="A965" s="220">
        <v>995</v>
      </c>
      <c r="B965" s="221" t="s">
        <v>2302</v>
      </c>
      <c r="C965" s="222" t="s">
        <v>2303</v>
      </c>
      <c r="D965" s="221" t="s">
        <v>44</v>
      </c>
      <c r="E965" s="221" t="s">
        <v>27</v>
      </c>
      <c r="F965" s="223">
        <v>0</v>
      </c>
      <c r="G965" s="221" t="s">
        <v>48</v>
      </c>
      <c r="H965" s="221" t="s">
        <v>48</v>
      </c>
      <c r="I965" s="224"/>
    </row>
    <row r="966" ht="17.25" customHeight="1" spans="1:9" x14ac:dyDescent="0.25">
      <c r="A966" s="220">
        <v>996</v>
      </c>
      <c r="B966" s="221" t="s">
        <v>2304</v>
      </c>
      <c r="C966" s="222" t="s">
        <v>2305</v>
      </c>
      <c r="D966" s="221" t="s">
        <v>44</v>
      </c>
      <c r="E966" s="221" t="s">
        <v>27</v>
      </c>
      <c r="F966" s="223">
        <v>0</v>
      </c>
      <c r="G966" s="221" t="s">
        <v>48</v>
      </c>
      <c r="H966" s="221" t="s">
        <v>48</v>
      </c>
      <c r="I966" s="222" t="s">
        <v>2143</v>
      </c>
    </row>
    <row r="967" ht="17.25" customHeight="1" spans="1:9" x14ac:dyDescent="0.25">
      <c r="A967" s="220">
        <v>997</v>
      </c>
      <c r="B967" s="221" t="s">
        <v>2306</v>
      </c>
      <c r="C967" s="222" t="s">
        <v>2307</v>
      </c>
      <c r="D967" s="221" t="s">
        <v>44</v>
      </c>
      <c r="E967" s="221" t="s">
        <v>27</v>
      </c>
      <c r="F967" s="223">
        <v>0</v>
      </c>
      <c r="G967" s="221" t="s">
        <v>48</v>
      </c>
      <c r="H967" s="221" t="s">
        <v>48</v>
      </c>
      <c r="I967" s="224"/>
    </row>
    <row r="968" ht="17.25" customHeight="1" spans="1:9" x14ac:dyDescent="0.25">
      <c r="A968" s="220">
        <v>998</v>
      </c>
      <c r="B968" s="221" t="s">
        <v>2308</v>
      </c>
      <c r="C968" s="222" t="s">
        <v>2309</v>
      </c>
      <c r="D968" s="221" t="s">
        <v>44</v>
      </c>
      <c r="E968" s="221" t="s">
        <v>27</v>
      </c>
      <c r="F968" s="223">
        <v>0</v>
      </c>
      <c r="G968" s="221" t="s">
        <v>48</v>
      </c>
      <c r="H968" s="221" t="s">
        <v>48</v>
      </c>
      <c r="I968" s="224"/>
    </row>
    <row r="969" ht="17.25" customHeight="1" spans="1:9" x14ac:dyDescent="0.25">
      <c r="A969" s="220">
        <v>999</v>
      </c>
      <c r="B969" s="221" t="s">
        <v>2310</v>
      </c>
      <c r="C969" s="222" t="s">
        <v>2311</v>
      </c>
      <c r="D969" s="221" t="s">
        <v>44</v>
      </c>
      <c r="E969" s="221" t="s">
        <v>35</v>
      </c>
      <c r="F969" s="223">
        <v>0</v>
      </c>
      <c r="G969" s="221" t="s">
        <v>48</v>
      </c>
      <c r="H969" s="221" t="s">
        <v>48</v>
      </c>
      <c r="I969" s="224"/>
    </row>
    <row r="970" ht="17.25" customHeight="1" spans="1:9" x14ac:dyDescent="0.25">
      <c r="A970" s="220">
        <v>1000</v>
      </c>
      <c r="B970" s="221" t="s">
        <v>2312</v>
      </c>
      <c r="C970" s="222" t="s">
        <v>2313</v>
      </c>
      <c r="D970" s="221" t="s">
        <v>44</v>
      </c>
      <c r="E970" s="221" t="s">
        <v>35</v>
      </c>
      <c r="F970" s="223">
        <v>0</v>
      </c>
      <c r="G970" s="221" t="s">
        <v>48</v>
      </c>
      <c r="H970" s="221" t="s">
        <v>48</v>
      </c>
      <c r="I970" s="224"/>
    </row>
    <row r="971" ht="17.25" customHeight="1" spans="1:9" x14ac:dyDescent="0.25">
      <c r="A971" s="220">
        <v>1001</v>
      </c>
      <c r="B971" s="221" t="s">
        <v>2314</v>
      </c>
      <c r="C971" s="222" t="s">
        <v>2315</v>
      </c>
      <c r="D971" s="221" t="s">
        <v>44</v>
      </c>
      <c r="E971" s="221" t="s">
        <v>35</v>
      </c>
      <c r="F971" s="223">
        <v>0</v>
      </c>
      <c r="G971" s="221" t="s">
        <v>48</v>
      </c>
      <c r="H971" s="221" t="s">
        <v>48</v>
      </c>
      <c r="I971" s="224"/>
    </row>
    <row r="972" ht="17.25" customHeight="1" spans="1:9" x14ac:dyDescent="0.25">
      <c r="A972" s="220">
        <v>1002</v>
      </c>
      <c r="B972" s="221" t="s">
        <v>2316</v>
      </c>
      <c r="C972" s="222" t="s">
        <v>2317</v>
      </c>
      <c r="D972" s="221" t="s">
        <v>44</v>
      </c>
      <c r="E972" s="221" t="s">
        <v>35</v>
      </c>
      <c r="F972" s="223">
        <v>0</v>
      </c>
      <c r="G972" s="221" t="s">
        <v>48</v>
      </c>
      <c r="H972" s="221" t="s">
        <v>48</v>
      </c>
      <c r="I972" s="224"/>
    </row>
    <row r="973" ht="17.25" customHeight="1" spans="1:9" x14ac:dyDescent="0.25">
      <c r="A973" s="220">
        <v>1003</v>
      </c>
      <c r="B973" s="221" t="s">
        <v>2318</v>
      </c>
      <c r="C973" s="222" t="s">
        <v>2319</v>
      </c>
      <c r="D973" s="221" t="s">
        <v>2320</v>
      </c>
      <c r="E973" s="221" t="s">
        <v>27</v>
      </c>
      <c r="F973" s="223">
        <v>0</v>
      </c>
      <c r="G973" s="221" t="s">
        <v>48</v>
      </c>
      <c r="H973" s="221" t="s">
        <v>48</v>
      </c>
      <c r="I973" s="224"/>
    </row>
    <row r="974" ht="17.25" customHeight="1" spans="1:9" x14ac:dyDescent="0.25">
      <c r="A974" s="220">
        <v>1004</v>
      </c>
      <c r="B974" s="221" t="s">
        <v>2321</v>
      </c>
      <c r="C974" s="222" t="s">
        <v>2322</v>
      </c>
      <c r="D974" s="221" t="s">
        <v>2323</v>
      </c>
      <c r="E974" s="221" t="s">
        <v>27</v>
      </c>
      <c r="F974" s="223">
        <v>0</v>
      </c>
      <c r="G974" s="221" t="s">
        <v>71</v>
      </c>
      <c r="H974" s="221" t="s">
        <v>71</v>
      </c>
      <c r="I974" s="222"/>
    </row>
    <row r="975" ht="17.25" customHeight="1" spans="1:9" x14ac:dyDescent="0.25">
      <c r="A975" s="220">
        <v>1005</v>
      </c>
      <c r="B975" s="221" t="s">
        <v>2324</v>
      </c>
      <c r="C975" s="222" t="s">
        <v>2325</v>
      </c>
      <c r="D975" s="221" t="s">
        <v>2323</v>
      </c>
      <c r="E975" s="221" t="s">
        <v>27</v>
      </c>
      <c r="F975" s="223">
        <v>0</v>
      </c>
      <c r="G975" s="221" t="s">
        <v>71</v>
      </c>
      <c r="H975" s="221" t="s">
        <v>71</v>
      </c>
      <c r="I975" s="222"/>
    </row>
    <row r="976" ht="17.25" customHeight="1" spans="1:9" x14ac:dyDescent="0.25">
      <c r="A976" s="220">
        <v>1006</v>
      </c>
      <c r="B976" s="221" t="s">
        <v>2326</v>
      </c>
      <c r="C976" s="222" t="s">
        <v>2327</v>
      </c>
      <c r="D976" s="221" t="s">
        <v>2323</v>
      </c>
      <c r="E976" s="221" t="s">
        <v>27</v>
      </c>
      <c r="F976" s="223">
        <v>0</v>
      </c>
      <c r="G976" s="221" t="s">
        <v>71</v>
      </c>
      <c r="H976" s="221" t="s">
        <v>71</v>
      </c>
      <c r="I976" s="222"/>
    </row>
    <row r="977" ht="17.25" customHeight="1" spans="1:9" x14ac:dyDescent="0.25">
      <c r="A977" s="220">
        <v>1007</v>
      </c>
      <c r="B977" s="221" t="s">
        <v>2328</v>
      </c>
      <c r="C977" s="222" t="s">
        <v>2329</v>
      </c>
      <c r="D977" s="221" t="s">
        <v>2323</v>
      </c>
      <c r="E977" s="221" t="s">
        <v>27</v>
      </c>
      <c r="F977" s="223">
        <v>0</v>
      </c>
      <c r="G977" s="221" t="s">
        <v>71</v>
      </c>
      <c r="H977" s="221" t="s">
        <v>71</v>
      </c>
      <c r="I977" s="224"/>
    </row>
    <row r="978" ht="17.25" customHeight="1" spans="1:9" x14ac:dyDescent="0.25">
      <c r="A978" s="220">
        <v>1008</v>
      </c>
      <c r="B978" s="221" t="s">
        <v>2330</v>
      </c>
      <c r="C978" s="222" t="s">
        <v>2331</v>
      </c>
      <c r="D978" s="221" t="s">
        <v>2332</v>
      </c>
      <c r="E978" s="221" t="s">
        <v>27</v>
      </c>
      <c r="F978" s="223">
        <v>0</v>
      </c>
      <c r="G978" s="221" t="s">
        <v>48</v>
      </c>
      <c r="H978" s="221" t="s">
        <v>48</v>
      </c>
      <c r="I978" s="224"/>
    </row>
    <row r="979" ht="17.25" customHeight="1" spans="1:9" x14ac:dyDescent="0.25">
      <c r="A979" s="220">
        <v>1009</v>
      </c>
      <c r="B979" s="221" t="s">
        <v>2333</v>
      </c>
      <c r="C979" s="222" t="s">
        <v>2334</v>
      </c>
      <c r="D979" s="221" t="s">
        <v>2335</v>
      </c>
      <c r="E979" s="221" t="s">
        <v>27</v>
      </c>
      <c r="F979" s="223">
        <v>0</v>
      </c>
      <c r="G979" s="221" t="s">
        <v>48</v>
      </c>
      <c r="H979" s="221" t="s">
        <v>48</v>
      </c>
      <c r="I979" s="224"/>
    </row>
    <row r="980" ht="17.25" customHeight="1" spans="1:9" x14ac:dyDescent="0.25">
      <c r="A980" s="220">
        <v>1010</v>
      </c>
      <c r="B980" s="221" t="s">
        <v>2336</v>
      </c>
      <c r="C980" s="222" t="s">
        <v>2337</v>
      </c>
      <c r="D980" s="221" t="s">
        <v>2335</v>
      </c>
      <c r="E980" s="221" t="s">
        <v>27</v>
      </c>
      <c r="F980" s="223">
        <v>0</v>
      </c>
      <c r="G980" s="221" t="s">
        <v>48</v>
      </c>
      <c r="H980" s="221" t="s">
        <v>48</v>
      </c>
      <c r="I980" s="224"/>
    </row>
    <row r="981" ht="17.25" customHeight="1" spans="1:9" x14ac:dyDescent="0.25">
      <c r="A981" s="220">
        <v>1011</v>
      </c>
      <c r="B981" s="221" t="s">
        <v>2338</v>
      </c>
      <c r="C981" s="222" t="s">
        <v>2339</v>
      </c>
      <c r="D981" s="221" t="s">
        <v>2340</v>
      </c>
      <c r="E981" s="221" t="s">
        <v>27</v>
      </c>
      <c r="F981" s="223">
        <v>0</v>
      </c>
      <c r="G981" s="221" t="s">
        <v>48</v>
      </c>
      <c r="H981" s="221" t="s">
        <v>48</v>
      </c>
      <c r="I981" s="224"/>
    </row>
    <row r="982" ht="17.25" customHeight="1" spans="1:9" x14ac:dyDescent="0.25">
      <c r="A982" s="220">
        <v>1012</v>
      </c>
      <c r="B982" s="221" t="s">
        <v>2341</v>
      </c>
      <c r="C982" s="222" t="s">
        <v>2342</v>
      </c>
      <c r="D982" s="221" t="s">
        <v>2340</v>
      </c>
      <c r="E982" s="221" t="s">
        <v>27</v>
      </c>
      <c r="F982" s="223">
        <v>0</v>
      </c>
      <c r="G982" s="221" t="s">
        <v>48</v>
      </c>
      <c r="H982" s="221" t="s">
        <v>48</v>
      </c>
      <c r="I982" s="222"/>
    </row>
    <row r="983" ht="17.25" customHeight="1" spans="1:9" x14ac:dyDescent="0.25">
      <c r="A983" s="220">
        <v>1013</v>
      </c>
      <c r="B983" s="221" t="s">
        <v>2343</v>
      </c>
      <c r="C983" s="222" t="s">
        <v>2344</v>
      </c>
      <c r="D983" s="221" t="s">
        <v>2340</v>
      </c>
      <c r="E983" s="221" t="s">
        <v>27</v>
      </c>
      <c r="F983" s="223">
        <v>0</v>
      </c>
      <c r="G983" s="221" t="s">
        <v>48</v>
      </c>
      <c r="H983" s="221" t="s">
        <v>48</v>
      </c>
      <c r="I983" s="224"/>
    </row>
    <row r="984" ht="17.25" customHeight="1" spans="1:9" x14ac:dyDescent="0.25">
      <c r="A984" s="220">
        <v>1014</v>
      </c>
      <c r="B984" s="221" t="s">
        <v>2345</v>
      </c>
      <c r="C984" s="222" t="s">
        <v>2346</v>
      </c>
      <c r="D984" s="221" t="s">
        <v>2340</v>
      </c>
      <c r="E984" s="221" t="s">
        <v>27</v>
      </c>
      <c r="F984" s="223">
        <v>0</v>
      </c>
      <c r="G984" s="221" t="s">
        <v>48</v>
      </c>
      <c r="H984" s="221" t="s">
        <v>48</v>
      </c>
      <c r="I984" s="224"/>
    </row>
    <row r="985" ht="17.25" customHeight="1" spans="1:9" x14ac:dyDescent="0.25">
      <c r="A985" s="220">
        <v>1015</v>
      </c>
      <c r="B985" s="221" t="s">
        <v>2347</v>
      </c>
      <c r="C985" s="222" t="s">
        <v>2348</v>
      </c>
      <c r="D985" s="221" t="s">
        <v>2349</v>
      </c>
      <c r="E985" s="221" t="s">
        <v>27</v>
      </c>
      <c r="F985" s="223">
        <v>0</v>
      </c>
      <c r="G985" s="221"/>
      <c r="H985" s="221"/>
      <c r="I985" s="224"/>
    </row>
    <row r="986" ht="17.25" customHeight="1" spans="1:9" x14ac:dyDescent="0.25">
      <c r="A986" s="220">
        <v>1016</v>
      </c>
      <c r="B986" s="221" t="s">
        <v>2350</v>
      </c>
      <c r="C986" s="222" t="s">
        <v>2351</v>
      </c>
      <c r="D986" s="221" t="s">
        <v>2349</v>
      </c>
      <c r="E986" s="221" t="s">
        <v>27</v>
      </c>
      <c r="F986" s="223">
        <v>0</v>
      </c>
      <c r="G986" s="221"/>
      <c r="H986" s="221"/>
      <c r="I986" s="224"/>
    </row>
    <row r="987" ht="17.25" customHeight="1" spans="1:9" x14ac:dyDescent="0.25">
      <c r="A987" s="220">
        <v>1017</v>
      </c>
      <c r="B987" s="221" t="s">
        <v>2352</v>
      </c>
      <c r="C987" s="222" t="s">
        <v>2353</v>
      </c>
      <c r="D987" s="221" t="s">
        <v>2349</v>
      </c>
      <c r="E987" s="221" t="s">
        <v>27</v>
      </c>
      <c r="F987" s="223">
        <v>0</v>
      </c>
      <c r="G987" s="221"/>
      <c r="H987" s="221"/>
      <c r="I987" s="224"/>
    </row>
    <row r="988" ht="17.25" customHeight="1" spans="1:9" x14ac:dyDescent="0.25">
      <c r="A988" s="220">
        <v>1018</v>
      </c>
      <c r="B988" s="221" t="s">
        <v>2354</v>
      </c>
      <c r="C988" s="222" t="s">
        <v>2355</v>
      </c>
      <c r="D988" s="221" t="s">
        <v>2349</v>
      </c>
      <c r="E988" s="221" t="s">
        <v>27</v>
      </c>
      <c r="F988" s="223">
        <v>0</v>
      </c>
      <c r="G988" s="221"/>
      <c r="H988" s="221"/>
      <c r="I988" s="224"/>
    </row>
    <row r="989" ht="17.25" customHeight="1" spans="1:9" x14ac:dyDescent="0.25">
      <c r="A989" s="220">
        <v>1019</v>
      </c>
      <c r="B989" s="221" t="s">
        <v>2356</v>
      </c>
      <c r="C989" s="222" t="s">
        <v>2357</v>
      </c>
      <c r="D989" s="221" t="s">
        <v>2349</v>
      </c>
      <c r="E989" s="221" t="s">
        <v>27</v>
      </c>
      <c r="F989" s="223">
        <v>0</v>
      </c>
      <c r="G989" s="221"/>
      <c r="H989" s="221"/>
      <c r="I989" s="224"/>
    </row>
    <row r="990" ht="17.25" customHeight="1" spans="1:9" x14ac:dyDescent="0.25">
      <c r="A990" s="220">
        <v>1020</v>
      </c>
      <c r="B990" s="221" t="s">
        <v>2358</v>
      </c>
      <c r="C990" s="222" t="s">
        <v>2359</v>
      </c>
      <c r="D990" s="221" t="s">
        <v>2349</v>
      </c>
      <c r="E990" s="221" t="s">
        <v>27</v>
      </c>
      <c r="F990" s="223">
        <v>0</v>
      </c>
      <c r="G990" s="221"/>
      <c r="H990" s="221"/>
      <c r="I990" s="224"/>
    </row>
    <row r="991" ht="17.25" customHeight="1" spans="1:9" x14ac:dyDescent="0.25">
      <c r="A991" s="220">
        <v>1021</v>
      </c>
      <c r="B991" s="221" t="s">
        <v>2360</v>
      </c>
      <c r="C991" s="222" t="s">
        <v>2361</v>
      </c>
      <c r="D991" s="221" t="s">
        <v>2349</v>
      </c>
      <c r="E991" s="221" t="s">
        <v>27</v>
      </c>
      <c r="F991" s="223">
        <v>0</v>
      </c>
      <c r="G991" s="221"/>
      <c r="H991" s="221"/>
      <c r="I991" s="224"/>
    </row>
    <row r="992" ht="17.25" customHeight="1" spans="1:9" x14ac:dyDescent="0.25">
      <c r="A992" s="220">
        <v>1022</v>
      </c>
      <c r="B992" s="221" t="s">
        <v>2362</v>
      </c>
      <c r="C992" s="222" t="s">
        <v>2363</v>
      </c>
      <c r="D992" s="221" t="s">
        <v>2364</v>
      </c>
      <c r="E992" s="221" t="s">
        <v>27</v>
      </c>
      <c r="F992" s="223">
        <v>0</v>
      </c>
      <c r="G992" s="221"/>
      <c r="H992" s="221"/>
      <c r="I992" s="224"/>
    </row>
    <row r="993" ht="17.25" customHeight="1" spans="1:9" x14ac:dyDescent="0.25">
      <c r="A993" s="220">
        <v>1023</v>
      </c>
      <c r="B993" s="221" t="s">
        <v>2365</v>
      </c>
      <c r="C993" s="222" t="s">
        <v>2366</v>
      </c>
      <c r="D993" s="221" t="s">
        <v>2364</v>
      </c>
      <c r="E993" s="221" t="s">
        <v>27</v>
      </c>
      <c r="F993" s="223">
        <v>0</v>
      </c>
      <c r="G993" s="221"/>
      <c r="H993" s="221"/>
      <c r="I993" s="224"/>
    </row>
    <row r="994" ht="17.25" customHeight="1" spans="1:9" x14ac:dyDescent="0.25">
      <c r="A994" s="220">
        <v>1024</v>
      </c>
      <c r="B994" s="221" t="s">
        <v>2367</v>
      </c>
      <c r="C994" s="222" t="s">
        <v>2368</v>
      </c>
      <c r="D994" s="221" t="s">
        <v>2369</v>
      </c>
      <c r="E994" s="221" t="s">
        <v>395</v>
      </c>
      <c r="F994" s="223">
        <v>0</v>
      </c>
      <c r="G994" s="221"/>
      <c r="H994" s="221"/>
      <c r="I994" s="224"/>
    </row>
    <row r="995" ht="17.25" customHeight="1" spans="1:9" x14ac:dyDescent="0.25">
      <c r="A995" s="220">
        <v>1025</v>
      </c>
      <c r="B995" s="221" t="s">
        <v>2370</v>
      </c>
      <c r="C995" s="222" t="s">
        <v>2371</v>
      </c>
      <c r="D995" s="221" t="s">
        <v>2369</v>
      </c>
      <c r="E995" s="221" t="s">
        <v>395</v>
      </c>
      <c r="F995" s="223">
        <v>0</v>
      </c>
      <c r="G995" s="221"/>
      <c r="H995" s="221"/>
      <c r="I995" s="224"/>
    </row>
    <row r="996" ht="17.25" customHeight="1" spans="1:9" x14ac:dyDescent="0.25">
      <c r="A996" s="220">
        <v>1026</v>
      </c>
      <c r="B996" s="221" t="s">
        <v>2372</v>
      </c>
      <c r="C996" s="222" t="s">
        <v>2373</v>
      </c>
      <c r="D996" s="221" t="s">
        <v>2369</v>
      </c>
      <c r="E996" s="221" t="s">
        <v>395</v>
      </c>
      <c r="F996" s="223">
        <v>0</v>
      </c>
      <c r="G996" s="221"/>
      <c r="H996" s="221"/>
      <c r="I996" s="224"/>
    </row>
    <row r="997" ht="17.25" customHeight="1" spans="1:9" x14ac:dyDescent="0.25">
      <c r="A997" s="220">
        <v>1027</v>
      </c>
      <c r="B997" s="221" t="s">
        <v>2374</v>
      </c>
      <c r="C997" s="222" t="s">
        <v>2375</v>
      </c>
      <c r="D997" s="221" t="s">
        <v>2369</v>
      </c>
      <c r="E997" s="221" t="s">
        <v>395</v>
      </c>
      <c r="F997" s="223">
        <v>0</v>
      </c>
      <c r="G997" s="221"/>
      <c r="H997" s="221"/>
      <c r="I997" s="224"/>
    </row>
    <row r="998" ht="17.25" customHeight="1" spans="1:9" x14ac:dyDescent="0.25">
      <c r="A998" s="220">
        <v>1028</v>
      </c>
      <c r="B998" s="221" t="s">
        <v>2376</v>
      </c>
      <c r="C998" s="222" t="s">
        <v>2377</v>
      </c>
      <c r="D998" s="221" t="s">
        <v>2369</v>
      </c>
      <c r="E998" s="221" t="s">
        <v>395</v>
      </c>
      <c r="F998" s="223">
        <v>0</v>
      </c>
      <c r="G998" s="221"/>
      <c r="H998" s="221"/>
      <c r="I998" s="224"/>
    </row>
    <row r="999" ht="17.25" customHeight="1" spans="1:9" x14ac:dyDescent="0.25">
      <c r="A999" s="220">
        <v>1029</v>
      </c>
      <c r="B999" s="221" t="s">
        <v>2378</v>
      </c>
      <c r="C999" s="222" t="s">
        <v>2379</v>
      </c>
      <c r="D999" s="221" t="s">
        <v>2369</v>
      </c>
      <c r="E999" s="221" t="s">
        <v>395</v>
      </c>
      <c r="F999" s="223">
        <v>0</v>
      </c>
      <c r="G999" s="221"/>
      <c r="H999" s="221"/>
      <c r="I999" s="224"/>
    </row>
    <row r="1000" ht="17.25" customHeight="1" spans="1:9" x14ac:dyDescent="0.25">
      <c r="A1000" s="220">
        <v>1030</v>
      </c>
      <c r="B1000" s="221" t="s">
        <v>2380</v>
      </c>
      <c r="C1000" s="222" t="s">
        <v>2381</v>
      </c>
      <c r="D1000" s="221" t="s">
        <v>2369</v>
      </c>
      <c r="E1000" s="221" t="s">
        <v>395</v>
      </c>
      <c r="F1000" s="223">
        <v>0</v>
      </c>
      <c r="G1000" s="221"/>
      <c r="H1000" s="221"/>
      <c r="I1000" s="224"/>
    </row>
    <row r="1001" ht="17.25" customHeight="1" spans="1:9" x14ac:dyDescent="0.25">
      <c r="A1001" s="220">
        <v>1031</v>
      </c>
      <c r="B1001" s="221" t="s">
        <v>2382</v>
      </c>
      <c r="C1001" s="222" t="s">
        <v>2383</v>
      </c>
      <c r="D1001" s="221" t="s">
        <v>2369</v>
      </c>
      <c r="E1001" s="221" t="s">
        <v>395</v>
      </c>
      <c r="F1001" s="223">
        <v>0</v>
      </c>
      <c r="G1001" s="221"/>
      <c r="H1001" s="221"/>
      <c r="I1001" s="224"/>
    </row>
    <row r="1002" ht="17.25" customHeight="1" spans="1:9" x14ac:dyDescent="0.25">
      <c r="A1002" s="220">
        <v>1032</v>
      </c>
      <c r="B1002" s="221" t="s">
        <v>2384</v>
      </c>
      <c r="C1002" s="222" t="s">
        <v>2385</v>
      </c>
      <c r="D1002" s="221" t="s">
        <v>2369</v>
      </c>
      <c r="E1002" s="221" t="s">
        <v>395</v>
      </c>
      <c r="F1002" s="223">
        <v>0</v>
      </c>
      <c r="G1002" s="221"/>
      <c r="H1002" s="221"/>
      <c r="I1002" s="224"/>
    </row>
    <row r="1003" ht="17.25" customHeight="1" spans="1:9" x14ac:dyDescent="0.25">
      <c r="A1003" s="220">
        <v>1033</v>
      </c>
      <c r="B1003" s="221" t="s">
        <v>2386</v>
      </c>
      <c r="C1003" s="222" t="s">
        <v>2387</v>
      </c>
      <c r="D1003" s="221" t="s">
        <v>2388</v>
      </c>
      <c r="E1003" s="221" t="s">
        <v>27</v>
      </c>
      <c r="F1003" s="223">
        <v>0</v>
      </c>
      <c r="G1003" s="221" t="s">
        <v>48</v>
      </c>
      <c r="H1003" s="221" t="s">
        <v>48</v>
      </c>
      <c r="I1003" s="224"/>
    </row>
    <row r="1004" ht="17.25" customHeight="1" spans="1:9" x14ac:dyDescent="0.25">
      <c r="A1004" s="220">
        <v>1034</v>
      </c>
      <c r="B1004" s="221" t="s">
        <v>2389</v>
      </c>
      <c r="C1004" s="222" t="s">
        <v>2390</v>
      </c>
      <c r="D1004" s="221" t="s">
        <v>2388</v>
      </c>
      <c r="E1004" s="221" t="s">
        <v>27</v>
      </c>
      <c r="F1004" s="223">
        <v>0</v>
      </c>
      <c r="G1004" s="221" t="s">
        <v>48</v>
      </c>
      <c r="H1004" s="221" t="s">
        <v>48</v>
      </c>
      <c r="I1004" s="224"/>
    </row>
    <row r="1005" ht="17.25" customHeight="1" spans="1:9" x14ac:dyDescent="0.25">
      <c r="A1005" s="220">
        <v>1035</v>
      </c>
      <c r="B1005" s="221" t="s">
        <v>2391</v>
      </c>
      <c r="C1005" s="222" t="s">
        <v>2392</v>
      </c>
      <c r="D1005" s="221" t="s">
        <v>2393</v>
      </c>
      <c r="E1005" s="221" t="s">
        <v>27</v>
      </c>
      <c r="F1005" s="223">
        <v>0</v>
      </c>
      <c r="G1005" s="221" t="s">
        <v>48</v>
      </c>
      <c r="H1005" s="221" t="s">
        <v>48</v>
      </c>
      <c r="I1005" s="222"/>
    </row>
    <row r="1006" ht="17.25" customHeight="1" spans="1:9" x14ac:dyDescent="0.25">
      <c r="A1006" s="220">
        <v>1036</v>
      </c>
      <c r="B1006" s="221" t="s">
        <v>2394</v>
      </c>
      <c r="C1006" s="222" t="s">
        <v>2395</v>
      </c>
      <c r="D1006" s="221" t="s">
        <v>2393</v>
      </c>
      <c r="E1006" s="221" t="s">
        <v>27</v>
      </c>
      <c r="F1006" s="223">
        <v>0</v>
      </c>
      <c r="G1006" s="221" t="s">
        <v>48</v>
      </c>
      <c r="H1006" s="221" t="s">
        <v>48</v>
      </c>
      <c r="I1006" s="222"/>
    </row>
    <row r="1007" ht="17.25" customHeight="1" spans="1:9" x14ac:dyDescent="0.25">
      <c r="A1007" s="220">
        <v>1037</v>
      </c>
      <c r="B1007" s="221" t="s">
        <v>2396</v>
      </c>
      <c r="C1007" s="222" t="s">
        <v>2397</v>
      </c>
      <c r="D1007" s="221" t="s">
        <v>2393</v>
      </c>
      <c r="E1007" s="221" t="s">
        <v>27</v>
      </c>
      <c r="F1007" s="223">
        <v>0</v>
      </c>
      <c r="G1007" s="221" t="s">
        <v>48</v>
      </c>
      <c r="H1007" s="221" t="s">
        <v>48</v>
      </c>
      <c r="I1007" s="222"/>
    </row>
    <row r="1008" ht="17.25" customHeight="1" spans="1:9" x14ac:dyDescent="0.25">
      <c r="A1008" s="220">
        <v>1038</v>
      </c>
      <c r="B1008" s="221" t="s">
        <v>2398</v>
      </c>
      <c r="C1008" s="222" t="s">
        <v>2399</v>
      </c>
      <c r="D1008" s="221" t="s">
        <v>2393</v>
      </c>
      <c r="E1008" s="221" t="s">
        <v>27</v>
      </c>
      <c r="F1008" s="223">
        <v>0</v>
      </c>
      <c r="G1008" s="221" t="s">
        <v>48</v>
      </c>
      <c r="H1008" s="221" t="s">
        <v>48</v>
      </c>
      <c r="I1008" s="224"/>
    </row>
    <row r="1009" ht="17.25" customHeight="1" spans="1:9" x14ac:dyDescent="0.25">
      <c r="A1009" s="220">
        <v>1039</v>
      </c>
      <c r="B1009" s="221" t="s">
        <v>2400</v>
      </c>
      <c r="C1009" s="222" t="s">
        <v>2401</v>
      </c>
      <c r="D1009" s="221" t="s">
        <v>2393</v>
      </c>
      <c r="E1009" s="221" t="s">
        <v>27</v>
      </c>
      <c r="F1009" s="223">
        <v>0</v>
      </c>
      <c r="G1009" s="221" t="s">
        <v>48</v>
      </c>
      <c r="H1009" s="221" t="s">
        <v>48</v>
      </c>
      <c r="I1009" s="224"/>
    </row>
    <row r="1010" ht="17.25" customHeight="1" spans="1:9" x14ac:dyDescent="0.25">
      <c r="A1010" s="220">
        <v>1040</v>
      </c>
      <c r="B1010" s="221" t="s">
        <v>2402</v>
      </c>
      <c r="C1010" s="222" t="s">
        <v>2403</v>
      </c>
      <c r="D1010" s="221" t="s">
        <v>2393</v>
      </c>
      <c r="E1010" s="221" t="s">
        <v>27</v>
      </c>
      <c r="F1010" s="223">
        <v>0</v>
      </c>
      <c r="G1010" s="221" t="s">
        <v>48</v>
      </c>
      <c r="H1010" s="221" t="s">
        <v>48</v>
      </c>
      <c r="I1010" s="224"/>
    </row>
    <row r="1011" ht="17.25" customHeight="1" spans="1:9" x14ac:dyDescent="0.25">
      <c r="A1011" s="220">
        <v>1042</v>
      </c>
      <c r="B1011" s="221" t="s">
        <v>2404</v>
      </c>
      <c r="C1011" s="222" t="s">
        <v>2405</v>
      </c>
      <c r="D1011" s="221" t="s">
        <v>2406</v>
      </c>
      <c r="E1011" s="221" t="s">
        <v>27</v>
      </c>
      <c r="F1011" s="223">
        <v>0</v>
      </c>
      <c r="G1011" s="221" t="s">
        <v>48</v>
      </c>
      <c r="H1011" s="221" t="s">
        <v>48</v>
      </c>
      <c r="I1011" s="222" t="s">
        <v>2407</v>
      </c>
    </row>
    <row r="1012" ht="17.25" customHeight="1" spans="1:9" x14ac:dyDescent="0.25">
      <c r="A1012" s="220">
        <v>1043</v>
      </c>
      <c r="B1012" s="221" t="s">
        <v>2408</v>
      </c>
      <c r="C1012" s="222" t="s">
        <v>2409</v>
      </c>
      <c r="D1012" s="221" t="s">
        <v>70</v>
      </c>
      <c r="E1012" s="221" t="s">
        <v>395</v>
      </c>
      <c r="F1012" s="223">
        <v>5600</v>
      </c>
      <c r="G1012" s="221" t="s">
        <v>46</v>
      </c>
      <c r="H1012" s="221" t="s">
        <v>71</v>
      </c>
      <c r="I1012" s="222"/>
    </row>
    <row r="1013" ht="17.25" customHeight="1" spans="1:9" x14ac:dyDescent="0.25">
      <c r="A1013" s="220">
        <v>1044</v>
      </c>
      <c r="B1013" s="221" t="s">
        <v>2410</v>
      </c>
      <c r="C1013" s="222" t="s">
        <v>2411</v>
      </c>
      <c r="D1013" s="221" t="s">
        <v>70</v>
      </c>
      <c r="E1013" s="221" t="s">
        <v>395</v>
      </c>
      <c r="F1013" s="223">
        <v>5100</v>
      </c>
      <c r="G1013" s="221" t="s">
        <v>46</v>
      </c>
      <c r="H1013" s="221" t="s">
        <v>71</v>
      </c>
      <c r="I1013" s="222"/>
    </row>
    <row r="1014" ht="17.25" customHeight="1" spans="1:9" x14ac:dyDescent="0.25">
      <c r="A1014" s="220">
        <v>1045</v>
      </c>
      <c r="B1014" s="221" t="s">
        <v>2412</v>
      </c>
      <c r="C1014" s="222" t="s">
        <v>2413</v>
      </c>
      <c r="D1014" s="221" t="s">
        <v>70</v>
      </c>
      <c r="E1014" s="221" t="s">
        <v>395</v>
      </c>
      <c r="F1014" s="223">
        <v>5100</v>
      </c>
      <c r="G1014" s="221" t="s">
        <v>46</v>
      </c>
      <c r="H1014" s="221" t="s">
        <v>71</v>
      </c>
      <c r="I1014" s="222"/>
    </row>
    <row r="1015" ht="17.25" customHeight="1" spans="1:9" x14ac:dyDescent="0.25">
      <c r="A1015" s="220">
        <v>1046</v>
      </c>
      <c r="B1015" s="221" t="s">
        <v>2414</v>
      </c>
      <c r="C1015" s="222" t="s">
        <v>2415</v>
      </c>
      <c r="D1015" s="221" t="s">
        <v>70</v>
      </c>
      <c r="E1015" s="221" t="s">
        <v>395</v>
      </c>
      <c r="F1015" s="223">
        <v>5600</v>
      </c>
      <c r="G1015" s="221" t="s">
        <v>46</v>
      </c>
      <c r="H1015" s="221" t="s">
        <v>71</v>
      </c>
      <c r="I1015" s="222"/>
    </row>
    <row r="1016" ht="17.25" customHeight="1" spans="1:9" x14ac:dyDescent="0.25">
      <c r="A1016" s="220">
        <v>1047</v>
      </c>
      <c r="B1016" s="221" t="s">
        <v>2416</v>
      </c>
      <c r="C1016" s="222" t="s">
        <v>2417</v>
      </c>
      <c r="D1016" s="221" t="s">
        <v>70</v>
      </c>
      <c r="E1016" s="221" t="s">
        <v>395</v>
      </c>
      <c r="F1016" s="223">
        <v>5100</v>
      </c>
      <c r="G1016" s="221" t="s">
        <v>46</v>
      </c>
      <c r="H1016" s="221" t="s">
        <v>71</v>
      </c>
      <c r="I1016" s="222"/>
    </row>
    <row r="1017" ht="17.25" customHeight="1" spans="1:9" x14ac:dyDescent="0.25">
      <c r="A1017" s="220">
        <v>1048</v>
      </c>
      <c r="B1017" s="221" t="s">
        <v>2418</v>
      </c>
      <c r="C1017" s="222" t="s">
        <v>2419</v>
      </c>
      <c r="D1017" s="221" t="s">
        <v>70</v>
      </c>
      <c r="E1017" s="221" t="s">
        <v>395</v>
      </c>
      <c r="F1017" s="223">
        <v>5350</v>
      </c>
      <c r="G1017" s="221" t="s">
        <v>46</v>
      </c>
      <c r="H1017" s="221" t="s">
        <v>71</v>
      </c>
      <c r="I1017" s="222"/>
    </row>
    <row r="1018" ht="17.25" customHeight="1" spans="1:9" x14ac:dyDescent="0.25">
      <c r="A1018" s="220">
        <v>1049</v>
      </c>
      <c r="B1018" s="221" t="s">
        <v>2420</v>
      </c>
      <c r="C1018" s="222" t="s">
        <v>2421</v>
      </c>
      <c r="D1018" s="221" t="s">
        <v>70</v>
      </c>
      <c r="E1018" s="221" t="s">
        <v>395</v>
      </c>
      <c r="F1018" s="223">
        <v>5100</v>
      </c>
      <c r="G1018" s="221" t="s">
        <v>46</v>
      </c>
      <c r="H1018" s="221" t="s">
        <v>71</v>
      </c>
      <c r="I1018" s="222"/>
    </row>
    <row r="1019" ht="17.25" customHeight="1" spans="1:9" x14ac:dyDescent="0.25">
      <c r="A1019" s="220">
        <v>1050</v>
      </c>
      <c r="B1019" s="221" t="s">
        <v>2422</v>
      </c>
      <c r="C1019" s="222" t="s">
        <v>2423</v>
      </c>
      <c r="D1019" s="221" t="s">
        <v>70</v>
      </c>
      <c r="E1019" s="221" t="s">
        <v>395</v>
      </c>
      <c r="F1019" s="223">
        <v>5100</v>
      </c>
      <c r="G1019" s="221" t="s">
        <v>46</v>
      </c>
      <c r="H1019" s="221" t="s">
        <v>71</v>
      </c>
      <c r="I1019" s="222"/>
    </row>
    <row r="1020" ht="17.25" customHeight="1" spans="1:9" x14ac:dyDescent="0.25">
      <c r="A1020" s="220">
        <v>1051</v>
      </c>
      <c r="B1020" s="221" t="s">
        <v>2424</v>
      </c>
      <c r="C1020" s="222" t="s">
        <v>2425</v>
      </c>
      <c r="D1020" s="221" t="s">
        <v>70</v>
      </c>
      <c r="E1020" s="221" t="s">
        <v>395</v>
      </c>
      <c r="F1020" s="223">
        <v>5350</v>
      </c>
      <c r="G1020" s="221" t="s">
        <v>46</v>
      </c>
      <c r="H1020" s="221" t="s">
        <v>71</v>
      </c>
      <c r="I1020" s="222"/>
    </row>
    <row r="1021" ht="17.25" customHeight="1" spans="1:9" x14ac:dyDescent="0.25">
      <c r="A1021" s="220">
        <v>1052</v>
      </c>
      <c r="B1021" s="221" t="s">
        <v>2426</v>
      </c>
      <c r="C1021" s="222" t="s">
        <v>2427</v>
      </c>
      <c r="D1021" s="221" t="s">
        <v>70</v>
      </c>
      <c r="E1021" s="221" t="s">
        <v>395</v>
      </c>
      <c r="F1021" s="223">
        <v>5350</v>
      </c>
      <c r="G1021" s="221" t="s">
        <v>46</v>
      </c>
      <c r="H1021" s="221" t="s">
        <v>71</v>
      </c>
      <c r="I1021" s="222"/>
    </row>
    <row r="1022" ht="17.25" customHeight="1" spans="1:9" x14ac:dyDescent="0.25">
      <c r="A1022" s="220">
        <v>1053</v>
      </c>
      <c r="B1022" s="221" t="s">
        <v>2428</v>
      </c>
      <c r="C1022" s="222" t="s">
        <v>2429</v>
      </c>
      <c r="D1022" s="221" t="s">
        <v>70</v>
      </c>
      <c r="E1022" s="221" t="s">
        <v>395</v>
      </c>
      <c r="F1022" s="223">
        <v>5600</v>
      </c>
      <c r="G1022" s="221" t="s">
        <v>46</v>
      </c>
      <c r="H1022" s="221" t="s">
        <v>71</v>
      </c>
      <c r="I1022" s="222"/>
    </row>
    <row r="1023" ht="17.25" customHeight="1" spans="1:9" x14ac:dyDescent="0.25">
      <c r="A1023" s="220">
        <v>1054</v>
      </c>
      <c r="B1023" s="221" t="s">
        <v>2430</v>
      </c>
      <c r="C1023" s="222" t="s">
        <v>2431</v>
      </c>
      <c r="D1023" s="221" t="s">
        <v>70</v>
      </c>
      <c r="E1023" s="221" t="s">
        <v>395</v>
      </c>
      <c r="F1023" s="223">
        <v>5100</v>
      </c>
      <c r="G1023" s="221" t="s">
        <v>46</v>
      </c>
      <c r="H1023" s="221" t="s">
        <v>71</v>
      </c>
      <c r="I1023" s="222"/>
    </row>
    <row r="1024" ht="17.25" customHeight="1" spans="1:9" x14ac:dyDescent="0.25">
      <c r="A1024" s="220">
        <v>1055</v>
      </c>
      <c r="B1024" s="221" t="s">
        <v>2432</v>
      </c>
      <c r="C1024" s="222" t="s">
        <v>2433</v>
      </c>
      <c r="D1024" s="221" t="s">
        <v>70</v>
      </c>
      <c r="E1024" s="221" t="s">
        <v>395</v>
      </c>
      <c r="F1024" s="223">
        <v>5600</v>
      </c>
      <c r="G1024" s="221" t="s">
        <v>46</v>
      </c>
      <c r="H1024" s="221" t="s">
        <v>71</v>
      </c>
      <c r="I1024" s="222"/>
    </row>
    <row r="1025" ht="17.25" customHeight="1" spans="1:9" x14ac:dyDescent="0.25">
      <c r="A1025" s="220">
        <v>1056</v>
      </c>
      <c r="B1025" s="221" t="s">
        <v>2434</v>
      </c>
      <c r="C1025" s="222" t="s">
        <v>2435</v>
      </c>
      <c r="D1025" s="221" t="s">
        <v>72</v>
      </c>
      <c r="E1025" s="221" t="s">
        <v>395</v>
      </c>
      <c r="F1025" s="223">
        <v>5100</v>
      </c>
      <c r="G1025" s="221" t="s">
        <v>46</v>
      </c>
      <c r="H1025" s="221" t="s">
        <v>71</v>
      </c>
      <c r="I1025" s="222"/>
    </row>
    <row r="1026" ht="17.25" customHeight="1" spans="1:9" x14ac:dyDescent="0.25">
      <c r="A1026" s="220">
        <v>1057</v>
      </c>
      <c r="B1026" s="221" t="s">
        <v>2436</v>
      </c>
      <c r="C1026" s="222" t="s">
        <v>2437</v>
      </c>
      <c r="D1026" s="221" t="s">
        <v>72</v>
      </c>
      <c r="E1026" s="221" t="s">
        <v>395</v>
      </c>
      <c r="F1026" s="223">
        <v>5350</v>
      </c>
      <c r="G1026" s="221" t="s">
        <v>46</v>
      </c>
      <c r="H1026" s="221" t="s">
        <v>71</v>
      </c>
      <c r="I1026" s="222"/>
    </row>
    <row r="1027" ht="17.25" customHeight="1" spans="1:9" x14ac:dyDescent="0.25">
      <c r="A1027" s="220">
        <v>1058</v>
      </c>
      <c r="B1027" s="221" t="s">
        <v>2438</v>
      </c>
      <c r="C1027" s="222" t="s">
        <v>2439</v>
      </c>
      <c r="D1027" s="221" t="s">
        <v>70</v>
      </c>
      <c r="E1027" s="221" t="s">
        <v>395</v>
      </c>
      <c r="F1027" s="223">
        <v>5350</v>
      </c>
      <c r="G1027" s="221" t="s">
        <v>46</v>
      </c>
      <c r="H1027" s="221" t="s">
        <v>71</v>
      </c>
      <c r="I1027" s="222"/>
    </row>
    <row r="1028" ht="17.25" customHeight="1" spans="1:9" x14ac:dyDescent="0.25">
      <c r="A1028" s="220">
        <v>1059</v>
      </c>
      <c r="B1028" s="221" t="s">
        <v>2440</v>
      </c>
      <c r="C1028" s="222" t="s">
        <v>2441</v>
      </c>
      <c r="D1028" s="221" t="s">
        <v>72</v>
      </c>
      <c r="E1028" s="221" t="s">
        <v>395</v>
      </c>
      <c r="F1028" s="223">
        <v>5350</v>
      </c>
      <c r="G1028" s="221" t="s">
        <v>46</v>
      </c>
      <c r="H1028" s="221" t="s">
        <v>71</v>
      </c>
      <c r="I1028" s="222"/>
    </row>
    <row r="1029" ht="17.25" customHeight="1" spans="1:9" x14ac:dyDescent="0.25">
      <c r="A1029" s="220">
        <v>1060</v>
      </c>
      <c r="B1029" s="221" t="s">
        <v>2442</v>
      </c>
      <c r="C1029" s="222" t="s">
        <v>2443</v>
      </c>
      <c r="D1029" s="221" t="s">
        <v>70</v>
      </c>
      <c r="E1029" s="221" t="s">
        <v>395</v>
      </c>
      <c r="F1029" s="223">
        <v>5600</v>
      </c>
      <c r="G1029" s="221" t="s">
        <v>46</v>
      </c>
      <c r="H1029" s="221" t="s">
        <v>71</v>
      </c>
      <c r="I1029" s="222"/>
    </row>
    <row r="1030" ht="17.25" customHeight="1" spans="1:9" x14ac:dyDescent="0.25">
      <c r="A1030" s="220">
        <v>1061</v>
      </c>
      <c r="B1030" s="221" t="s">
        <v>2444</v>
      </c>
      <c r="C1030" s="222" t="s">
        <v>2445</v>
      </c>
      <c r="D1030" s="221" t="s">
        <v>70</v>
      </c>
      <c r="E1030" s="221" t="s">
        <v>395</v>
      </c>
      <c r="F1030" s="223">
        <v>5600</v>
      </c>
      <c r="G1030" s="221" t="s">
        <v>46</v>
      </c>
      <c r="H1030" s="221" t="s">
        <v>71</v>
      </c>
      <c r="I1030" s="222"/>
    </row>
    <row r="1031" ht="17.25" customHeight="1" spans="1:9" x14ac:dyDescent="0.25">
      <c r="A1031" s="220">
        <v>1062</v>
      </c>
      <c r="B1031" s="221" t="s">
        <v>2446</v>
      </c>
      <c r="C1031" s="222" t="s">
        <v>2447</v>
      </c>
      <c r="D1031" s="221" t="s">
        <v>70</v>
      </c>
      <c r="E1031" s="221" t="s">
        <v>395</v>
      </c>
      <c r="F1031" s="223">
        <v>5100</v>
      </c>
      <c r="G1031" s="221" t="s">
        <v>46</v>
      </c>
      <c r="H1031" s="221" t="s">
        <v>71</v>
      </c>
      <c r="I1031" s="222"/>
    </row>
    <row r="1032" ht="17.25" customHeight="1" spans="1:9" x14ac:dyDescent="0.25">
      <c r="A1032" s="220">
        <v>1064</v>
      </c>
      <c r="B1032" s="221" t="s">
        <v>2448</v>
      </c>
      <c r="C1032" s="222" t="s">
        <v>2449</v>
      </c>
      <c r="D1032" s="221" t="s">
        <v>70</v>
      </c>
      <c r="E1032" s="221" t="s">
        <v>395</v>
      </c>
      <c r="F1032" s="223">
        <v>5600</v>
      </c>
      <c r="G1032" s="221" t="s">
        <v>46</v>
      </c>
      <c r="H1032" s="221" t="s">
        <v>71</v>
      </c>
      <c r="I1032" s="222"/>
    </row>
    <row r="1033" ht="17.25" customHeight="1" spans="1:9" x14ac:dyDescent="0.25">
      <c r="A1033" s="220">
        <v>1065</v>
      </c>
      <c r="B1033" s="221" t="s">
        <v>2450</v>
      </c>
      <c r="C1033" s="222" t="s">
        <v>2451</v>
      </c>
      <c r="D1033" s="221" t="s">
        <v>70</v>
      </c>
      <c r="E1033" s="221" t="s">
        <v>395</v>
      </c>
      <c r="F1033" s="223">
        <v>5600</v>
      </c>
      <c r="G1033" s="221" t="s">
        <v>46</v>
      </c>
      <c r="H1033" s="221" t="s">
        <v>71</v>
      </c>
      <c r="I1033" s="222"/>
    </row>
    <row r="1034" ht="17.25" customHeight="1" spans="1:9" x14ac:dyDescent="0.25">
      <c r="A1034" s="220">
        <v>1066</v>
      </c>
      <c r="B1034" s="221" t="s">
        <v>2452</v>
      </c>
      <c r="C1034" s="222" t="s">
        <v>2453</v>
      </c>
      <c r="D1034" s="221" t="s">
        <v>70</v>
      </c>
      <c r="E1034" s="221" t="s">
        <v>395</v>
      </c>
      <c r="F1034" s="223">
        <v>5100</v>
      </c>
      <c r="G1034" s="221" t="s">
        <v>46</v>
      </c>
      <c r="H1034" s="221" t="s">
        <v>71</v>
      </c>
      <c r="I1034" s="222"/>
    </row>
    <row r="1035" ht="17.25" customHeight="1" spans="1:9" x14ac:dyDescent="0.25">
      <c r="A1035" s="220">
        <v>1067</v>
      </c>
      <c r="B1035" s="221" t="s">
        <v>2454</v>
      </c>
      <c r="C1035" s="222" t="s">
        <v>2455</v>
      </c>
      <c r="D1035" s="221" t="s">
        <v>70</v>
      </c>
      <c r="E1035" s="221" t="s">
        <v>395</v>
      </c>
      <c r="F1035" s="223">
        <v>5600</v>
      </c>
      <c r="G1035" s="221" t="s">
        <v>46</v>
      </c>
      <c r="H1035" s="221" t="s">
        <v>71</v>
      </c>
      <c r="I1035" s="222"/>
    </row>
    <row r="1036" ht="17.25" customHeight="1" spans="1:9" x14ac:dyDescent="0.25">
      <c r="A1036" s="220">
        <v>1068</v>
      </c>
      <c r="B1036" s="221" t="s">
        <v>2456</v>
      </c>
      <c r="C1036" s="222" t="s">
        <v>2457</v>
      </c>
      <c r="D1036" s="221" t="s">
        <v>70</v>
      </c>
      <c r="E1036" s="221" t="s">
        <v>395</v>
      </c>
      <c r="F1036" s="223">
        <v>5350</v>
      </c>
      <c r="G1036" s="221" t="s">
        <v>46</v>
      </c>
      <c r="H1036" s="221" t="s">
        <v>71</v>
      </c>
      <c r="I1036" s="222"/>
    </row>
    <row r="1037" ht="17.25" customHeight="1" spans="1:9" x14ac:dyDescent="0.25">
      <c r="A1037" s="220">
        <v>1069</v>
      </c>
      <c r="B1037" s="221" t="s">
        <v>2458</v>
      </c>
      <c r="C1037" s="222" t="s">
        <v>2459</v>
      </c>
      <c r="D1037" s="221" t="s">
        <v>72</v>
      </c>
      <c r="E1037" s="221" t="s">
        <v>395</v>
      </c>
      <c r="F1037" s="223">
        <v>5350</v>
      </c>
      <c r="G1037" s="221" t="s">
        <v>46</v>
      </c>
      <c r="H1037" s="221" t="s">
        <v>71</v>
      </c>
      <c r="I1037" s="222"/>
    </row>
    <row r="1038" ht="17.25" customHeight="1" spans="1:9" x14ac:dyDescent="0.25">
      <c r="A1038" s="220">
        <v>1070</v>
      </c>
      <c r="B1038" s="221" t="s">
        <v>2460</v>
      </c>
      <c r="C1038" s="222" t="s">
        <v>2461</v>
      </c>
      <c r="D1038" s="221" t="s">
        <v>72</v>
      </c>
      <c r="E1038" s="221" t="s">
        <v>395</v>
      </c>
      <c r="F1038" s="223">
        <v>5350</v>
      </c>
      <c r="G1038" s="221" t="s">
        <v>46</v>
      </c>
      <c r="H1038" s="221" t="s">
        <v>71</v>
      </c>
      <c r="I1038" s="222"/>
    </row>
    <row r="1039" ht="17.25" customHeight="1" spans="1:9" x14ac:dyDescent="0.25">
      <c r="A1039" s="220">
        <v>1071</v>
      </c>
      <c r="B1039" s="221" t="s">
        <v>2462</v>
      </c>
      <c r="C1039" s="222" t="s">
        <v>2463</v>
      </c>
      <c r="D1039" s="221" t="s">
        <v>70</v>
      </c>
      <c r="E1039" s="221" t="s">
        <v>395</v>
      </c>
      <c r="F1039" s="223">
        <v>5600</v>
      </c>
      <c r="G1039" s="221" t="s">
        <v>46</v>
      </c>
      <c r="H1039" s="221" t="s">
        <v>71</v>
      </c>
      <c r="I1039" s="222"/>
    </row>
    <row r="1040" ht="17.25" customHeight="1" spans="1:9" x14ac:dyDescent="0.25">
      <c r="A1040" s="220">
        <v>1072</v>
      </c>
      <c r="B1040" s="221" t="s">
        <v>2464</v>
      </c>
      <c r="C1040" s="222" t="s">
        <v>2465</v>
      </c>
      <c r="D1040" s="221" t="s">
        <v>72</v>
      </c>
      <c r="E1040" s="221" t="s">
        <v>395</v>
      </c>
      <c r="F1040" s="223">
        <v>5350</v>
      </c>
      <c r="G1040" s="221" t="s">
        <v>46</v>
      </c>
      <c r="H1040" s="221" t="s">
        <v>71</v>
      </c>
      <c r="I1040" s="222"/>
    </row>
    <row r="1041" ht="17.25" customHeight="1" spans="1:9" x14ac:dyDescent="0.25">
      <c r="A1041" s="220">
        <v>1073</v>
      </c>
      <c r="B1041" s="221" t="s">
        <v>2466</v>
      </c>
      <c r="C1041" s="222" t="s">
        <v>2467</v>
      </c>
      <c r="D1041" s="221" t="s">
        <v>72</v>
      </c>
      <c r="E1041" s="221" t="s">
        <v>395</v>
      </c>
      <c r="F1041" s="223">
        <v>5350</v>
      </c>
      <c r="G1041" s="221" t="s">
        <v>46</v>
      </c>
      <c r="H1041" s="221" t="s">
        <v>71</v>
      </c>
      <c r="I1041" s="222"/>
    </row>
    <row r="1042" ht="17.25" customHeight="1" spans="1:9" x14ac:dyDescent="0.25">
      <c r="A1042" s="220">
        <v>1074</v>
      </c>
      <c r="B1042" s="221" t="s">
        <v>2468</v>
      </c>
      <c r="C1042" s="222" t="s">
        <v>2469</v>
      </c>
      <c r="D1042" s="221" t="s">
        <v>72</v>
      </c>
      <c r="E1042" s="221" t="s">
        <v>395</v>
      </c>
      <c r="F1042" s="223">
        <v>5350</v>
      </c>
      <c r="G1042" s="221" t="s">
        <v>46</v>
      </c>
      <c r="H1042" s="221" t="s">
        <v>71</v>
      </c>
      <c r="I1042" s="222"/>
    </row>
    <row r="1043" ht="17.25" customHeight="1" spans="1:9" x14ac:dyDescent="0.25">
      <c r="A1043" s="220">
        <v>1075</v>
      </c>
      <c r="B1043" s="221" t="s">
        <v>2470</v>
      </c>
      <c r="C1043" s="222" t="s">
        <v>2471</v>
      </c>
      <c r="D1043" s="221" t="s">
        <v>72</v>
      </c>
      <c r="E1043" s="221" t="s">
        <v>395</v>
      </c>
      <c r="F1043" s="223">
        <v>6250</v>
      </c>
      <c r="G1043" s="221" t="s">
        <v>46</v>
      </c>
      <c r="H1043" s="221" t="s">
        <v>71</v>
      </c>
      <c r="I1043" s="222"/>
    </row>
    <row r="1044" ht="17.25" customHeight="1" spans="1:9" x14ac:dyDescent="0.25">
      <c r="A1044" s="220">
        <v>1076</v>
      </c>
      <c r="B1044" s="221" t="s">
        <v>2472</v>
      </c>
      <c r="C1044" s="222" t="s">
        <v>2473</v>
      </c>
      <c r="D1044" s="221" t="s">
        <v>72</v>
      </c>
      <c r="E1044" s="221" t="s">
        <v>395</v>
      </c>
      <c r="F1044" s="223">
        <v>5350</v>
      </c>
      <c r="G1044" s="221" t="s">
        <v>46</v>
      </c>
      <c r="H1044" s="221" t="s">
        <v>71</v>
      </c>
      <c r="I1044" s="222"/>
    </row>
    <row r="1045" ht="17.25" customHeight="1" spans="1:9" x14ac:dyDescent="0.25">
      <c r="A1045" s="220">
        <v>1077</v>
      </c>
      <c r="B1045" s="221" t="s">
        <v>2474</v>
      </c>
      <c r="C1045" s="222" t="s">
        <v>2475</v>
      </c>
      <c r="D1045" s="221" t="s">
        <v>72</v>
      </c>
      <c r="E1045" s="221" t="s">
        <v>395</v>
      </c>
      <c r="F1045" s="223">
        <v>6250</v>
      </c>
      <c r="G1045" s="221" t="s">
        <v>46</v>
      </c>
      <c r="H1045" s="221" t="s">
        <v>71</v>
      </c>
      <c r="I1045" s="222"/>
    </row>
    <row r="1046" ht="17.25" customHeight="1" spans="1:9" x14ac:dyDescent="0.25">
      <c r="A1046" s="220">
        <v>1078</v>
      </c>
      <c r="B1046" s="221" t="s">
        <v>2476</v>
      </c>
      <c r="C1046" s="222" t="s">
        <v>2477</v>
      </c>
      <c r="D1046" s="221" t="s">
        <v>72</v>
      </c>
      <c r="E1046" s="221" t="s">
        <v>395</v>
      </c>
      <c r="F1046" s="223">
        <v>5350</v>
      </c>
      <c r="G1046" s="221" t="s">
        <v>46</v>
      </c>
      <c r="H1046" s="221" t="s">
        <v>71</v>
      </c>
      <c r="I1046" s="222"/>
    </row>
    <row r="1047" ht="17.25" customHeight="1" spans="1:9" x14ac:dyDescent="0.25">
      <c r="A1047" s="220">
        <v>1079</v>
      </c>
      <c r="B1047" s="221" t="s">
        <v>2478</v>
      </c>
      <c r="C1047" s="222" t="s">
        <v>2479</v>
      </c>
      <c r="D1047" s="221" t="s">
        <v>72</v>
      </c>
      <c r="E1047" s="221" t="s">
        <v>395</v>
      </c>
      <c r="F1047" s="223">
        <v>5350</v>
      </c>
      <c r="G1047" s="221" t="s">
        <v>46</v>
      </c>
      <c r="H1047" s="221" t="s">
        <v>71</v>
      </c>
      <c r="I1047" s="222"/>
    </row>
    <row r="1048" ht="17.25" customHeight="1" spans="1:9" x14ac:dyDescent="0.25">
      <c r="A1048" s="220">
        <v>1080</v>
      </c>
      <c r="B1048" s="221" t="s">
        <v>2480</v>
      </c>
      <c r="C1048" s="222" t="s">
        <v>2481</v>
      </c>
      <c r="D1048" s="221" t="s">
        <v>70</v>
      </c>
      <c r="E1048" s="221" t="s">
        <v>395</v>
      </c>
      <c r="F1048" s="223">
        <v>5600</v>
      </c>
      <c r="G1048" s="221" t="s">
        <v>46</v>
      </c>
      <c r="H1048" s="221" t="s">
        <v>71</v>
      </c>
      <c r="I1048" s="222"/>
    </row>
    <row r="1049" ht="17.25" customHeight="1" spans="1:9" x14ac:dyDescent="0.25">
      <c r="A1049" s="220">
        <v>1081</v>
      </c>
      <c r="B1049" s="221" t="s">
        <v>2482</v>
      </c>
      <c r="C1049" s="222" t="s">
        <v>2483</v>
      </c>
      <c r="D1049" s="221" t="s">
        <v>72</v>
      </c>
      <c r="E1049" s="221" t="s">
        <v>395</v>
      </c>
      <c r="F1049" s="223">
        <v>6250</v>
      </c>
      <c r="G1049" s="221" t="s">
        <v>46</v>
      </c>
      <c r="H1049" s="221" t="s">
        <v>71</v>
      </c>
      <c r="I1049" s="222"/>
    </row>
    <row r="1050" ht="17.25" customHeight="1" spans="1:9" x14ac:dyDescent="0.25">
      <c r="A1050" s="220">
        <v>1082</v>
      </c>
      <c r="B1050" s="221" t="s">
        <v>2484</v>
      </c>
      <c r="C1050" s="222" t="s">
        <v>2485</v>
      </c>
      <c r="D1050" s="221" t="s">
        <v>72</v>
      </c>
      <c r="E1050" s="221" t="s">
        <v>395</v>
      </c>
      <c r="F1050" s="223">
        <v>6250</v>
      </c>
      <c r="G1050" s="221" t="s">
        <v>46</v>
      </c>
      <c r="H1050" s="221" t="s">
        <v>71</v>
      </c>
      <c r="I1050" s="222"/>
    </row>
    <row r="1051" ht="17.25" customHeight="1" spans="1:9" x14ac:dyDescent="0.25">
      <c r="A1051" s="220">
        <v>1084</v>
      </c>
      <c r="B1051" s="221" t="s">
        <v>2486</v>
      </c>
      <c r="C1051" s="222" t="s">
        <v>2487</v>
      </c>
      <c r="D1051" s="221" t="s">
        <v>70</v>
      </c>
      <c r="E1051" s="221" t="s">
        <v>395</v>
      </c>
      <c r="F1051" s="223">
        <v>5600</v>
      </c>
      <c r="G1051" s="221" t="s">
        <v>46</v>
      </c>
      <c r="H1051" s="221" t="s">
        <v>71</v>
      </c>
      <c r="I1051" s="222"/>
    </row>
    <row r="1052" ht="17.25" customHeight="1" spans="1:9" x14ac:dyDescent="0.25">
      <c r="A1052" s="220">
        <v>1085</v>
      </c>
      <c r="B1052" s="221" t="s">
        <v>2488</v>
      </c>
      <c r="C1052" s="222" t="s">
        <v>2489</v>
      </c>
      <c r="D1052" s="221" t="s">
        <v>72</v>
      </c>
      <c r="E1052" s="221" t="s">
        <v>395</v>
      </c>
      <c r="F1052" s="223">
        <v>6250</v>
      </c>
      <c r="G1052" s="221" t="s">
        <v>46</v>
      </c>
      <c r="H1052" s="221" t="s">
        <v>71</v>
      </c>
      <c r="I1052" s="222"/>
    </row>
    <row r="1053" ht="17.25" customHeight="1" spans="1:9" x14ac:dyDescent="0.25">
      <c r="A1053" s="220">
        <v>1086</v>
      </c>
      <c r="B1053" s="221" t="s">
        <v>2490</v>
      </c>
      <c r="C1053" s="222" t="s">
        <v>2491</v>
      </c>
      <c r="D1053" s="221" t="s">
        <v>72</v>
      </c>
      <c r="E1053" s="221" t="s">
        <v>395</v>
      </c>
      <c r="F1053" s="223">
        <v>6250</v>
      </c>
      <c r="G1053" s="221" t="s">
        <v>46</v>
      </c>
      <c r="H1053" s="221" t="s">
        <v>71</v>
      </c>
      <c r="I1053" s="222"/>
    </row>
    <row r="1054" ht="17.25" customHeight="1" spans="1:9" x14ac:dyDescent="0.25">
      <c r="A1054" s="220">
        <v>1087</v>
      </c>
      <c r="B1054" s="221" t="s">
        <v>2492</v>
      </c>
      <c r="C1054" s="222" t="s">
        <v>2493</v>
      </c>
      <c r="D1054" s="221" t="s">
        <v>70</v>
      </c>
      <c r="E1054" s="221" t="s">
        <v>395</v>
      </c>
      <c r="F1054" s="223">
        <v>5350</v>
      </c>
      <c r="G1054" s="221" t="s">
        <v>46</v>
      </c>
      <c r="H1054" s="221" t="s">
        <v>71</v>
      </c>
      <c r="I1054" s="222"/>
    </row>
    <row r="1055" ht="17.25" customHeight="1" spans="1:9" x14ac:dyDescent="0.25">
      <c r="A1055" s="220">
        <v>1088</v>
      </c>
      <c r="B1055" s="221" t="s">
        <v>2494</v>
      </c>
      <c r="C1055" s="222" t="s">
        <v>2495</v>
      </c>
      <c r="D1055" s="221" t="s">
        <v>2496</v>
      </c>
      <c r="E1055" s="221" t="s">
        <v>27</v>
      </c>
      <c r="F1055" s="223">
        <v>0</v>
      </c>
      <c r="G1055" s="221" t="s">
        <v>48</v>
      </c>
      <c r="H1055" s="221" t="s">
        <v>48</v>
      </c>
      <c r="I1055" s="224"/>
    </row>
    <row r="1056" ht="17.25" customHeight="1" spans="1:9" x14ac:dyDescent="0.25">
      <c r="A1056" s="220">
        <v>1089</v>
      </c>
      <c r="B1056" s="221" t="s">
        <v>2497</v>
      </c>
      <c r="C1056" s="222" t="s">
        <v>2498</v>
      </c>
      <c r="D1056" s="221" t="s">
        <v>2499</v>
      </c>
      <c r="E1056" s="221" t="s">
        <v>27</v>
      </c>
      <c r="F1056" s="223">
        <v>0</v>
      </c>
      <c r="G1056" s="221" t="s">
        <v>48</v>
      </c>
      <c r="H1056" s="221" t="s">
        <v>48</v>
      </c>
      <c r="I1056" s="222"/>
    </row>
    <row r="1057" ht="17.25" customHeight="1" spans="1:9" x14ac:dyDescent="0.25">
      <c r="A1057" s="220">
        <v>1090</v>
      </c>
      <c r="B1057" s="221" t="s">
        <v>2500</v>
      </c>
      <c r="C1057" s="222" t="s">
        <v>2501</v>
      </c>
      <c r="D1057" s="221" t="s">
        <v>2499</v>
      </c>
      <c r="E1057" s="221" t="s">
        <v>27</v>
      </c>
      <c r="F1057" s="223">
        <v>0</v>
      </c>
      <c r="G1057" s="221" t="s">
        <v>48</v>
      </c>
      <c r="H1057" s="221" t="s">
        <v>48</v>
      </c>
      <c r="I1057" s="222"/>
    </row>
    <row r="1058" ht="17.25" customHeight="1" spans="1:9" x14ac:dyDescent="0.25">
      <c r="A1058" s="220">
        <v>1091</v>
      </c>
      <c r="B1058" s="221" t="s">
        <v>2502</v>
      </c>
      <c r="C1058" s="222" t="s">
        <v>2503</v>
      </c>
      <c r="D1058" s="221" t="s">
        <v>2499</v>
      </c>
      <c r="E1058" s="221" t="s">
        <v>27</v>
      </c>
      <c r="F1058" s="223">
        <v>0</v>
      </c>
      <c r="G1058" s="221" t="s">
        <v>48</v>
      </c>
      <c r="H1058" s="221" t="s">
        <v>48</v>
      </c>
      <c r="I1058" s="222"/>
    </row>
    <row r="1059" ht="17.25" customHeight="1" spans="1:9" x14ac:dyDescent="0.25">
      <c r="A1059" s="220">
        <v>1092</v>
      </c>
      <c r="B1059" s="221" t="s">
        <v>2504</v>
      </c>
      <c r="C1059" s="222" t="s">
        <v>2505</v>
      </c>
      <c r="D1059" s="221" t="s">
        <v>2499</v>
      </c>
      <c r="E1059" s="221" t="s">
        <v>27</v>
      </c>
      <c r="F1059" s="223">
        <v>0</v>
      </c>
      <c r="G1059" s="221" t="s">
        <v>48</v>
      </c>
      <c r="H1059" s="221" t="s">
        <v>48</v>
      </c>
      <c r="I1059" s="224"/>
    </row>
    <row r="1060" ht="17.25" customHeight="1" spans="1:9" x14ac:dyDescent="0.25">
      <c r="A1060" s="220">
        <v>1093</v>
      </c>
      <c r="B1060" s="221" t="s">
        <v>2506</v>
      </c>
      <c r="C1060" s="222" t="s">
        <v>2507</v>
      </c>
      <c r="D1060" s="221" t="s">
        <v>2499</v>
      </c>
      <c r="E1060" s="221" t="s">
        <v>27</v>
      </c>
      <c r="F1060" s="223">
        <v>0</v>
      </c>
      <c r="G1060" s="221" t="s">
        <v>48</v>
      </c>
      <c r="H1060" s="221" t="s">
        <v>48</v>
      </c>
      <c r="I1060" s="222"/>
    </row>
    <row r="1061" ht="17.25" customHeight="1" spans="1:9" x14ac:dyDescent="0.25">
      <c r="A1061" s="220">
        <v>1094</v>
      </c>
      <c r="B1061" s="221" t="s">
        <v>2508</v>
      </c>
      <c r="C1061" s="222" t="s">
        <v>2509</v>
      </c>
      <c r="D1061" s="221" t="s">
        <v>2499</v>
      </c>
      <c r="E1061" s="221" t="s">
        <v>27</v>
      </c>
      <c r="F1061" s="223">
        <v>0</v>
      </c>
      <c r="G1061" s="221" t="s">
        <v>48</v>
      </c>
      <c r="H1061" s="221" t="s">
        <v>48</v>
      </c>
      <c r="I1061" s="224"/>
    </row>
    <row r="1062" ht="17.25" customHeight="1" spans="1:9" x14ac:dyDescent="0.25">
      <c r="A1062" s="220">
        <v>1095</v>
      </c>
      <c r="B1062" s="221" t="s">
        <v>2510</v>
      </c>
      <c r="C1062" s="222" t="s">
        <v>2511</v>
      </c>
      <c r="D1062" s="221" t="s">
        <v>2499</v>
      </c>
      <c r="E1062" s="221" t="s">
        <v>27</v>
      </c>
      <c r="F1062" s="223">
        <v>0</v>
      </c>
      <c r="G1062" s="221" t="s">
        <v>48</v>
      </c>
      <c r="H1062" s="221" t="s">
        <v>48</v>
      </c>
      <c r="I1062" s="222"/>
    </row>
    <row r="1063" ht="17.25" customHeight="1" spans="1:9" x14ac:dyDescent="0.25">
      <c r="A1063" s="220">
        <v>1096</v>
      </c>
      <c r="B1063" s="221" t="s">
        <v>2512</v>
      </c>
      <c r="C1063" s="222" t="s">
        <v>2513</v>
      </c>
      <c r="D1063" s="221" t="s">
        <v>2499</v>
      </c>
      <c r="E1063" s="221" t="s">
        <v>27</v>
      </c>
      <c r="F1063" s="223">
        <v>0</v>
      </c>
      <c r="G1063" s="221" t="s">
        <v>48</v>
      </c>
      <c r="H1063" s="221" t="s">
        <v>48</v>
      </c>
      <c r="I1063" s="224"/>
    </row>
    <row r="1064" ht="17.25" customHeight="1" spans="1:9" x14ac:dyDescent="0.25">
      <c r="A1064" s="220">
        <v>1097</v>
      </c>
      <c r="B1064" s="221" t="s">
        <v>2514</v>
      </c>
      <c r="C1064" s="222" t="s">
        <v>2515</v>
      </c>
      <c r="D1064" s="221" t="s">
        <v>2499</v>
      </c>
      <c r="E1064" s="221" t="s">
        <v>27</v>
      </c>
      <c r="F1064" s="223">
        <v>0</v>
      </c>
      <c r="G1064" s="221" t="s">
        <v>48</v>
      </c>
      <c r="H1064" s="221" t="s">
        <v>48</v>
      </c>
      <c r="I1064" s="222"/>
    </row>
    <row r="1065" ht="17.25" customHeight="1" spans="1:9" x14ac:dyDescent="0.25">
      <c r="A1065" s="220">
        <v>1098</v>
      </c>
      <c r="B1065" s="221" t="s">
        <v>2516</v>
      </c>
      <c r="C1065" s="222" t="s">
        <v>2517</v>
      </c>
      <c r="D1065" s="221" t="s">
        <v>2499</v>
      </c>
      <c r="E1065" s="221" t="s">
        <v>27</v>
      </c>
      <c r="F1065" s="223">
        <v>0</v>
      </c>
      <c r="G1065" s="221" t="s">
        <v>48</v>
      </c>
      <c r="H1065" s="221" t="s">
        <v>48</v>
      </c>
      <c r="I1065" s="222"/>
    </row>
    <row r="1066" ht="17.25" customHeight="1" spans="1:9" x14ac:dyDescent="0.25">
      <c r="A1066" s="220">
        <v>1099</v>
      </c>
      <c r="B1066" s="221" t="s">
        <v>2518</v>
      </c>
      <c r="C1066" s="222" t="s">
        <v>2519</v>
      </c>
      <c r="D1066" s="221" t="s">
        <v>2499</v>
      </c>
      <c r="E1066" s="221" t="s">
        <v>27</v>
      </c>
      <c r="F1066" s="223">
        <v>0</v>
      </c>
      <c r="G1066" s="221" t="s">
        <v>48</v>
      </c>
      <c r="H1066" s="221" t="s">
        <v>48</v>
      </c>
      <c r="I1066" s="222"/>
    </row>
    <row r="1067" ht="17.25" customHeight="1" spans="1:9" x14ac:dyDescent="0.25">
      <c r="A1067" s="220">
        <v>1100</v>
      </c>
      <c r="B1067" s="221" t="s">
        <v>2520</v>
      </c>
      <c r="C1067" s="222" t="s">
        <v>2521</v>
      </c>
      <c r="D1067" s="221" t="s">
        <v>2499</v>
      </c>
      <c r="E1067" s="221" t="s">
        <v>27</v>
      </c>
      <c r="F1067" s="223">
        <v>0</v>
      </c>
      <c r="G1067" s="221" t="s">
        <v>48</v>
      </c>
      <c r="H1067" s="221" t="s">
        <v>48</v>
      </c>
      <c r="I1067" s="224"/>
    </row>
    <row r="1068" ht="17.25" customHeight="1" spans="1:9" x14ac:dyDescent="0.25">
      <c r="A1068" s="220">
        <v>1102</v>
      </c>
      <c r="B1068" s="221" t="s">
        <v>2522</v>
      </c>
      <c r="C1068" s="222" t="s">
        <v>2523</v>
      </c>
      <c r="D1068" s="221" t="s">
        <v>2499</v>
      </c>
      <c r="E1068" s="221" t="s">
        <v>27</v>
      </c>
      <c r="F1068" s="223">
        <v>0</v>
      </c>
      <c r="G1068" s="221" t="s">
        <v>48</v>
      </c>
      <c r="H1068" s="221" t="s">
        <v>48</v>
      </c>
      <c r="I1068" s="222"/>
    </row>
    <row r="1069" ht="17.25" customHeight="1" spans="1:9" x14ac:dyDescent="0.25">
      <c r="A1069" s="220">
        <v>1103</v>
      </c>
      <c r="B1069" s="221" t="s">
        <v>2524</v>
      </c>
      <c r="C1069" s="222" t="s">
        <v>2525</v>
      </c>
      <c r="D1069" s="221" t="s">
        <v>2499</v>
      </c>
      <c r="E1069" s="221" t="s">
        <v>27</v>
      </c>
      <c r="F1069" s="223">
        <v>0</v>
      </c>
      <c r="G1069" s="221" t="s">
        <v>48</v>
      </c>
      <c r="H1069" s="221" t="s">
        <v>48</v>
      </c>
      <c r="I1069" s="224"/>
    </row>
    <row r="1070" ht="17.25" customHeight="1" spans="1:9" x14ac:dyDescent="0.25">
      <c r="A1070" s="220">
        <v>1104</v>
      </c>
      <c r="B1070" s="221" t="s">
        <v>2526</v>
      </c>
      <c r="C1070" s="222" t="s">
        <v>2527</v>
      </c>
      <c r="D1070" s="221" t="s">
        <v>2499</v>
      </c>
      <c r="E1070" s="221" t="s">
        <v>27</v>
      </c>
      <c r="F1070" s="223">
        <v>0</v>
      </c>
      <c r="G1070" s="221" t="s">
        <v>48</v>
      </c>
      <c r="H1070" s="221" t="s">
        <v>48</v>
      </c>
      <c r="I1070" s="222"/>
    </row>
    <row r="1071" ht="17.25" customHeight="1" spans="1:9" x14ac:dyDescent="0.25">
      <c r="A1071" s="220">
        <v>1105</v>
      </c>
      <c r="B1071" s="221" t="s">
        <v>2528</v>
      </c>
      <c r="C1071" s="222" t="s">
        <v>2529</v>
      </c>
      <c r="D1071" s="221" t="s">
        <v>2499</v>
      </c>
      <c r="E1071" s="221" t="s">
        <v>27</v>
      </c>
      <c r="F1071" s="223">
        <v>0</v>
      </c>
      <c r="G1071" s="221" t="s">
        <v>48</v>
      </c>
      <c r="H1071" s="221" t="s">
        <v>48</v>
      </c>
      <c r="I1071" s="224"/>
    </row>
    <row r="1072" ht="17.25" customHeight="1" spans="1:9" x14ac:dyDescent="0.25">
      <c r="A1072" s="220">
        <v>1106</v>
      </c>
      <c r="B1072" s="221" t="s">
        <v>2530</v>
      </c>
      <c r="C1072" s="222" t="s">
        <v>2531</v>
      </c>
      <c r="D1072" s="221" t="s">
        <v>2499</v>
      </c>
      <c r="E1072" s="221" t="s">
        <v>27</v>
      </c>
      <c r="F1072" s="223">
        <v>0</v>
      </c>
      <c r="G1072" s="221" t="s">
        <v>48</v>
      </c>
      <c r="H1072" s="221" t="s">
        <v>48</v>
      </c>
      <c r="I1072" s="224"/>
    </row>
    <row r="1073" ht="17.25" customHeight="1" spans="1:9" x14ac:dyDescent="0.25">
      <c r="A1073" s="220">
        <v>1107</v>
      </c>
      <c r="B1073" s="221" t="s">
        <v>2532</v>
      </c>
      <c r="C1073" s="222" t="s">
        <v>2533</v>
      </c>
      <c r="D1073" s="221" t="s">
        <v>2499</v>
      </c>
      <c r="E1073" s="221" t="s">
        <v>27</v>
      </c>
      <c r="F1073" s="223">
        <v>0</v>
      </c>
      <c r="G1073" s="221" t="s">
        <v>48</v>
      </c>
      <c r="H1073" s="221" t="s">
        <v>48</v>
      </c>
      <c r="I1073" s="224"/>
    </row>
    <row r="1074" ht="17.25" customHeight="1" spans="1:9" x14ac:dyDescent="0.25">
      <c r="A1074" s="220">
        <v>1108</v>
      </c>
      <c r="B1074" s="221" t="s">
        <v>2534</v>
      </c>
      <c r="C1074" s="222" t="s">
        <v>2535</v>
      </c>
      <c r="D1074" s="221" t="s">
        <v>2499</v>
      </c>
      <c r="E1074" s="221" t="s">
        <v>27</v>
      </c>
      <c r="F1074" s="223">
        <v>0</v>
      </c>
      <c r="G1074" s="221" t="s">
        <v>48</v>
      </c>
      <c r="H1074" s="221" t="s">
        <v>48</v>
      </c>
      <c r="I1074" s="224"/>
    </row>
    <row r="1075" ht="17.25" customHeight="1" spans="1:9" x14ac:dyDescent="0.25">
      <c r="A1075" s="220">
        <v>1109</v>
      </c>
      <c r="B1075" s="221" t="s">
        <v>2536</v>
      </c>
      <c r="C1075" s="222" t="s">
        <v>2537</v>
      </c>
      <c r="D1075" s="221" t="s">
        <v>2499</v>
      </c>
      <c r="E1075" s="221" t="s">
        <v>27</v>
      </c>
      <c r="F1075" s="223">
        <v>0</v>
      </c>
      <c r="G1075" s="221" t="s">
        <v>48</v>
      </c>
      <c r="H1075" s="221" t="s">
        <v>48</v>
      </c>
      <c r="I1075" s="224"/>
    </row>
    <row r="1076" ht="17.25" customHeight="1" spans="1:9" x14ac:dyDescent="0.25">
      <c r="A1076" s="220">
        <v>1110</v>
      </c>
      <c r="B1076" s="221" t="s">
        <v>2538</v>
      </c>
      <c r="C1076" s="222" t="s">
        <v>2539</v>
      </c>
      <c r="D1076" s="221" t="s">
        <v>2499</v>
      </c>
      <c r="E1076" s="221" t="s">
        <v>27</v>
      </c>
      <c r="F1076" s="223">
        <v>0</v>
      </c>
      <c r="G1076" s="221" t="s">
        <v>48</v>
      </c>
      <c r="H1076" s="221" t="s">
        <v>48</v>
      </c>
      <c r="I1076" s="224"/>
    </row>
    <row r="1077" ht="17.25" customHeight="1" spans="1:9" x14ac:dyDescent="0.25">
      <c r="A1077" s="220">
        <v>1112</v>
      </c>
      <c r="B1077" s="221" t="s">
        <v>2540</v>
      </c>
      <c r="C1077" s="222" t="s">
        <v>2541</v>
      </c>
      <c r="D1077" s="221" t="s">
        <v>2542</v>
      </c>
      <c r="E1077" s="221" t="s">
        <v>27</v>
      </c>
      <c r="F1077" s="223">
        <v>0</v>
      </c>
      <c r="G1077" s="221" t="s">
        <v>48</v>
      </c>
      <c r="H1077" s="221" t="s">
        <v>48</v>
      </c>
      <c r="I1077" s="224"/>
    </row>
    <row r="1078" ht="17.25" customHeight="1" spans="1:9" x14ac:dyDescent="0.25">
      <c r="A1078" s="220">
        <v>1113</v>
      </c>
      <c r="B1078" s="221" t="s">
        <v>2543</v>
      </c>
      <c r="C1078" s="222" t="s">
        <v>2544</v>
      </c>
      <c r="D1078" s="221" t="s">
        <v>2542</v>
      </c>
      <c r="E1078" s="221" t="s">
        <v>27</v>
      </c>
      <c r="F1078" s="223">
        <v>0</v>
      </c>
      <c r="G1078" s="221" t="s">
        <v>48</v>
      </c>
      <c r="H1078" s="221" t="s">
        <v>48</v>
      </c>
      <c r="I1078" s="224"/>
    </row>
    <row r="1079" ht="17.25" customHeight="1" spans="1:9" x14ac:dyDescent="0.25">
      <c r="A1079" s="220">
        <v>1115</v>
      </c>
      <c r="B1079" s="221" t="s">
        <v>2545</v>
      </c>
      <c r="C1079" s="222" t="s">
        <v>2546</v>
      </c>
      <c r="D1079" s="221" t="s">
        <v>2542</v>
      </c>
      <c r="E1079" s="221" t="s">
        <v>27</v>
      </c>
      <c r="F1079" s="223">
        <v>0</v>
      </c>
      <c r="G1079" s="221" t="s">
        <v>48</v>
      </c>
      <c r="H1079" s="221" t="s">
        <v>48</v>
      </c>
      <c r="I1079" s="224"/>
    </row>
    <row r="1080" ht="17.25" customHeight="1" spans="1:9" x14ac:dyDescent="0.25">
      <c r="A1080" s="220">
        <v>1116</v>
      </c>
      <c r="B1080" s="221" t="s">
        <v>2547</v>
      </c>
      <c r="C1080" s="222" t="s">
        <v>2548</v>
      </c>
      <c r="D1080" s="221" t="s">
        <v>2542</v>
      </c>
      <c r="E1080" s="221" t="s">
        <v>27</v>
      </c>
      <c r="F1080" s="223">
        <v>0</v>
      </c>
      <c r="G1080" s="221" t="s">
        <v>48</v>
      </c>
      <c r="H1080" s="221" t="s">
        <v>48</v>
      </c>
      <c r="I1080" s="224"/>
    </row>
    <row r="1081" ht="17.25" customHeight="1" spans="1:9" x14ac:dyDescent="0.25">
      <c r="A1081" s="220">
        <v>1118</v>
      </c>
      <c r="B1081" s="221" t="s">
        <v>2549</v>
      </c>
      <c r="C1081" s="222" t="s">
        <v>2550</v>
      </c>
      <c r="D1081" s="221" t="s">
        <v>2542</v>
      </c>
      <c r="E1081" s="221" t="s">
        <v>27</v>
      </c>
      <c r="F1081" s="223">
        <v>0</v>
      </c>
      <c r="G1081" s="221" t="s">
        <v>48</v>
      </c>
      <c r="H1081" s="221" t="s">
        <v>48</v>
      </c>
      <c r="I1081" s="224"/>
    </row>
    <row r="1082" ht="17.25" customHeight="1" spans="1:9" x14ac:dyDescent="0.25">
      <c r="A1082" s="220">
        <v>1119</v>
      </c>
      <c r="B1082" s="221" t="s">
        <v>2551</v>
      </c>
      <c r="C1082" s="222" t="s">
        <v>2552</v>
      </c>
      <c r="D1082" s="221" t="s">
        <v>2542</v>
      </c>
      <c r="E1082" s="221" t="s">
        <v>27</v>
      </c>
      <c r="F1082" s="223">
        <v>0</v>
      </c>
      <c r="G1082" s="221" t="s">
        <v>48</v>
      </c>
      <c r="H1082" s="221" t="s">
        <v>48</v>
      </c>
      <c r="I1082" s="224"/>
    </row>
    <row r="1083" ht="17.25" customHeight="1" spans="1:9" x14ac:dyDescent="0.25">
      <c r="A1083" s="220">
        <v>1120</v>
      </c>
      <c r="B1083" s="221" t="s">
        <v>2553</v>
      </c>
      <c r="C1083" s="222" t="s">
        <v>2554</v>
      </c>
      <c r="D1083" s="221" t="s">
        <v>2349</v>
      </c>
      <c r="E1083" s="221" t="s">
        <v>27</v>
      </c>
      <c r="F1083" s="223">
        <v>0</v>
      </c>
      <c r="G1083" s="221" t="s">
        <v>48</v>
      </c>
      <c r="H1083" s="221" t="s">
        <v>48</v>
      </c>
      <c r="I1083" s="224"/>
    </row>
    <row r="1084" ht="17.25" customHeight="1" spans="1:9" x14ac:dyDescent="0.25">
      <c r="A1084" s="220">
        <v>1121</v>
      </c>
      <c r="B1084" s="221" t="s">
        <v>2555</v>
      </c>
      <c r="C1084" s="222" t="s">
        <v>2556</v>
      </c>
      <c r="D1084" s="221" t="s">
        <v>2349</v>
      </c>
      <c r="E1084" s="221" t="s">
        <v>27</v>
      </c>
      <c r="F1084" s="223">
        <v>0</v>
      </c>
      <c r="G1084" s="221" t="s">
        <v>48</v>
      </c>
      <c r="H1084" s="221" t="s">
        <v>48</v>
      </c>
      <c r="I1084" s="222" t="s">
        <v>2557</v>
      </c>
    </row>
    <row r="1085" ht="17.25" customHeight="1" spans="1:9" x14ac:dyDescent="0.25">
      <c r="A1085" s="220">
        <v>1122</v>
      </c>
      <c r="B1085" s="221" t="s">
        <v>2558</v>
      </c>
      <c r="C1085" s="222" t="s">
        <v>2559</v>
      </c>
      <c r="D1085" s="221" t="s">
        <v>2349</v>
      </c>
      <c r="E1085" s="221" t="s">
        <v>27</v>
      </c>
      <c r="F1085" s="223">
        <v>0</v>
      </c>
      <c r="G1085" s="221" t="s">
        <v>48</v>
      </c>
      <c r="H1085" s="221" t="s">
        <v>48</v>
      </c>
      <c r="I1085" s="222" t="s">
        <v>2560</v>
      </c>
    </row>
    <row r="1086" ht="17.25" customHeight="1" spans="1:9" x14ac:dyDescent="0.25">
      <c r="A1086" s="220">
        <v>1123</v>
      </c>
      <c r="B1086" s="221" t="s">
        <v>2561</v>
      </c>
      <c r="C1086" s="222" t="s">
        <v>2562</v>
      </c>
      <c r="D1086" s="221" t="s">
        <v>1599</v>
      </c>
      <c r="E1086" s="221" t="s">
        <v>29</v>
      </c>
      <c r="F1086" s="223">
        <v>17000</v>
      </c>
      <c r="G1086" s="221" t="s">
        <v>71</v>
      </c>
      <c r="H1086" s="221" t="s">
        <v>71</v>
      </c>
      <c r="I1086" s="222"/>
    </row>
    <row r="1087" ht="17.25" customHeight="1" spans="1:9" x14ac:dyDescent="0.25">
      <c r="A1087" s="220">
        <v>1124</v>
      </c>
      <c r="B1087" s="221" t="s">
        <v>2563</v>
      </c>
      <c r="C1087" s="222" t="s">
        <v>2564</v>
      </c>
      <c r="D1087" s="221" t="s">
        <v>2565</v>
      </c>
      <c r="E1087" s="221" t="s">
        <v>27</v>
      </c>
      <c r="F1087" s="223">
        <v>0</v>
      </c>
      <c r="G1087" s="221" t="s">
        <v>48</v>
      </c>
      <c r="H1087" s="221" t="s">
        <v>48</v>
      </c>
      <c r="I1087" s="224"/>
    </row>
    <row r="1088" ht="17.25" customHeight="1" spans="1:9" x14ac:dyDescent="0.25">
      <c r="A1088" s="220">
        <v>1125</v>
      </c>
      <c r="B1088" s="221" t="s">
        <v>2566</v>
      </c>
      <c r="C1088" s="222" t="s">
        <v>2567</v>
      </c>
      <c r="D1088" s="221" t="s">
        <v>2565</v>
      </c>
      <c r="E1088" s="221" t="s">
        <v>27</v>
      </c>
      <c r="F1088" s="223">
        <v>0</v>
      </c>
      <c r="G1088" s="221" t="s">
        <v>48</v>
      </c>
      <c r="H1088" s="221" t="s">
        <v>48</v>
      </c>
      <c r="I1088" s="224"/>
    </row>
    <row r="1089" ht="17.25" customHeight="1" spans="1:9" x14ac:dyDescent="0.25">
      <c r="A1089" s="220">
        <v>1126</v>
      </c>
      <c r="B1089" s="221" t="s">
        <v>2568</v>
      </c>
      <c r="C1089" s="222" t="s">
        <v>2569</v>
      </c>
      <c r="D1089" s="221" t="s">
        <v>2570</v>
      </c>
      <c r="E1089" s="221" t="s">
        <v>27</v>
      </c>
      <c r="F1089" s="223">
        <v>0</v>
      </c>
      <c r="G1089" s="221" t="s">
        <v>48</v>
      </c>
      <c r="H1089" s="221" t="s">
        <v>48</v>
      </c>
      <c r="I1089" s="224"/>
    </row>
    <row r="1090" ht="17.25" customHeight="1" spans="1:9" x14ac:dyDescent="0.25">
      <c r="A1090" s="220">
        <v>1127</v>
      </c>
      <c r="B1090" s="221" t="s">
        <v>2571</v>
      </c>
      <c r="C1090" s="222" t="s">
        <v>2572</v>
      </c>
      <c r="D1090" s="221" t="s">
        <v>2570</v>
      </c>
      <c r="E1090" s="221" t="s">
        <v>27</v>
      </c>
      <c r="F1090" s="223">
        <v>0</v>
      </c>
      <c r="G1090" s="221" t="s">
        <v>48</v>
      </c>
      <c r="H1090" s="221" t="s">
        <v>48</v>
      </c>
      <c r="I1090" s="222"/>
    </row>
    <row r="1091" ht="17.25" customHeight="1" spans="1:9" x14ac:dyDescent="0.25">
      <c r="A1091" s="220">
        <v>1128</v>
      </c>
      <c r="B1091" s="221" t="s">
        <v>2573</v>
      </c>
      <c r="C1091" s="222" t="s">
        <v>2574</v>
      </c>
      <c r="D1091" s="221" t="s">
        <v>2570</v>
      </c>
      <c r="E1091" s="221" t="s">
        <v>27</v>
      </c>
      <c r="F1091" s="223">
        <v>0</v>
      </c>
      <c r="G1091" s="221" t="s">
        <v>48</v>
      </c>
      <c r="H1091" s="221" t="s">
        <v>48</v>
      </c>
      <c r="I1091" s="222"/>
    </row>
    <row r="1092" ht="17.25" customHeight="1" spans="1:9" x14ac:dyDescent="0.25">
      <c r="A1092" s="220">
        <v>1129</v>
      </c>
      <c r="B1092" s="221" t="s">
        <v>2575</v>
      </c>
      <c r="C1092" s="222" t="s">
        <v>2576</v>
      </c>
      <c r="D1092" s="221" t="s">
        <v>2570</v>
      </c>
      <c r="E1092" s="221" t="s">
        <v>27</v>
      </c>
      <c r="F1092" s="223">
        <v>0</v>
      </c>
      <c r="G1092" s="221" t="s">
        <v>48</v>
      </c>
      <c r="H1092" s="221" t="s">
        <v>48</v>
      </c>
      <c r="I1092" s="222"/>
    </row>
    <row r="1093" ht="17.25" customHeight="1" spans="1:9" x14ac:dyDescent="0.25">
      <c r="A1093" s="220">
        <v>1130</v>
      </c>
      <c r="B1093" s="221" t="s">
        <v>2577</v>
      </c>
      <c r="C1093" s="222" t="s">
        <v>2578</v>
      </c>
      <c r="D1093" s="221" t="s">
        <v>2570</v>
      </c>
      <c r="E1093" s="221" t="s">
        <v>27</v>
      </c>
      <c r="F1093" s="223">
        <v>0</v>
      </c>
      <c r="G1093" s="221" t="s">
        <v>48</v>
      </c>
      <c r="H1093" s="221" t="s">
        <v>48</v>
      </c>
      <c r="I1093" s="222"/>
    </row>
    <row r="1094" ht="17.25" customHeight="1" spans="1:9" x14ac:dyDescent="0.25">
      <c r="A1094" s="220">
        <v>1131</v>
      </c>
      <c r="B1094" s="221" t="s">
        <v>2579</v>
      </c>
      <c r="C1094" s="222" t="s">
        <v>2580</v>
      </c>
      <c r="D1094" s="221" t="s">
        <v>2570</v>
      </c>
      <c r="E1094" s="221" t="s">
        <v>27</v>
      </c>
      <c r="F1094" s="223">
        <v>0</v>
      </c>
      <c r="G1094" s="221" t="s">
        <v>48</v>
      </c>
      <c r="H1094" s="221" t="s">
        <v>48</v>
      </c>
      <c r="I1094" s="222"/>
    </row>
    <row r="1095" ht="17.25" customHeight="1" spans="1:9" x14ac:dyDescent="0.25">
      <c r="A1095" s="220">
        <v>1132</v>
      </c>
      <c r="B1095" s="221" t="s">
        <v>2581</v>
      </c>
      <c r="C1095" s="222" t="s">
        <v>2582</v>
      </c>
      <c r="D1095" s="221" t="s">
        <v>2570</v>
      </c>
      <c r="E1095" s="221" t="s">
        <v>27</v>
      </c>
      <c r="F1095" s="223">
        <v>0</v>
      </c>
      <c r="G1095" s="221" t="s">
        <v>48</v>
      </c>
      <c r="H1095" s="221" t="s">
        <v>48</v>
      </c>
      <c r="I1095" s="222"/>
    </row>
    <row r="1096" ht="17.25" customHeight="1" spans="1:9" x14ac:dyDescent="0.25">
      <c r="A1096" s="220">
        <v>1133</v>
      </c>
      <c r="B1096" s="221" t="s">
        <v>2583</v>
      </c>
      <c r="C1096" s="222" t="s">
        <v>2584</v>
      </c>
      <c r="D1096" s="221" t="s">
        <v>2570</v>
      </c>
      <c r="E1096" s="221" t="s">
        <v>27</v>
      </c>
      <c r="F1096" s="223">
        <v>0</v>
      </c>
      <c r="G1096" s="221" t="s">
        <v>48</v>
      </c>
      <c r="H1096" s="221" t="s">
        <v>48</v>
      </c>
      <c r="I1096" s="222"/>
    </row>
    <row r="1097" ht="17.25" customHeight="1" spans="1:9" x14ac:dyDescent="0.25">
      <c r="A1097" s="220">
        <v>1134</v>
      </c>
      <c r="B1097" s="221" t="s">
        <v>2585</v>
      </c>
      <c r="C1097" s="222" t="s">
        <v>2586</v>
      </c>
      <c r="D1097" s="221" t="s">
        <v>2587</v>
      </c>
      <c r="E1097" s="221" t="s">
        <v>28</v>
      </c>
      <c r="F1097" s="223">
        <v>0</v>
      </c>
      <c r="G1097" s="221" t="s">
        <v>71</v>
      </c>
      <c r="H1097" s="221" t="s">
        <v>71</v>
      </c>
      <c r="I1097" s="222" t="s">
        <v>2588</v>
      </c>
    </row>
    <row r="1098" ht="17.25" customHeight="1" spans="1:9" x14ac:dyDescent="0.25">
      <c r="A1098" s="220">
        <v>1135</v>
      </c>
      <c r="B1098" s="221" t="s">
        <v>2589</v>
      </c>
      <c r="C1098" s="222" t="s">
        <v>2590</v>
      </c>
      <c r="D1098" s="221" t="s">
        <v>2591</v>
      </c>
      <c r="E1098" s="221" t="s">
        <v>27</v>
      </c>
      <c r="F1098" s="223">
        <v>0</v>
      </c>
      <c r="G1098" s="221"/>
      <c r="H1098" s="221"/>
      <c r="I1098" s="224"/>
    </row>
    <row r="1099" ht="17.25" customHeight="1" spans="1:9" x14ac:dyDescent="0.25">
      <c r="A1099" s="220">
        <v>1136</v>
      </c>
      <c r="B1099" s="221" t="s">
        <v>2592</v>
      </c>
      <c r="C1099" s="222" t="s">
        <v>2593</v>
      </c>
      <c r="D1099" s="221" t="s">
        <v>2591</v>
      </c>
      <c r="E1099" s="221" t="s">
        <v>27</v>
      </c>
      <c r="F1099" s="223">
        <v>0</v>
      </c>
      <c r="G1099" s="221"/>
      <c r="H1099" s="221"/>
      <c r="I1099" s="224"/>
    </row>
    <row r="1100" ht="17.25" customHeight="1" spans="1:9" x14ac:dyDescent="0.25">
      <c r="A1100" s="220">
        <v>1137</v>
      </c>
      <c r="B1100" s="221" t="s">
        <v>2594</v>
      </c>
      <c r="C1100" s="222" t="s">
        <v>2595</v>
      </c>
      <c r="D1100" s="221" t="s">
        <v>2591</v>
      </c>
      <c r="E1100" s="221" t="s">
        <v>27</v>
      </c>
      <c r="F1100" s="223">
        <v>0</v>
      </c>
      <c r="G1100" s="221"/>
      <c r="H1100" s="221"/>
      <c r="I1100" s="224"/>
    </row>
    <row r="1101" ht="17.25" customHeight="1" spans="1:9" x14ac:dyDescent="0.25">
      <c r="A1101" s="220">
        <v>1138</v>
      </c>
      <c r="B1101" s="221" t="s">
        <v>2596</v>
      </c>
      <c r="C1101" s="222" t="s">
        <v>2597</v>
      </c>
      <c r="D1101" s="221" t="s">
        <v>2591</v>
      </c>
      <c r="E1101" s="221" t="s">
        <v>27</v>
      </c>
      <c r="F1101" s="223">
        <v>0</v>
      </c>
      <c r="G1101" s="221"/>
      <c r="H1101" s="221"/>
      <c r="I1101" s="224"/>
    </row>
    <row r="1102" ht="17.25" customHeight="1" spans="1:9" x14ac:dyDescent="0.25">
      <c r="A1102" s="220">
        <v>1139</v>
      </c>
      <c r="B1102" s="221" t="s">
        <v>2598</v>
      </c>
      <c r="C1102" s="222" t="s">
        <v>2599</v>
      </c>
      <c r="D1102" s="221" t="s">
        <v>2591</v>
      </c>
      <c r="E1102" s="221" t="s">
        <v>27</v>
      </c>
      <c r="F1102" s="223">
        <v>0</v>
      </c>
      <c r="G1102" s="221"/>
      <c r="H1102" s="221"/>
      <c r="I1102" s="224"/>
    </row>
    <row r="1103" ht="17.25" customHeight="1" spans="1:9" x14ac:dyDescent="0.25">
      <c r="A1103" s="220">
        <v>1140</v>
      </c>
      <c r="B1103" s="221" t="s">
        <v>2600</v>
      </c>
      <c r="C1103" s="222" t="s">
        <v>2601</v>
      </c>
      <c r="D1103" s="221" t="s">
        <v>2591</v>
      </c>
      <c r="E1103" s="221" t="s">
        <v>27</v>
      </c>
      <c r="F1103" s="223">
        <v>0</v>
      </c>
      <c r="G1103" s="221"/>
      <c r="H1103" s="221"/>
      <c r="I1103" s="224"/>
    </row>
    <row r="1104" ht="17.25" customHeight="1" spans="1:9" x14ac:dyDescent="0.25">
      <c r="A1104" s="220">
        <v>1141</v>
      </c>
      <c r="B1104" s="221" t="s">
        <v>2602</v>
      </c>
      <c r="C1104" s="222" t="s">
        <v>2603</v>
      </c>
      <c r="D1104" s="221" t="s">
        <v>2591</v>
      </c>
      <c r="E1104" s="221" t="s">
        <v>27</v>
      </c>
      <c r="F1104" s="223">
        <v>0</v>
      </c>
      <c r="G1104" s="221"/>
      <c r="H1104" s="221"/>
      <c r="I1104" s="224"/>
    </row>
    <row r="1105" ht="17.25" customHeight="1" spans="1:9" x14ac:dyDescent="0.25">
      <c r="A1105" s="220">
        <v>1143</v>
      </c>
      <c r="B1105" s="221" t="s">
        <v>2604</v>
      </c>
      <c r="C1105" s="222" t="s">
        <v>2605</v>
      </c>
      <c r="D1105" s="221" t="s">
        <v>2591</v>
      </c>
      <c r="E1105" s="221" t="s">
        <v>27</v>
      </c>
      <c r="F1105" s="223">
        <v>0</v>
      </c>
      <c r="G1105" s="221"/>
      <c r="H1105" s="221"/>
      <c r="I1105" s="224"/>
    </row>
    <row r="1106" ht="17.25" customHeight="1" spans="1:9" x14ac:dyDescent="0.25">
      <c r="A1106" s="220">
        <v>1144</v>
      </c>
      <c r="B1106" s="221" t="s">
        <v>2606</v>
      </c>
      <c r="C1106" s="222" t="s">
        <v>2607</v>
      </c>
      <c r="D1106" s="221" t="s">
        <v>2591</v>
      </c>
      <c r="E1106" s="221" t="s">
        <v>27</v>
      </c>
      <c r="F1106" s="223">
        <v>0</v>
      </c>
      <c r="G1106" s="221"/>
      <c r="H1106" s="221"/>
      <c r="I1106" s="224"/>
    </row>
    <row r="1107" ht="17.25" customHeight="1" spans="1:9" x14ac:dyDescent="0.25">
      <c r="A1107" s="220">
        <v>1146</v>
      </c>
      <c r="B1107" s="221" t="s">
        <v>2608</v>
      </c>
      <c r="C1107" s="222" t="s">
        <v>2609</v>
      </c>
      <c r="D1107" s="221" t="s">
        <v>2591</v>
      </c>
      <c r="E1107" s="221" t="s">
        <v>27</v>
      </c>
      <c r="F1107" s="223">
        <v>0</v>
      </c>
      <c r="G1107" s="221"/>
      <c r="H1107" s="221"/>
      <c r="I1107" s="224"/>
    </row>
    <row r="1108" ht="17.25" customHeight="1" spans="1:9" x14ac:dyDescent="0.25">
      <c r="A1108" s="220">
        <v>1147</v>
      </c>
      <c r="B1108" s="221" t="s">
        <v>2610</v>
      </c>
      <c r="C1108" s="222" t="s">
        <v>2611</v>
      </c>
      <c r="D1108" s="221" t="s">
        <v>2591</v>
      </c>
      <c r="E1108" s="221" t="s">
        <v>27</v>
      </c>
      <c r="F1108" s="223">
        <v>0</v>
      </c>
      <c r="G1108" s="221"/>
      <c r="H1108" s="221"/>
      <c r="I1108" s="224"/>
    </row>
    <row r="1109" ht="17.25" customHeight="1" spans="1:9" x14ac:dyDescent="0.25">
      <c r="A1109" s="220">
        <v>1148</v>
      </c>
      <c r="B1109" s="221" t="s">
        <v>2612</v>
      </c>
      <c r="C1109" s="222" t="s">
        <v>2613</v>
      </c>
      <c r="D1109" s="221" t="s">
        <v>2591</v>
      </c>
      <c r="E1109" s="221" t="s">
        <v>27</v>
      </c>
      <c r="F1109" s="223">
        <v>0</v>
      </c>
      <c r="G1109" s="221"/>
      <c r="H1109" s="221"/>
      <c r="I1109" s="224"/>
    </row>
    <row r="1110" ht="17.25" customHeight="1" spans="1:9" x14ac:dyDescent="0.25">
      <c r="A1110" s="220">
        <v>1149</v>
      </c>
      <c r="B1110" s="221" t="s">
        <v>2614</v>
      </c>
      <c r="C1110" s="222" t="s">
        <v>2615</v>
      </c>
      <c r="D1110" s="221" t="s">
        <v>2591</v>
      </c>
      <c r="E1110" s="221" t="s">
        <v>27</v>
      </c>
      <c r="F1110" s="223">
        <v>0</v>
      </c>
      <c r="G1110" s="221"/>
      <c r="H1110" s="221"/>
      <c r="I1110" s="224"/>
    </row>
    <row r="1111" ht="17.25" customHeight="1" spans="1:9" x14ac:dyDescent="0.25">
      <c r="A1111" s="220">
        <v>1150</v>
      </c>
      <c r="B1111" s="221" t="s">
        <v>2616</v>
      </c>
      <c r="C1111" s="222" t="s">
        <v>2617</v>
      </c>
      <c r="D1111" s="221" t="s">
        <v>2591</v>
      </c>
      <c r="E1111" s="221" t="s">
        <v>27</v>
      </c>
      <c r="F1111" s="223">
        <v>0</v>
      </c>
      <c r="G1111" s="221"/>
      <c r="H1111" s="221"/>
      <c r="I1111" s="224"/>
    </row>
    <row r="1112" ht="17.25" customHeight="1" spans="1:9" x14ac:dyDescent="0.25">
      <c r="A1112" s="220">
        <v>1151</v>
      </c>
      <c r="B1112" s="221" t="s">
        <v>2618</v>
      </c>
      <c r="C1112" s="222" t="s">
        <v>2619</v>
      </c>
      <c r="D1112" s="221" t="s">
        <v>2591</v>
      </c>
      <c r="E1112" s="221" t="s">
        <v>27</v>
      </c>
      <c r="F1112" s="223">
        <v>0</v>
      </c>
      <c r="G1112" s="221"/>
      <c r="H1112" s="221"/>
      <c r="I1112" s="224"/>
    </row>
    <row r="1113" ht="17.25" customHeight="1" spans="1:9" x14ac:dyDescent="0.25">
      <c r="A1113" s="220">
        <v>1152</v>
      </c>
      <c r="B1113" s="221" t="s">
        <v>2620</v>
      </c>
      <c r="C1113" s="222" t="s">
        <v>2621</v>
      </c>
      <c r="D1113" s="221" t="s">
        <v>2591</v>
      </c>
      <c r="E1113" s="221" t="s">
        <v>27</v>
      </c>
      <c r="F1113" s="223">
        <v>0</v>
      </c>
      <c r="G1113" s="221"/>
      <c r="H1113" s="221"/>
      <c r="I1113" s="224"/>
    </row>
    <row r="1114" ht="17.25" customHeight="1" spans="1:9" x14ac:dyDescent="0.25">
      <c r="A1114" s="220">
        <v>1153</v>
      </c>
      <c r="B1114" s="221" t="s">
        <v>2622</v>
      </c>
      <c r="C1114" s="222" t="s">
        <v>2623</v>
      </c>
      <c r="D1114" s="221" t="s">
        <v>2591</v>
      </c>
      <c r="E1114" s="221" t="s">
        <v>27</v>
      </c>
      <c r="F1114" s="223">
        <v>0</v>
      </c>
      <c r="G1114" s="221"/>
      <c r="H1114" s="221"/>
      <c r="I1114" s="224"/>
    </row>
    <row r="1115" ht="17.25" customHeight="1" spans="1:9" x14ac:dyDescent="0.25">
      <c r="A1115" s="220">
        <v>1154</v>
      </c>
      <c r="B1115" s="221" t="s">
        <v>2624</v>
      </c>
      <c r="C1115" s="222" t="s">
        <v>2625</v>
      </c>
      <c r="D1115" s="221" t="s">
        <v>2591</v>
      </c>
      <c r="E1115" s="221" t="s">
        <v>27</v>
      </c>
      <c r="F1115" s="223">
        <v>0</v>
      </c>
      <c r="G1115" s="221"/>
      <c r="H1115" s="221"/>
      <c r="I1115" s="224"/>
    </row>
    <row r="1116" ht="17.25" customHeight="1" spans="1:9" x14ac:dyDescent="0.25">
      <c r="A1116" s="220">
        <v>1155</v>
      </c>
      <c r="B1116" s="221" t="s">
        <v>2626</v>
      </c>
      <c r="C1116" s="222" t="s">
        <v>2627</v>
      </c>
      <c r="D1116" s="221" t="s">
        <v>2591</v>
      </c>
      <c r="E1116" s="221" t="s">
        <v>27</v>
      </c>
      <c r="F1116" s="223">
        <v>0</v>
      </c>
      <c r="G1116" s="221"/>
      <c r="H1116" s="221"/>
      <c r="I1116" s="224"/>
    </row>
    <row r="1117" ht="17.25" customHeight="1" spans="1:9" x14ac:dyDescent="0.25">
      <c r="A1117" s="220">
        <v>1156</v>
      </c>
      <c r="B1117" s="221" t="s">
        <v>2628</v>
      </c>
      <c r="C1117" s="222" t="s">
        <v>2629</v>
      </c>
      <c r="D1117" s="221" t="s">
        <v>2591</v>
      </c>
      <c r="E1117" s="221" t="s">
        <v>27</v>
      </c>
      <c r="F1117" s="223">
        <v>0</v>
      </c>
      <c r="G1117" s="221"/>
      <c r="H1117" s="221"/>
      <c r="I1117" s="224"/>
    </row>
    <row r="1118" ht="17.25" customHeight="1" spans="1:9" x14ac:dyDescent="0.25">
      <c r="A1118" s="220">
        <v>1157</v>
      </c>
      <c r="B1118" s="221" t="s">
        <v>2630</v>
      </c>
      <c r="C1118" s="222" t="s">
        <v>2631</v>
      </c>
      <c r="D1118" s="221" t="s">
        <v>2591</v>
      </c>
      <c r="E1118" s="221" t="s">
        <v>27</v>
      </c>
      <c r="F1118" s="223">
        <v>0</v>
      </c>
      <c r="G1118" s="221"/>
      <c r="H1118" s="221"/>
      <c r="I1118" s="224"/>
    </row>
    <row r="1119" ht="17.25" customHeight="1" spans="1:9" x14ac:dyDescent="0.25">
      <c r="A1119" s="220">
        <v>1158</v>
      </c>
      <c r="B1119" s="221" t="s">
        <v>2632</v>
      </c>
      <c r="C1119" s="222" t="s">
        <v>2633</v>
      </c>
      <c r="D1119" s="221" t="s">
        <v>2591</v>
      </c>
      <c r="E1119" s="221" t="s">
        <v>27</v>
      </c>
      <c r="F1119" s="223">
        <v>0</v>
      </c>
      <c r="G1119" s="221"/>
      <c r="H1119" s="221"/>
      <c r="I1119" s="224"/>
    </row>
    <row r="1120" ht="17.25" customHeight="1" spans="1:9" x14ac:dyDescent="0.25">
      <c r="A1120" s="220">
        <v>1159</v>
      </c>
      <c r="B1120" s="221" t="s">
        <v>2634</v>
      </c>
      <c r="C1120" s="222" t="s">
        <v>2635</v>
      </c>
      <c r="D1120" s="221" t="s">
        <v>2591</v>
      </c>
      <c r="E1120" s="221" t="s">
        <v>27</v>
      </c>
      <c r="F1120" s="223">
        <v>0</v>
      </c>
      <c r="G1120" s="221"/>
      <c r="H1120" s="221"/>
      <c r="I1120" s="224"/>
    </row>
    <row r="1121" ht="17.25" customHeight="1" spans="1:9" x14ac:dyDescent="0.25">
      <c r="A1121" s="220">
        <v>1160</v>
      </c>
      <c r="B1121" s="221" t="s">
        <v>2636</v>
      </c>
      <c r="C1121" s="222" t="s">
        <v>2637</v>
      </c>
      <c r="D1121" s="221" t="s">
        <v>2591</v>
      </c>
      <c r="E1121" s="221" t="s">
        <v>35</v>
      </c>
      <c r="F1121" s="223">
        <v>0</v>
      </c>
      <c r="G1121" s="221" t="s">
        <v>71</v>
      </c>
      <c r="H1121" s="221" t="s">
        <v>71</v>
      </c>
      <c r="I1121" s="222"/>
    </row>
    <row r="1122" ht="17.25" customHeight="1" spans="1:9" x14ac:dyDescent="0.25">
      <c r="A1122" s="220">
        <v>1161</v>
      </c>
      <c r="B1122" s="221" t="s">
        <v>2638</v>
      </c>
      <c r="C1122" s="222" t="s">
        <v>2639</v>
      </c>
      <c r="D1122" s="221" t="s">
        <v>2591</v>
      </c>
      <c r="E1122" s="221" t="s">
        <v>35</v>
      </c>
      <c r="F1122" s="223">
        <v>0</v>
      </c>
      <c r="G1122" s="221" t="s">
        <v>71</v>
      </c>
      <c r="H1122" s="221" t="s">
        <v>71</v>
      </c>
      <c r="I1122" s="224"/>
    </row>
    <row r="1123" ht="17.25" customHeight="1" spans="1:9" x14ac:dyDescent="0.25">
      <c r="A1123" s="220">
        <v>1162</v>
      </c>
      <c r="B1123" s="221" t="s">
        <v>2640</v>
      </c>
      <c r="C1123" s="222" t="s">
        <v>2641</v>
      </c>
      <c r="D1123" s="221" t="s">
        <v>2591</v>
      </c>
      <c r="E1123" s="221" t="s">
        <v>35</v>
      </c>
      <c r="F1123" s="223">
        <v>0</v>
      </c>
      <c r="G1123" s="221" t="s">
        <v>71</v>
      </c>
      <c r="H1123" s="221" t="s">
        <v>71</v>
      </c>
      <c r="I1123" s="222"/>
    </row>
    <row r="1124" ht="17.25" customHeight="1" spans="1:9" x14ac:dyDescent="0.25">
      <c r="A1124" s="220">
        <v>1163</v>
      </c>
      <c r="B1124" s="221" t="s">
        <v>2642</v>
      </c>
      <c r="C1124" s="222" t="s">
        <v>2643</v>
      </c>
      <c r="D1124" s="221" t="s">
        <v>2591</v>
      </c>
      <c r="E1124" s="221" t="s">
        <v>35</v>
      </c>
      <c r="F1124" s="223">
        <v>0</v>
      </c>
      <c r="G1124" s="221" t="s">
        <v>71</v>
      </c>
      <c r="H1124" s="221" t="s">
        <v>71</v>
      </c>
      <c r="I1124" s="224"/>
    </row>
    <row r="1125" ht="17.25" customHeight="1" spans="1:9" x14ac:dyDescent="0.25">
      <c r="A1125" s="220">
        <v>1164</v>
      </c>
      <c r="B1125" s="221" t="s">
        <v>2644</v>
      </c>
      <c r="C1125" s="222" t="s">
        <v>2645</v>
      </c>
      <c r="D1125" s="221" t="s">
        <v>2591</v>
      </c>
      <c r="E1125" s="221" t="s">
        <v>35</v>
      </c>
      <c r="F1125" s="223">
        <v>0</v>
      </c>
      <c r="G1125" s="221" t="s">
        <v>71</v>
      </c>
      <c r="H1125" s="221" t="s">
        <v>71</v>
      </c>
      <c r="I1125" s="224"/>
    </row>
    <row r="1126" ht="17.25" customHeight="1" spans="1:9" x14ac:dyDescent="0.25">
      <c r="A1126" s="220">
        <v>1165</v>
      </c>
      <c r="B1126" s="221" t="s">
        <v>2646</v>
      </c>
      <c r="C1126" s="222" t="s">
        <v>2647</v>
      </c>
      <c r="D1126" s="221" t="s">
        <v>2591</v>
      </c>
      <c r="E1126" s="221" t="s">
        <v>35</v>
      </c>
      <c r="F1126" s="223">
        <v>0</v>
      </c>
      <c r="G1126" s="221" t="s">
        <v>71</v>
      </c>
      <c r="H1126" s="221" t="s">
        <v>71</v>
      </c>
      <c r="I1126" s="224"/>
    </row>
    <row r="1127" ht="17.25" customHeight="1" spans="1:9" x14ac:dyDescent="0.25">
      <c r="A1127" s="220">
        <v>1166</v>
      </c>
      <c r="B1127" s="221" t="s">
        <v>2648</v>
      </c>
      <c r="C1127" s="222" t="s">
        <v>2649</v>
      </c>
      <c r="D1127" s="221" t="s">
        <v>2591</v>
      </c>
      <c r="E1127" s="221" t="s">
        <v>35</v>
      </c>
      <c r="F1127" s="223">
        <v>0</v>
      </c>
      <c r="G1127" s="221" t="s">
        <v>71</v>
      </c>
      <c r="H1127" s="221" t="s">
        <v>71</v>
      </c>
      <c r="I1127" s="224"/>
    </row>
    <row r="1128" ht="17.25" customHeight="1" spans="1:9" x14ac:dyDescent="0.25">
      <c r="A1128" s="220">
        <v>1167</v>
      </c>
      <c r="B1128" s="221" t="s">
        <v>2650</v>
      </c>
      <c r="C1128" s="222" t="s">
        <v>2651</v>
      </c>
      <c r="D1128" s="221" t="s">
        <v>2591</v>
      </c>
      <c r="E1128" s="221" t="s">
        <v>35</v>
      </c>
      <c r="F1128" s="223">
        <v>0</v>
      </c>
      <c r="G1128" s="221" t="s">
        <v>71</v>
      </c>
      <c r="H1128" s="221" t="s">
        <v>71</v>
      </c>
      <c r="I1128" s="222"/>
    </row>
    <row r="1129" ht="17.25" customHeight="1" spans="1:9" x14ac:dyDescent="0.25">
      <c r="A1129" s="220">
        <v>1168</v>
      </c>
      <c r="B1129" s="221" t="s">
        <v>2652</v>
      </c>
      <c r="C1129" s="222" t="s">
        <v>2653</v>
      </c>
      <c r="D1129" s="221" t="s">
        <v>2591</v>
      </c>
      <c r="E1129" s="221" t="s">
        <v>35</v>
      </c>
      <c r="F1129" s="223">
        <v>0</v>
      </c>
      <c r="G1129" s="221" t="s">
        <v>71</v>
      </c>
      <c r="H1129" s="221" t="s">
        <v>71</v>
      </c>
      <c r="I1129" s="222"/>
    </row>
    <row r="1130" ht="17.25" customHeight="1" spans="1:9" x14ac:dyDescent="0.25">
      <c r="A1130" s="220">
        <v>1169</v>
      </c>
      <c r="B1130" s="221" t="s">
        <v>2654</v>
      </c>
      <c r="C1130" s="222" t="s">
        <v>2655</v>
      </c>
      <c r="D1130" s="221" t="s">
        <v>2591</v>
      </c>
      <c r="E1130" s="221" t="s">
        <v>35</v>
      </c>
      <c r="F1130" s="223">
        <v>0</v>
      </c>
      <c r="G1130" s="221" t="s">
        <v>71</v>
      </c>
      <c r="H1130" s="221" t="s">
        <v>71</v>
      </c>
      <c r="I1130" s="222"/>
    </row>
    <row r="1131" ht="17.25" customHeight="1" spans="1:9" x14ac:dyDescent="0.25">
      <c r="A1131" s="220">
        <v>1170</v>
      </c>
      <c r="B1131" s="221" t="s">
        <v>2656</v>
      </c>
      <c r="C1131" s="222" t="s">
        <v>2657</v>
      </c>
      <c r="D1131" s="221" t="s">
        <v>2591</v>
      </c>
      <c r="E1131" s="221" t="s">
        <v>35</v>
      </c>
      <c r="F1131" s="223">
        <v>0</v>
      </c>
      <c r="G1131" s="221" t="s">
        <v>71</v>
      </c>
      <c r="H1131" s="221" t="s">
        <v>71</v>
      </c>
      <c r="I1131" s="224"/>
    </row>
    <row r="1132" ht="17.25" customHeight="1" spans="1:9" x14ac:dyDescent="0.25">
      <c r="A1132" s="220">
        <v>1171</v>
      </c>
      <c r="B1132" s="221" t="s">
        <v>2658</v>
      </c>
      <c r="C1132" s="222" t="s">
        <v>2659</v>
      </c>
      <c r="D1132" s="221" t="s">
        <v>2591</v>
      </c>
      <c r="E1132" s="221" t="s">
        <v>35</v>
      </c>
      <c r="F1132" s="223">
        <v>0</v>
      </c>
      <c r="G1132" s="221" t="s">
        <v>71</v>
      </c>
      <c r="H1132" s="221" t="s">
        <v>71</v>
      </c>
      <c r="I1132" s="224"/>
    </row>
    <row r="1133" ht="17.25" customHeight="1" spans="1:9" x14ac:dyDescent="0.25">
      <c r="A1133" s="220">
        <v>1172</v>
      </c>
      <c r="B1133" s="221" t="s">
        <v>2660</v>
      </c>
      <c r="C1133" s="222" t="s">
        <v>2661</v>
      </c>
      <c r="D1133" s="221" t="s">
        <v>2591</v>
      </c>
      <c r="E1133" s="221" t="s">
        <v>35</v>
      </c>
      <c r="F1133" s="223">
        <v>0</v>
      </c>
      <c r="G1133" s="221" t="s">
        <v>71</v>
      </c>
      <c r="H1133" s="221" t="s">
        <v>71</v>
      </c>
      <c r="I1133" s="224"/>
    </row>
    <row r="1134" ht="17.25" customHeight="1" spans="1:9" x14ac:dyDescent="0.25">
      <c r="A1134" s="220">
        <v>1173</v>
      </c>
      <c r="B1134" s="221" t="s">
        <v>2662</v>
      </c>
      <c r="C1134" s="222" t="s">
        <v>2663</v>
      </c>
      <c r="D1134" s="221" t="s">
        <v>2591</v>
      </c>
      <c r="E1134" s="221" t="s">
        <v>35</v>
      </c>
      <c r="F1134" s="223">
        <v>0</v>
      </c>
      <c r="G1134" s="221" t="s">
        <v>71</v>
      </c>
      <c r="H1134" s="221" t="s">
        <v>71</v>
      </c>
      <c r="I1134" s="222"/>
    </row>
    <row r="1135" ht="17.25" customHeight="1" spans="1:9" x14ac:dyDescent="0.25">
      <c r="A1135" s="220">
        <v>1174</v>
      </c>
      <c r="B1135" s="221" t="s">
        <v>2664</v>
      </c>
      <c r="C1135" s="222" t="s">
        <v>2665</v>
      </c>
      <c r="D1135" s="221" t="s">
        <v>2591</v>
      </c>
      <c r="E1135" s="221" t="s">
        <v>27</v>
      </c>
      <c r="F1135" s="223">
        <v>0</v>
      </c>
      <c r="G1135" s="221" t="s">
        <v>71</v>
      </c>
      <c r="H1135" s="221" t="s">
        <v>71</v>
      </c>
      <c r="I1135" s="224"/>
    </row>
    <row r="1136" ht="17.25" customHeight="1" spans="1:9" x14ac:dyDescent="0.25">
      <c r="A1136" s="220">
        <v>1175</v>
      </c>
      <c r="B1136" s="221" t="s">
        <v>2666</v>
      </c>
      <c r="C1136" s="222" t="s">
        <v>2667</v>
      </c>
      <c r="D1136" s="221" t="s">
        <v>2591</v>
      </c>
      <c r="E1136" s="221" t="s">
        <v>35</v>
      </c>
      <c r="F1136" s="223">
        <v>0</v>
      </c>
      <c r="G1136" s="221" t="s">
        <v>71</v>
      </c>
      <c r="H1136" s="221" t="s">
        <v>71</v>
      </c>
      <c r="I1136" s="224"/>
    </row>
    <row r="1137" ht="17.25" customHeight="1" spans="1:9" x14ac:dyDescent="0.25">
      <c r="A1137" s="220">
        <v>1176</v>
      </c>
      <c r="B1137" s="221" t="s">
        <v>2668</v>
      </c>
      <c r="C1137" s="222" t="s">
        <v>2669</v>
      </c>
      <c r="D1137" s="221" t="s">
        <v>2670</v>
      </c>
      <c r="E1137" s="221" t="s">
        <v>28</v>
      </c>
      <c r="F1137" s="223">
        <v>0</v>
      </c>
      <c r="G1137" s="221"/>
      <c r="H1137" s="221"/>
      <c r="I1137" s="224"/>
    </row>
    <row r="1138" ht="17.25" customHeight="1" spans="1:9" x14ac:dyDescent="0.25">
      <c r="A1138" s="220">
        <v>1177</v>
      </c>
      <c r="B1138" s="221" t="s">
        <v>2671</v>
      </c>
      <c r="C1138" s="222" t="s">
        <v>2672</v>
      </c>
      <c r="D1138" s="221" t="s">
        <v>2670</v>
      </c>
      <c r="E1138" s="221" t="s">
        <v>28</v>
      </c>
      <c r="F1138" s="223">
        <v>0</v>
      </c>
      <c r="G1138" s="221" t="s">
        <v>71</v>
      </c>
      <c r="H1138" s="221" t="s">
        <v>71</v>
      </c>
      <c r="I1138" s="222"/>
    </row>
    <row r="1139" ht="17.25" customHeight="1" spans="1:9" x14ac:dyDescent="0.25">
      <c r="A1139" s="220">
        <v>1178</v>
      </c>
      <c r="B1139" s="221" t="s">
        <v>2673</v>
      </c>
      <c r="C1139" s="222" t="s">
        <v>2674</v>
      </c>
      <c r="D1139" s="221" t="s">
        <v>2675</v>
      </c>
      <c r="E1139" s="221" t="s">
        <v>27</v>
      </c>
      <c r="F1139" s="223">
        <v>0</v>
      </c>
      <c r="G1139" s="221"/>
      <c r="H1139" s="221"/>
      <c r="I1139" s="224"/>
    </row>
    <row r="1140" ht="17.25" customHeight="1" spans="1:9" x14ac:dyDescent="0.25">
      <c r="A1140" s="220">
        <v>1179</v>
      </c>
      <c r="B1140" s="221" t="s">
        <v>2676</v>
      </c>
      <c r="C1140" s="222" t="s">
        <v>2677</v>
      </c>
      <c r="D1140" s="221" t="s">
        <v>2675</v>
      </c>
      <c r="E1140" s="221" t="s">
        <v>27</v>
      </c>
      <c r="F1140" s="223">
        <v>0</v>
      </c>
      <c r="G1140" s="221"/>
      <c r="H1140" s="221"/>
      <c r="I1140" s="224"/>
    </row>
    <row r="1141" ht="17.25" customHeight="1" spans="1:9" x14ac:dyDescent="0.25">
      <c r="A1141" s="220">
        <v>1180</v>
      </c>
      <c r="B1141" s="221" t="s">
        <v>2678</v>
      </c>
      <c r="C1141" s="222" t="s">
        <v>2679</v>
      </c>
      <c r="D1141" s="221" t="s">
        <v>2675</v>
      </c>
      <c r="E1141" s="221" t="s">
        <v>27</v>
      </c>
      <c r="F1141" s="223">
        <v>0</v>
      </c>
      <c r="G1141" s="221"/>
      <c r="H1141" s="221"/>
      <c r="I1141" s="224"/>
    </row>
    <row r="1142" ht="17.25" customHeight="1" spans="1:9" x14ac:dyDescent="0.25">
      <c r="A1142" s="220">
        <v>1181</v>
      </c>
      <c r="B1142" s="221" t="s">
        <v>2680</v>
      </c>
      <c r="C1142" s="222" t="s">
        <v>2681</v>
      </c>
      <c r="D1142" s="221" t="s">
        <v>2675</v>
      </c>
      <c r="E1142" s="221" t="s">
        <v>35</v>
      </c>
      <c r="F1142" s="223">
        <v>0</v>
      </c>
      <c r="G1142" s="221" t="s">
        <v>71</v>
      </c>
      <c r="H1142" s="221" t="s">
        <v>71</v>
      </c>
      <c r="I1142" s="224"/>
    </row>
    <row r="1143" ht="17.25" customHeight="1" spans="1:9" x14ac:dyDescent="0.25">
      <c r="A1143" s="220">
        <v>1182</v>
      </c>
      <c r="B1143" s="221" t="s">
        <v>2682</v>
      </c>
      <c r="C1143" s="222" t="s">
        <v>2683</v>
      </c>
      <c r="D1143" s="221" t="s">
        <v>2684</v>
      </c>
      <c r="E1143" s="221" t="s">
        <v>27</v>
      </c>
      <c r="F1143" s="223">
        <v>0</v>
      </c>
      <c r="G1143" s="221"/>
      <c r="H1143" s="221"/>
      <c r="I1143" s="224"/>
    </row>
    <row r="1144" ht="17.25" customHeight="1" spans="1:9" x14ac:dyDescent="0.25">
      <c r="A1144" s="220">
        <v>1183</v>
      </c>
      <c r="B1144" s="221" t="s">
        <v>2685</v>
      </c>
      <c r="C1144" s="222" t="s">
        <v>2686</v>
      </c>
      <c r="D1144" s="221" t="s">
        <v>2684</v>
      </c>
      <c r="E1144" s="221" t="s">
        <v>27</v>
      </c>
      <c r="F1144" s="223">
        <v>0</v>
      </c>
      <c r="G1144" s="221"/>
      <c r="H1144" s="221"/>
      <c r="I1144" s="224"/>
    </row>
    <row r="1145" ht="17.25" customHeight="1" spans="1:9" x14ac:dyDescent="0.25">
      <c r="A1145" s="220">
        <v>1184</v>
      </c>
      <c r="B1145" s="221" t="s">
        <v>2687</v>
      </c>
      <c r="C1145" s="222" t="s">
        <v>2688</v>
      </c>
      <c r="D1145" s="221" t="s">
        <v>2684</v>
      </c>
      <c r="E1145" s="221" t="s">
        <v>27</v>
      </c>
      <c r="F1145" s="223">
        <v>0</v>
      </c>
      <c r="G1145" s="221"/>
      <c r="H1145" s="221"/>
      <c r="I1145" s="224"/>
    </row>
    <row r="1146" ht="17.25" customHeight="1" spans="1:9" x14ac:dyDescent="0.25">
      <c r="A1146" s="220">
        <v>1186</v>
      </c>
      <c r="B1146" s="221" t="s">
        <v>2689</v>
      </c>
      <c r="C1146" s="222" t="s">
        <v>2690</v>
      </c>
      <c r="D1146" s="221" t="s">
        <v>2684</v>
      </c>
      <c r="E1146" s="221" t="s">
        <v>27</v>
      </c>
      <c r="F1146" s="223">
        <v>0</v>
      </c>
      <c r="G1146" s="221" t="s">
        <v>48</v>
      </c>
      <c r="H1146" s="221" t="s">
        <v>48</v>
      </c>
      <c r="I1146" s="222"/>
    </row>
    <row r="1147" ht="17.25" customHeight="1" spans="1:9" x14ac:dyDescent="0.25">
      <c r="A1147" s="220">
        <v>1187</v>
      </c>
      <c r="B1147" s="221" t="s">
        <v>2691</v>
      </c>
      <c r="C1147" s="222" t="s">
        <v>2692</v>
      </c>
      <c r="D1147" s="221" t="s">
        <v>2684</v>
      </c>
      <c r="E1147" s="221" t="s">
        <v>27</v>
      </c>
      <c r="F1147" s="223">
        <v>0</v>
      </c>
      <c r="G1147" s="221" t="s">
        <v>48</v>
      </c>
      <c r="H1147" s="221" t="s">
        <v>48</v>
      </c>
      <c r="I1147" s="222"/>
    </row>
    <row r="1148" ht="17.25" customHeight="1" spans="1:9" x14ac:dyDescent="0.25">
      <c r="A1148" s="220">
        <v>1188</v>
      </c>
      <c r="B1148" s="221" t="s">
        <v>2693</v>
      </c>
      <c r="C1148" s="222" t="s">
        <v>2694</v>
      </c>
      <c r="D1148" s="221" t="s">
        <v>2684</v>
      </c>
      <c r="E1148" s="221" t="s">
        <v>27</v>
      </c>
      <c r="F1148" s="223">
        <v>0</v>
      </c>
      <c r="G1148" s="221"/>
      <c r="H1148" s="221"/>
      <c r="I1148" s="224"/>
    </row>
    <row r="1149" ht="17.25" customHeight="1" spans="1:9" x14ac:dyDescent="0.25">
      <c r="A1149" s="220">
        <v>1189</v>
      </c>
      <c r="B1149" s="221" t="s">
        <v>2695</v>
      </c>
      <c r="C1149" s="222" t="s">
        <v>2696</v>
      </c>
      <c r="D1149" s="221" t="s">
        <v>2697</v>
      </c>
      <c r="E1149" s="221" t="s">
        <v>27</v>
      </c>
      <c r="F1149" s="223">
        <v>0</v>
      </c>
      <c r="G1149" s="221"/>
      <c r="H1149" s="221"/>
      <c r="I1149" s="224"/>
    </row>
    <row r="1150" ht="17.25" customHeight="1" spans="1:9" x14ac:dyDescent="0.25">
      <c r="A1150" s="220">
        <v>1190</v>
      </c>
      <c r="B1150" s="221" t="s">
        <v>2698</v>
      </c>
      <c r="C1150" s="222" t="s">
        <v>2699</v>
      </c>
      <c r="D1150" s="221" t="s">
        <v>2697</v>
      </c>
      <c r="E1150" s="221" t="s">
        <v>27</v>
      </c>
      <c r="F1150" s="223">
        <v>0</v>
      </c>
      <c r="G1150" s="221"/>
      <c r="H1150" s="221"/>
      <c r="I1150" s="224"/>
    </row>
    <row r="1151" ht="17.25" customHeight="1" spans="1:9" x14ac:dyDescent="0.25">
      <c r="A1151" s="220">
        <v>1191</v>
      </c>
      <c r="B1151" s="221" t="s">
        <v>2700</v>
      </c>
      <c r="C1151" s="222" t="s">
        <v>2701</v>
      </c>
      <c r="D1151" s="221" t="s">
        <v>2702</v>
      </c>
      <c r="E1151" s="221" t="s">
        <v>27</v>
      </c>
      <c r="F1151" s="223">
        <v>0</v>
      </c>
      <c r="G1151" s="221" t="s">
        <v>93</v>
      </c>
      <c r="H1151" s="221" t="s">
        <v>93</v>
      </c>
      <c r="I1151" s="224"/>
    </row>
    <row r="1152" ht="17.25" customHeight="1" spans="1:9" x14ac:dyDescent="0.25">
      <c r="A1152" s="220">
        <v>1192</v>
      </c>
      <c r="B1152" s="221" t="s">
        <v>2703</v>
      </c>
      <c r="C1152" s="222" t="s">
        <v>2704</v>
      </c>
      <c r="D1152" s="221" t="s">
        <v>2702</v>
      </c>
      <c r="E1152" s="221" t="s">
        <v>27</v>
      </c>
      <c r="F1152" s="223">
        <v>0</v>
      </c>
      <c r="G1152" s="221" t="s">
        <v>93</v>
      </c>
      <c r="H1152" s="221" t="s">
        <v>93</v>
      </c>
      <c r="I1152" s="224"/>
    </row>
    <row r="1153" ht="17.25" customHeight="1" spans="1:9" x14ac:dyDescent="0.25">
      <c r="A1153" s="220">
        <v>1193</v>
      </c>
      <c r="B1153" s="221" t="s">
        <v>2705</v>
      </c>
      <c r="C1153" s="222" t="s">
        <v>2706</v>
      </c>
      <c r="D1153" s="221" t="s">
        <v>2702</v>
      </c>
      <c r="E1153" s="221" t="s">
        <v>27</v>
      </c>
      <c r="F1153" s="223">
        <v>0</v>
      </c>
      <c r="G1153" s="221" t="s">
        <v>93</v>
      </c>
      <c r="H1153" s="221" t="s">
        <v>93</v>
      </c>
      <c r="I1153" s="224"/>
    </row>
    <row r="1154" ht="17.25" customHeight="1" spans="1:9" x14ac:dyDescent="0.25">
      <c r="A1154" s="220">
        <v>1194</v>
      </c>
      <c r="B1154" s="221" t="s">
        <v>2707</v>
      </c>
      <c r="C1154" s="222" t="s">
        <v>2708</v>
      </c>
      <c r="D1154" s="221" t="s">
        <v>2702</v>
      </c>
      <c r="E1154" s="221" t="s">
        <v>27</v>
      </c>
      <c r="F1154" s="223">
        <v>0</v>
      </c>
      <c r="G1154" s="221" t="s">
        <v>93</v>
      </c>
      <c r="H1154" s="221" t="s">
        <v>93</v>
      </c>
      <c r="I1154" s="224"/>
    </row>
    <row r="1155" ht="17.25" customHeight="1" spans="1:9" x14ac:dyDescent="0.25">
      <c r="A1155" s="220">
        <v>1195</v>
      </c>
      <c r="B1155" s="221" t="s">
        <v>2709</v>
      </c>
      <c r="C1155" s="222" t="s">
        <v>2710</v>
      </c>
      <c r="D1155" s="221" t="s">
        <v>2702</v>
      </c>
      <c r="E1155" s="221" t="s">
        <v>27</v>
      </c>
      <c r="F1155" s="223">
        <v>0</v>
      </c>
      <c r="G1155" s="221" t="s">
        <v>48</v>
      </c>
      <c r="H1155" s="221" t="s">
        <v>48</v>
      </c>
      <c r="I1155" s="224"/>
    </row>
    <row r="1156" ht="17.25" customHeight="1" spans="1:9" x14ac:dyDescent="0.25">
      <c r="A1156" s="220">
        <v>1196</v>
      </c>
      <c r="B1156" s="221" t="s">
        <v>2711</v>
      </c>
      <c r="C1156" s="222" t="s">
        <v>2712</v>
      </c>
      <c r="D1156" s="221" t="s">
        <v>205</v>
      </c>
      <c r="E1156" s="221" t="s">
        <v>395</v>
      </c>
      <c r="F1156" s="223">
        <v>0</v>
      </c>
      <c r="G1156" s="221" t="s">
        <v>71</v>
      </c>
      <c r="H1156" s="221" t="s">
        <v>71</v>
      </c>
      <c r="I1156" s="222"/>
    </row>
    <row r="1157" ht="17.25" customHeight="1" spans="1:9" x14ac:dyDescent="0.25">
      <c r="A1157" s="220">
        <v>1197</v>
      </c>
      <c r="B1157" s="221" t="s">
        <v>2713</v>
      </c>
      <c r="C1157" s="222" t="s">
        <v>2714</v>
      </c>
      <c r="D1157" s="221" t="s">
        <v>205</v>
      </c>
      <c r="E1157" s="221" t="s">
        <v>395</v>
      </c>
      <c r="F1157" s="223">
        <v>0</v>
      </c>
      <c r="G1157" s="221" t="s">
        <v>71</v>
      </c>
      <c r="H1157" s="221" t="s">
        <v>71</v>
      </c>
      <c r="I1157" s="222"/>
    </row>
    <row r="1158" ht="17.25" customHeight="1" spans="1:9" x14ac:dyDescent="0.25">
      <c r="A1158" s="220">
        <v>1198</v>
      </c>
      <c r="B1158" s="221" t="s">
        <v>2715</v>
      </c>
      <c r="C1158" s="222" t="s">
        <v>2716</v>
      </c>
      <c r="D1158" s="221" t="s">
        <v>205</v>
      </c>
      <c r="E1158" s="221" t="s">
        <v>395</v>
      </c>
      <c r="F1158" s="223">
        <v>15500</v>
      </c>
      <c r="G1158" s="221" t="s">
        <v>71</v>
      </c>
      <c r="H1158" s="221" t="s">
        <v>71</v>
      </c>
      <c r="I1158" s="222"/>
    </row>
    <row r="1159" ht="17.25" customHeight="1" spans="1:9" x14ac:dyDescent="0.25">
      <c r="A1159" s="220">
        <v>1199</v>
      </c>
      <c r="B1159" s="221" t="s">
        <v>2717</v>
      </c>
      <c r="C1159" s="222" t="s">
        <v>2718</v>
      </c>
      <c r="D1159" s="221" t="s">
        <v>205</v>
      </c>
      <c r="E1159" s="221" t="s">
        <v>395</v>
      </c>
      <c r="F1159" s="223">
        <v>0</v>
      </c>
      <c r="G1159" s="221" t="s">
        <v>71</v>
      </c>
      <c r="H1159" s="221" t="s">
        <v>71</v>
      </c>
      <c r="I1159" s="222"/>
    </row>
    <row r="1160" ht="17.25" customHeight="1" spans="1:9" x14ac:dyDescent="0.25">
      <c r="A1160" s="220">
        <v>1200</v>
      </c>
      <c r="B1160" s="221" t="s">
        <v>2719</v>
      </c>
      <c r="C1160" s="222" t="s">
        <v>2720</v>
      </c>
      <c r="D1160" s="221" t="s">
        <v>205</v>
      </c>
      <c r="E1160" s="221" t="s">
        <v>395</v>
      </c>
      <c r="F1160" s="223">
        <v>0</v>
      </c>
      <c r="G1160" s="221" t="s">
        <v>71</v>
      </c>
      <c r="H1160" s="221" t="s">
        <v>71</v>
      </c>
      <c r="I1160" s="222"/>
    </row>
    <row r="1161" ht="17.25" customHeight="1" spans="1:9" x14ac:dyDescent="0.25">
      <c r="A1161" s="220">
        <v>1201</v>
      </c>
      <c r="B1161" s="221" t="s">
        <v>2721</v>
      </c>
      <c r="C1161" s="222" t="s">
        <v>2722</v>
      </c>
      <c r="D1161" s="221" t="s">
        <v>205</v>
      </c>
      <c r="E1161" s="221" t="s">
        <v>395</v>
      </c>
      <c r="F1161" s="223">
        <v>0</v>
      </c>
      <c r="G1161" s="221" t="s">
        <v>71</v>
      </c>
      <c r="H1161" s="221" t="s">
        <v>71</v>
      </c>
      <c r="I1161" s="222"/>
    </row>
    <row r="1162" ht="17.25" customHeight="1" spans="1:9" x14ac:dyDescent="0.25">
      <c r="A1162" s="220">
        <v>1202</v>
      </c>
      <c r="B1162" s="221" t="s">
        <v>2723</v>
      </c>
      <c r="C1162" s="222" t="s">
        <v>2724</v>
      </c>
      <c r="D1162" s="221" t="s">
        <v>205</v>
      </c>
      <c r="E1162" s="221" t="s">
        <v>395</v>
      </c>
      <c r="F1162" s="223">
        <v>0</v>
      </c>
      <c r="G1162" s="221" t="s">
        <v>71</v>
      </c>
      <c r="H1162" s="221" t="s">
        <v>71</v>
      </c>
      <c r="I1162" s="222"/>
    </row>
    <row r="1163" ht="17.25" customHeight="1" spans="1:9" x14ac:dyDescent="0.25">
      <c r="A1163" s="220">
        <v>1203</v>
      </c>
      <c r="B1163" s="221" t="s">
        <v>2725</v>
      </c>
      <c r="C1163" s="222" t="s">
        <v>2726</v>
      </c>
      <c r="D1163" s="221" t="s">
        <v>205</v>
      </c>
      <c r="E1163" s="221" t="s">
        <v>395</v>
      </c>
      <c r="F1163" s="223">
        <v>0</v>
      </c>
      <c r="G1163" s="221" t="s">
        <v>71</v>
      </c>
      <c r="H1163" s="221" t="s">
        <v>71</v>
      </c>
      <c r="I1163" s="222"/>
    </row>
    <row r="1164" ht="17.25" customHeight="1" spans="1:9" x14ac:dyDescent="0.25">
      <c r="A1164" s="220">
        <v>1204</v>
      </c>
      <c r="B1164" s="221" t="s">
        <v>2727</v>
      </c>
      <c r="C1164" s="222" t="s">
        <v>2728</v>
      </c>
      <c r="D1164" s="221" t="s">
        <v>205</v>
      </c>
      <c r="E1164" s="221" t="s">
        <v>395</v>
      </c>
      <c r="F1164" s="223">
        <v>15500</v>
      </c>
      <c r="G1164" s="221" t="s">
        <v>71</v>
      </c>
      <c r="H1164" s="221" t="s">
        <v>71</v>
      </c>
      <c r="I1164" s="222"/>
    </row>
    <row r="1165" ht="17.25" customHeight="1" spans="1:9" x14ac:dyDescent="0.25">
      <c r="A1165" s="220">
        <v>1205</v>
      </c>
      <c r="B1165" s="221" t="s">
        <v>2729</v>
      </c>
      <c r="C1165" s="222" t="s">
        <v>2730</v>
      </c>
      <c r="D1165" s="221" t="s">
        <v>205</v>
      </c>
      <c r="E1165" s="221" t="s">
        <v>395</v>
      </c>
      <c r="F1165" s="223">
        <v>0</v>
      </c>
      <c r="G1165" s="221" t="s">
        <v>71</v>
      </c>
      <c r="H1165" s="221" t="s">
        <v>71</v>
      </c>
      <c r="I1165" s="222"/>
    </row>
    <row r="1166" ht="17.25" customHeight="1" spans="1:9" x14ac:dyDescent="0.25">
      <c r="A1166" s="220">
        <v>1206</v>
      </c>
      <c r="B1166" s="221" t="s">
        <v>2731</v>
      </c>
      <c r="C1166" s="222" t="s">
        <v>2732</v>
      </c>
      <c r="D1166" s="221" t="s">
        <v>205</v>
      </c>
      <c r="E1166" s="221" t="s">
        <v>395</v>
      </c>
      <c r="F1166" s="223">
        <v>12500</v>
      </c>
      <c r="G1166" s="221" t="s">
        <v>71</v>
      </c>
      <c r="H1166" s="221" t="s">
        <v>71</v>
      </c>
      <c r="I1166" s="222"/>
    </row>
    <row r="1167" ht="17.25" customHeight="1" spans="1:9" x14ac:dyDescent="0.25">
      <c r="A1167" s="220">
        <v>1207</v>
      </c>
      <c r="B1167" s="221" t="s">
        <v>2733</v>
      </c>
      <c r="C1167" s="222" t="s">
        <v>2734</v>
      </c>
      <c r="D1167" s="221" t="s">
        <v>205</v>
      </c>
      <c r="E1167" s="221" t="s">
        <v>395</v>
      </c>
      <c r="F1167" s="223">
        <v>0</v>
      </c>
      <c r="G1167" s="221" t="s">
        <v>71</v>
      </c>
      <c r="H1167" s="221" t="s">
        <v>71</v>
      </c>
      <c r="I1167" s="222"/>
    </row>
    <row r="1168" ht="17.25" customHeight="1" spans="1:9" x14ac:dyDescent="0.25">
      <c r="A1168" s="220">
        <v>1208</v>
      </c>
      <c r="B1168" s="221" t="s">
        <v>2735</v>
      </c>
      <c r="C1168" s="222" t="s">
        <v>2736</v>
      </c>
      <c r="D1168" s="221" t="s">
        <v>205</v>
      </c>
      <c r="E1168" s="221" t="s">
        <v>395</v>
      </c>
      <c r="F1168" s="223">
        <v>0</v>
      </c>
      <c r="G1168" s="221" t="s">
        <v>71</v>
      </c>
      <c r="H1168" s="221" t="s">
        <v>71</v>
      </c>
      <c r="I1168" s="222"/>
    </row>
    <row r="1169" ht="17.25" customHeight="1" spans="1:9" x14ac:dyDescent="0.25">
      <c r="A1169" s="220">
        <v>1209</v>
      </c>
      <c r="B1169" s="221" t="s">
        <v>2737</v>
      </c>
      <c r="C1169" s="222" t="s">
        <v>2738</v>
      </c>
      <c r="D1169" s="221" t="s">
        <v>205</v>
      </c>
      <c r="E1169" s="221" t="s">
        <v>395</v>
      </c>
      <c r="F1169" s="223">
        <v>0</v>
      </c>
      <c r="G1169" s="221" t="s">
        <v>71</v>
      </c>
      <c r="H1169" s="221" t="s">
        <v>71</v>
      </c>
      <c r="I1169" s="222"/>
    </row>
    <row r="1170" ht="17.25" customHeight="1" spans="1:9" x14ac:dyDescent="0.25">
      <c r="A1170" s="220">
        <v>1210</v>
      </c>
      <c r="B1170" s="221" t="s">
        <v>2739</v>
      </c>
      <c r="C1170" s="222" t="s">
        <v>2740</v>
      </c>
      <c r="D1170" s="221" t="s">
        <v>205</v>
      </c>
      <c r="E1170" s="221" t="s">
        <v>395</v>
      </c>
      <c r="F1170" s="223">
        <v>0</v>
      </c>
      <c r="G1170" s="221" t="s">
        <v>71</v>
      </c>
      <c r="H1170" s="221" t="s">
        <v>71</v>
      </c>
      <c r="I1170" s="222"/>
    </row>
    <row r="1171" ht="17.25" customHeight="1" spans="1:9" x14ac:dyDescent="0.25">
      <c r="A1171" s="220">
        <v>1211</v>
      </c>
      <c r="B1171" s="221" t="s">
        <v>2741</v>
      </c>
      <c r="C1171" s="222" t="s">
        <v>2742</v>
      </c>
      <c r="D1171" s="221" t="s">
        <v>205</v>
      </c>
      <c r="E1171" s="221" t="s">
        <v>395</v>
      </c>
      <c r="F1171" s="223">
        <v>0</v>
      </c>
      <c r="G1171" s="221" t="s">
        <v>71</v>
      </c>
      <c r="H1171" s="221" t="s">
        <v>71</v>
      </c>
      <c r="I1171" s="222"/>
    </row>
    <row r="1172" ht="17.25" customHeight="1" spans="1:9" x14ac:dyDescent="0.25">
      <c r="A1172" s="220">
        <v>1212</v>
      </c>
      <c r="B1172" s="221" t="s">
        <v>2743</v>
      </c>
      <c r="C1172" s="222" t="s">
        <v>2744</v>
      </c>
      <c r="D1172" s="221" t="s">
        <v>205</v>
      </c>
      <c r="E1172" s="221" t="s">
        <v>395</v>
      </c>
      <c r="F1172" s="223">
        <v>0</v>
      </c>
      <c r="G1172" s="221" t="s">
        <v>71</v>
      </c>
      <c r="H1172" s="221" t="s">
        <v>71</v>
      </c>
      <c r="I1172" s="222"/>
    </row>
    <row r="1173" ht="17.25" customHeight="1" spans="1:9" x14ac:dyDescent="0.25">
      <c r="A1173" s="220">
        <v>1213</v>
      </c>
      <c r="B1173" s="221" t="s">
        <v>2745</v>
      </c>
      <c r="C1173" s="222" t="s">
        <v>2746</v>
      </c>
      <c r="D1173" s="221" t="s">
        <v>205</v>
      </c>
      <c r="E1173" s="221" t="s">
        <v>395</v>
      </c>
      <c r="F1173" s="223">
        <v>0</v>
      </c>
      <c r="G1173" s="221" t="s">
        <v>71</v>
      </c>
      <c r="H1173" s="221" t="s">
        <v>71</v>
      </c>
      <c r="I1173" s="222"/>
    </row>
    <row r="1174" ht="17.25" customHeight="1" spans="1:9" x14ac:dyDescent="0.25">
      <c r="A1174" s="220">
        <v>1214</v>
      </c>
      <c r="B1174" s="221" t="s">
        <v>2747</v>
      </c>
      <c r="C1174" s="222" t="s">
        <v>2748</v>
      </c>
      <c r="D1174" s="221" t="s">
        <v>205</v>
      </c>
      <c r="E1174" s="221" t="s">
        <v>395</v>
      </c>
      <c r="F1174" s="223">
        <v>0</v>
      </c>
      <c r="G1174" s="221" t="s">
        <v>71</v>
      </c>
      <c r="H1174" s="221" t="s">
        <v>71</v>
      </c>
      <c r="I1174" s="222"/>
    </row>
    <row r="1175" ht="17.25" customHeight="1" spans="1:9" x14ac:dyDescent="0.25">
      <c r="A1175" s="220">
        <v>1215</v>
      </c>
      <c r="B1175" s="221" t="s">
        <v>2749</v>
      </c>
      <c r="C1175" s="222" t="s">
        <v>2750</v>
      </c>
      <c r="D1175" s="221" t="s">
        <v>205</v>
      </c>
      <c r="E1175" s="221" t="s">
        <v>395</v>
      </c>
      <c r="F1175" s="223">
        <v>0</v>
      </c>
      <c r="G1175" s="221" t="s">
        <v>71</v>
      </c>
      <c r="H1175" s="221" t="s">
        <v>71</v>
      </c>
      <c r="I1175" s="222"/>
    </row>
    <row r="1176" ht="17.25" customHeight="1" spans="1:9" x14ac:dyDescent="0.25">
      <c r="A1176" s="220">
        <v>1217</v>
      </c>
      <c r="B1176" s="221" t="s">
        <v>2751</v>
      </c>
      <c r="C1176" s="222" t="s">
        <v>2752</v>
      </c>
      <c r="D1176" s="221" t="s">
        <v>205</v>
      </c>
      <c r="E1176" s="221" t="s">
        <v>395</v>
      </c>
      <c r="F1176" s="223">
        <v>12500</v>
      </c>
      <c r="G1176" s="221" t="s">
        <v>71</v>
      </c>
      <c r="H1176" s="221" t="s">
        <v>71</v>
      </c>
      <c r="I1176" s="222"/>
    </row>
    <row r="1177" ht="17.25" customHeight="1" spans="1:9" x14ac:dyDescent="0.25">
      <c r="A1177" s="220">
        <v>1218</v>
      </c>
      <c r="B1177" s="221" t="s">
        <v>2753</v>
      </c>
      <c r="C1177" s="222" t="s">
        <v>2754</v>
      </c>
      <c r="D1177" s="221" t="s">
        <v>205</v>
      </c>
      <c r="E1177" s="221" t="s">
        <v>395</v>
      </c>
      <c r="F1177" s="223">
        <v>0</v>
      </c>
      <c r="G1177" s="221" t="s">
        <v>71</v>
      </c>
      <c r="H1177" s="221" t="s">
        <v>71</v>
      </c>
      <c r="I1177" s="222"/>
    </row>
    <row r="1178" ht="17.25" customHeight="1" spans="1:9" x14ac:dyDescent="0.25">
      <c r="A1178" s="220">
        <v>1219</v>
      </c>
      <c r="B1178" s="221" t="s">
        <v>2755</v>
      </c>
      <c r="C1178" s="222" t="s">
        <v>2756</v>
      </c>
      <c r="D1178" s="221" t="s">
        <v>205</v>
      </c>
      <c r="E1178" s="221" t="s">
        <v>395</v>
      </c>
      <c r="F1178" s="223">
        <v>12000</v>
      </c>
      <c r="G1178" s="221" t="s">
        <v>71</v>
      </c>
      <c r="H1178" s="221" t="s">
        <v>71</v>
      </c>
      <c r="I1178" s="222"/>
    </row>
    <row r="1179" ht="17.25" customHeight="1" spans="1:9" x14ac:dyDescent="0.25">
      <c r="A1179" s="220">
        <v>1220</v>
      </c>
      <c r="B1179" s="221" t="s">
        <v>2757</v>
      </c>
      <c r="C1179" s="222" t="s">
        <v>2758</v>
      </c>
      <c r="D1179" s="221" t="s">
        <v>205</v>
      </c>
      <c r="E1179" s="221" t="s">
        <v>395</v>
      </c>
      <c r="F1179" s="223">
        <v>0</v>
      </c>
      <c r="G1179" s="221" t="s">
        <v>71</v>
      </c>
      <c r="H1179" s="221" t="s">
        <v>71</v>
      </c>
      <c r="I1179" s="222"/>
    </row>
    <row r="1180" ht="17.25" customHeight="1" spans="1:9" x14ac:dyDescent="0.25">
      <c r="A1180" s="220">
        <v>1221</v>
      </c>
      <c r="B1180" s="221" t="s">
        <v>2759</v>
      </c>
      <c r="C1180" s="222" t="s">
        <v>2760</v>
      </c>
      <c r="D1180" s="221" t="s">
        <v>205</v>
      </c>
      <c r="E1180" s="221" t="s">
        <v>395</v>
      </c>
      <c r="F1180" s="223">
        <v>0</v>
      </c>
      <c r="G1180" s="221" t="s">
        <v>71</v>
      </c>
      <c r="H1180" s="221" t="s">
        <v>71</v>
      </c>
      <c r="I1180" s="222" t="s">
        <v>2761</v>
      </c>
    </row>
    <row r="1181" ht="17.25" customHeight="1" spans="1:9" x14ac:dyDescent="0.25">
      <c r="A1181" s="220">
        <v>1222</v>
      </c>
      <c r="B1181" s="221" t="s">
        <v>2762</v>
      </c>
      <c r="C1181" s="222" t="s">
        <v>2763</v>
      </c>
      <c r="D1181" s="221" t="s">
        <v>205</v>
      </c>
      <c r="E1181" s="221" t="s">
        <v>395</v>
      </c>
      <c r="F1181" s="223">
        <v>0</v>
      </c>
      <c r="G1181" s="221" t="s">
        <v>71</v>
      </c>
      <c r="H1181" s="221" t="s">
        <v>71</v>
      </c>
      <c r="I1181" s="222"/>
    </row>
    <row r="1182" ht="17.25" customHeight="1" spans="1:9" x14ac:dyDescent="0.25">
      <c r="A1182" s="220">
        <v>1223</v>
      </c>
      <c r="B1182" s="221" t="s">
        <v>2764</v>
      </c>
      <c r="C1182" s="222" t="s">
        <v>2765</v>
      </c>
      <c r="D1182" s="221" t="s">
        <v>205</v>
      </c>
      <c r="E1182" s="221" t="s">
        <v>395</v>
      </c>
      <c r="F1182" s="223">
        <v>13500</v>
      </c>
      <c r="G1182" s="221" t="s">
        <v>71</v>
      </c>
      <c r="H1182" s="221" t="s">
        <v>71</v>
      </c>
      <c r="I1182" s="222"/>
    </row>
    <row r="1183" ht="17.25" customHeight="1" spans="1:9" x14ac:dyDescent="0.25">
      <c r="A1183" s="220">
        <v>1224</v>
      </c>
      <c r="B1183" s="221" t="s">
        <v>2766</v>
      </c>
      <c r="C1183" s="222" t="s">
        <v>2767</v>
      </c>
      <c r="D1183" s="221" t="s">
        <v>205</v>
      </c>
      <c r="E1183" s="221" t="s">
        <v>395</v>
      </c>
      <c r="F1183" s="223">
        <v>0</v>
      </c>
      <c r="G1183" s="221" t="s">
        <v>71</v>
      </c>
      <c r="H1183" s="221" t="s">
        <v>71</v>
      </c>
      <c r="I1183" s="222"/>
    </row>
    <row r="1184" ht="17.25" customHeight="1" spans="1:9" x14ac:dyDescent="0.25">
      <c r="A1184" s="220">
        <v>1225</v>
      </c>
      <c r="B1184" s="221" t="s">
        <v>2768</v>
      </c>
      <c r="C1184" s="222" t="s">
        <v>2769</v>
      </c>
      <c r="D1184" s="221" t="s">
        <v>205</v>
      </c>
      <c r="E1184" s="221" t="s">
        <v>395</v>
      </c>
      <c r="F1184" s="223">
        <v>0</v>
      </c>
      <c r="G1184" s="221" t="s">
        <v>71</v>
      </c>
      <c r="H1184" s="221" t="s">
        <v>71</v>
      </c>
      <c r="I1184" s="222"/>
    </row>
    <row r="1185" ht="17.25" customHeight="1" spans="1:9" x14ac:dyDescent="0.25">
      <c r="A1185" s="220">
        <v>1226</v>
      </c>
      <c r="B1185" s="221" t="s">
        <v>2770</v>
      </c>
      <c r="C1185" s="222" t="s">
        <v>2771</v>
      </c>
      <c r="D1185" s="221" t="s">
        <v>205</v>
      </c>
      <c r="E1185" s="221" t="s">
        <v>395</v>
      </c>
      <c r="F1185" s="223">
        <v>0</v>
      </c>
      <c r="G1185" s="221" t="s">
        <v>71</v>
      </c>
      <c r="H1185" s="221" t="s">
        <v>71</v>
      </c>
      <c r="I1185" s="222"/>
    </row>
    <row r="1186" ht="17.25" customHeight="1" spans="1:9" x14ac:dyDescent="0.25">
      <c r="A1186" s="220">
        <v>1227</v>
      </c>
      <c r="B1186" s="221" t="s">
        <v>2772</v>
      </c>
      <c r="C1186" s="222" t="s">
        <v>2773</v>
      </c>
      <c r="D1186" s="221" t="s">
        <v>205</v>
      </c>
      <c r="E1186" s="221" t="s">
        <v>395</v>
      </c>
      <c r="F1186" s="223">
        <v>0</v>
      </c>
      <c r="G1186" s="221" t="s">
        <v>71</v>
      </c>
      <c r="H1186" s="221" t="s">
        <v>71</v>
      </c>
      <c r="I1186" s="222"/>
    </row>
    <row r="1187" ht="17.25" customHeight="1" spans="1:9" x14ac:dyDescent="0.25">
      <c r="A1187" s="220">
        <v>1228</v>
      </c>
      <c r="B1187" s="221" t="s">
        <v>2774</v>
      </c>
      <c r="C1187" s="222" t="s">
        <v>2775</v>
      </c>
      <c r="D1187" s="221" t="s">
        <v>205</v>
      </c>
      <c r="E1187" s="221" t="s">
        <v>395</v>
      </c>
      <c r="F1187" s="223">
        <v>0</v>
      </c>
      <c r="G1187" s="221" t="s">
        <v>71</v>
      </c>
      <c r="H1187" s="221" t="s">
        <v>71</v>
      </c>
      <c r="I1187" s="222"/>
    </row>
    <row r="1188" ht="17.25" customHeight="1" spans="1:9" x14ac:dyDescent="0.25">
      <c r="A1188" s="220">
        <v>1229</v>
      </c>
      <c r="B1188" s="221" t="s">
        <v>2776</v>
      </c>
      <c r="C1188" s="222" t="s">
        <v>2777</v>
      </c>
      <c r="D1188" s="221" t="s">
        <v>205</v>
      </c>
      <c r="E1188" s="221" t="s">
        <v>395</v>
      </c>
      <c r="F1188" s="223">
        <v>0</v>
      </c>
      <c r="G1188" s="221" t="s">
        <v>71</v>
      </c>
      <c r="H1188" s="221" t="s">
        <v>71</v>
      </c>
      <c r="I1188" s="222"/>
    </row>
    <row r="1189" ht="17.25" customHeight="1" spans="1:9" x14ac:dyDescent="0.25">
      <c r="A1189" s="220">
        <v>1230</v>
      </c>
      <c r="B1189" s="221" t="s">
        <v>2778</v>
      </c>
      <c r="C1189" s="222" t="s">
        <v>2779</v>
      </c>
      <c r="D1189" s="221" t="s">
        <v>205</v>
      </c>
      <c r="E1189" s="221" t="s">
        <v>395</v>
      </c>
      <c r="F1189" s="223">
        <v>0</v>
      </c>
      <c r="G1189" s="221" t="s">
        <v>71</v>
      </c>
      <c r="H1189" s="221" t="s">
        <v>71</v>
      </c>
      <c r="I1189" s="222"/>
    </row>
    <row r="1190" ht="17.25" customHeight="1" spans="1:9" x14ac:dyDescent="0.25">
      <c r="A1190" s="220">
        <v>1231</v>
      </c>
      <c r="B1190" s="221" t="s">
        <v>2780</v>
      </c>
      <c r="C1190" s="222" t="s">
        <v>2781</v>
      </c>
      <c r="D1190" s="221" t="s">
        <v>205</v>
      </c>
      <c r="E1190" s="221" t="s">
        <v>395</v>
      </c>
      <c r="F1190" s="223">
        <v>11000</v>
      </c>
      <c r="G1190" s="221" t="s">
        <v>71</v>
      </c>
      <c r="H1190" s="221" t="s">
        <v>71</v>
      </c>
      <c r="I1190" s="222"/>
    </row>
    <row r="1191" ht="17.25" customHeight="1" spans="1:9" x14ac:dyDescent="0.25">
      <c r="A1191" s="220">
        <v>1232</v>
      </c>
      <c r="B1191" s="221" t="s">
        <v>2782</v>
      </c>
      <c r="C1191" s="222" t="s">
        <v>2783</v>
      </c>
      <c r="D1191" s="221" t="s">
        <v>205</v>
      </c>
      <c r="E1191" s="221" t="s">
        <v>395</v>
      </c>
      <c r="F1191" s="223">
        <v>0</v>
      </c>
      <c r="G1191" s="221" t="s">
        <v>71</v>
      </c>
      <c r="H1191" s="221" t="s">
        <v>71</v>
      </c>
      <c r="I1191" s="222"/>
    </row>
    <row r="1192" ht="17.25" customHeight="1" spans="1:9" x14ac:dyDescent="0.25">
      <c r="A1192" s="220">
        <v>1233</v>
      </c>
      <c r="B1192" s="221" t="s">
        <v>2784</v>
      </c>
      <c r="C1192" s="222" t="s">
        <v>2785</v>
      </c>
      <c r="D1192" s="221" t="s">
        <v>205</v>
      </c>
      <c r="E1192" s="221" t="s">
        <v>395</v>
      </c>
      <c r="F1192" s="223">
        <v>13500</v>
      </c>
      <c r="G1192" s="221" t="s">
        <v>71</v>
      </c>
      <c r="H1192" s="221" t="s">
        <v>71</v>
      </c>
      <c r="I1192" s="222"/>
    </row>
    <row r="1193" ht="17.25" customHeight="1" spans="1:9" x14ac:dyDescent="0.25">
      <c r="A1193" s="220">
        <v>1234</v>
      </c>
      <c r="B1193" s="221" t="s">
        <v>2786</v>
      </c>
      <c r="C1193" s="222" t="s">
        <v>2787</v>
      </c>
      <c r="D1193" s="221" t="s">
        <v>205</v>
      </c>
      <c r="E1193" s="221" t="s">
        <v>395</v>
      </c>
      <c r="F1193" s="223">
        <v>0</v>
      </c>
      <c r="G1193" s="221" t="s">
        <v>71</v>
      </c>
      <c r="H1193" s="221" t="s">
        <v>71</v>
      </c>
      <c r="I1193" s="222"/>
    </row>
    <row r="1194" ht="17.25" customHeight="1" spans="1:9" x14ac:dyDescent="0.25">
      <c r="A1194" s="220">
        <v>1235</v>
      </c>
      <c r="B1194" s="221" t="s">
        <v>2788</v>
      </c>
      <c r="C1194" s="222" t="s">
        <v>2789</v>
      </c>
      <c r="D1194" s="221" t="s">
        <v>205</v>
      </c>
      <c r="E1194" s="221" t="s">
        <v>395</v>
      </c>
      <c r="F1194" s="223">
        <v>12000</v>
      </c>
      <c r="G1194" s="221" t="s">
        <v>71</v>
      </c>
      <c r="H1194" s="221" t="s">
        <v>71</v>
      </c>
      <c r="I1194" s="222" t="s">
        <v>2790</v>
      </c>
    </row>
    <row r="1195" ht="17.25" customHeight="1" spans="1:9" x14ac:dyDescent="0.25">
      <c r="A1195" s="220">
        <v>1236</v>
      </c>
      <c r="B1195" s="221" t="s">
        <v>2791</v>
      </c>
      <c r="C1195" s="222" t="s">
        <v>2792</v>
      </c>
      <c r="D1195" s="221" t="s">
        <v>205</v>
      </c>
      <c r="E1195" s="221" t="s">
        <v>395</v>
      </c>
      <c r="F1195" s="223">
        <v>0</v>
      </c>
      <c r="G1195" s="221" t="s">
        <v>71</v>
      </c>
      <c r="H1195" s="221" t="s">
        <v>71</v>
      </c>
      <c r="I1195" s="222"/>
    </row>
    <row r="1196" ht="17.25" customHeight="1" spans="1:9" x14ac:dyDescent="0.25">
      <c r="A1196" s="220">
        <v>1237</v>
      </c>
      <c r="B1196" s="221" t="s">
        <v>2793</v>
      </c>
      <c r="C1196" s="222" t="s">
        <v>2794</v>
      </c>
      <c r="D1196" s="221" t="s">
        <v>205</v>
      </c>
      <c r="E1196" s="221" t="s">
        <v>395</v>
      </c>
      <c r="F1196" s="223">
        <v>0</v>
      </c>
      <c r="G1196" s="221" t="s">
        <v>71</v>
      </c>
      <c r="H1196" s="221" t="s">
        <v>71</v>
      </c>
      <c r="I1196" s="222"/>
    </row>
    <row r="1197" ht="17.25" customHeight="1" spans="1:9" x14ac:dyDescent="0.25">
      <c r="A1197" s="220">
        <v>1238</v>
      </c>
      <c r="B1197" s="221" t="s">
        <v>2795</v>
      </c>
      <c r="C1197" s="222" t="s">
        <v>2796</v>
      </c>
      <c r="D1197" s="221" t="s">
        <v>205</v>
      </c>
      <c r="E1197" s="221" t="s">
        <v>395</v>
      </c>
      <c r="F1197" s="223">
        <v>0</v>
      </c>
      <c r="G1197" s="221" t="s">
        <v>71</v>
      </c>
      <c r="H1197" s="221" t="s">
        <v>71</v>
      </c>
      <c r="I1197" s="222"/>
    </row>
    <row r="1198" ht="17.25" customHeight="1" spans="1:9" x14ac:dyDescent="0.25">
      <c r="A1198" s="220">
        <v>1239</v>
      </c>
      <c r="B1198" s="221" t="s">
        <v>2797</v>
      </c>
      <c r="C1198" s="222" t="s">
        <v>2798</v>
      </c>
      <c r="D1198" s="221" t="s">
        <v>205</v>
      </c>
      <c r="E1198" s="221" t="s">
        <v>395</v>
      </c>
      <c r="F1198" s="223">
        <v>12000</v>
      </c>
      <c r="G1198" s="221" t="s">
        <v>71</v>
      </c>
      <c r="H1198" s="221" t="s">
        <v>71</v>
      </c>
      <c r="I1198" s="222"/>
    </row>
    <row r="1199" ht="17.25" customHeight="1" spans="1:9" x14ac:dyDescent="0.25">
      <c r="A1199" s="220">
        <v>1240</v>
      </c>
      <c r="B1199" s="221" t="s">
        <v>2799</v>
      </c>
      <c r="C1199" s="222" t="s">
        <v>2800</v>
      </c>
      <c r="D1199" s="221" t="s">
        <v>205</v>
      </c>
      <c r="E1199" s="221" t="s">
        <v>395</v>
      </c>
      <c r="F1199" s="223">
        <v>0</v>
      </c>
      <c r="G1199" s="221" t="s">
        <v>71</v>
      </c>
      <c r="H1199" s="221" t="s">
        <v>71</v>
      </c>
      <c r="I1199" s="222"/>
    </row>
    <row r="1200" ht="17.25" customHeight="1" spans="1:9" x14ac:dyDescent="0.25">
      <c r="A1200" s="220">
        <v>1241</v>
      </c>
      <c r="B1200" s="221" t="s">
        <v>2801</v>
      </c>
      <c r="C1200" s="222" t="s">
        <v>2802</v>
      </c>
      <c r="D1200" s="221" t="s">
        <v>205</v>
      </c>
      <c r="E1200" s="221" t="s">
        <v>395</v>
      </c>
      <c r="F1200" s="223">
        <v>0</v>
      </c>
      <c r="G1200" s="221" t="s">
        <v>71</v>
      </c>
      <c r="H1200" s="221" t="s">
        <v>71</v>
      </c>
      <c r="I1200" s="222"/>
    </row>
    <row r="1201" ht="17.25" customHeight="1" spans="1:9" x14ac:dyDescent="0.25">
      <c r="A1201" s="220">
        <v>1242</v>
      </c>
      <c r="B1201" s="221" t="s">
        <v>2803</v>
      </c>
      <c r="C1201" s="222" t="s">
        <v>2804</v>
      </c>
      <c r="D1201" s="221" t="s">
        <v>205</v>
      </c>
      <c r="E1201" s="221" t="s">
        <v>395</v>
      </c>
      <c r="F1201" s="223">
        <v>0</v>
      </c>
      <c r="G1201" s="221" t="s">
        <v>71</v>
      </c>
      <c r="H1201" s="221" t="s">
        <v>71</v>
      </c>
      <c r="I1201" s="222"/>
    </row>
    <row r="1202" ht="17.25" customHeight="1" spans="1:9" x14ac:dyDescent="0.25">
      <c r="A1202" s="220">
        <v>1243</v>
      </c>
      <c r="B1202" s="221" t="s">
        <v>2805</v>
      </c>
      <c r="C1202" s="222" t="s">
        <v>2806</v>
      </c>
      <c r="D1202" s="221" t="s">
        <v>205</v>
      </c>
      <c r="E1202" s="221" t="s">
        <v>395</v>
      </c>
      <c r="F1202" s="223">
        <v>0</v>
      </c>
      <c r="G1202" s="221" t="s">
        <v>71</v>
      </c>
      <c r="H1202" s="221" t="s">
        <v>71</v>
      </c>
      <c r="I1202" s="222"/>
    </row>
    <row r="1203" ht="17.25" customHeight="1" spans="1:9" x14ac:dyDescent="0.25">
      <c r="A1203" s="220">
        <v>1244</v>
      </c>
      <c r="B1203" s="221" t="s">
        <v>2807</v>
      </c>
      <c r="C1203" s="222" t="s">
        <v>2808</v>
      </c>
      <c r="D1203" s="221" t="s">
        <v>205</v>
      </c>
      <c r="E1203" s="221" t="s">
        <v>395</v>
      </c>
      <c r="F1203" s="223">
        <v>0</v>
      </c>
      <c r="G1203" s="221" t="s">
        <v>71</v>
      </c>
      <c r="H1203" s="221" t="s">
        <v>71</v>
      </c>
      <c r="I1203" s="222"/>
    </row>
    <row r="1204" ht="17.25" customHeight="1" spans="1:9" x14ac:dyDescent="0.25">
      <c r="A1204" s="220">
        <v>1245</v>
      </c>
      <c r="B1204" s="221" t="s">
        <v>2809</v>
      </c>
      <c r="C1204" s="222" t="s">
        <v>2810</v>
      </c>
      <c r="D1204" s="221" t="s">
        <v>205</v>
      </c>
      <c r="E1204" s="221" t="s">
        <v>395</v>
      </c>
      <c r="F1204" s="223">
        <v>12000</v>
      </c>
      <c r="G1204" s="221" t="s">
        <v>71</v>
      </c>
      <c r="H1204" s="221" t="s">
        <v>71</v>
      </c>
      <c r="I1204" s="222"/>
    </row>
    <row r="1205" ht="17.25" customHeight="1" spans="1:9" x14ac:dyDescent="0.25">
      <c r="A1205" s="220">
        <v>1246</v>
      </c>
      <c r="B1205" s="221" t="s">
        <v>2811</v>
      </c>
      <c r="C1205" s="222" t="s">
        <v>2812</v>
      </c>
      <c r="D1205" s="221" t="s">
        <v>205</v>
      </c>
      <c r="E1205" s="221" t="s">
        <v>395</v>
      </c>
      <c r="F1205" s="223">
        <v>13000</v>
      </c>
      <c r="G1205" s="221" t="s">
        <v>71</v>
      </c>
      <c r="H1205" s="221" t="s">
        <v>71</v>
      </c>
      <c r="I1205" s="222"/>
    </row>
    <row r="1206" ht="17.25" customHeight="1" spans="1:9" x14ac:dyDescent="0.25">
      <c r="A1206" s="220">
        <v>1247</v>
      </c>
      <c r="B1206" s="221" t="s">
        <v>2813</v>
      </c>
      <c r="C1206" s="222" t="s">
        <v>2814</v>
      </c>
      <c r="D1206" s="221" t="s">
        <v>205</v>
      </c>
      <c r="E1206" s="221" t="s">
        <v>395</v>
      </c>
      <c r="F1206" s="223">
        <v>0</v>
      </c>
      <c r="G1206" s="221" t="s">
        <v>71</v>
      </c>
      <c r="H1206" s="221" t="s">
        <v>71</v>
      </c>
      <c r="I1206" s="222"/>
    </row>
    <row r="1207" ht="17.25" customHeight="1" spans="1:9" x14ac:dyDescent="0.25">
      <c r="A1207" s="220">
        <v>1248</v>
      </c>
      <c r="B1207" s="221" t="s">
        <v>2815</v>
      </c>
      <c r="C1207" s="222" t="s">
        <v>2816</v>
      </c>
      <c r="D1207" s="221" t="s">
        <v>205</v>
      </c>
      <c r="E1207" s="221" t="s">
        <v>395</v>
      </c>
      <c r="F1207" s="223">
        <v>0</v>
      </c>
      <c r="G1207" s="221" t="s">
        <v>71</v>
      </c>
      <c r="H1207" s="221" t="s">
        <v>71</v>
      </c>
      <c r="I1207" s="222"/>
    </row>
    <row r="1208" ht="17.25" customHeight="1" spans="1:9" x14ac:dyDescent="0.25">
      <c r="A1208" s="220">
        <v>1249</v>
      </c>
      <c r="B1208" s="221" t="s">
        <v>2817</v>
      </c>
      <c r="C1208" s="222" t="s">
        <v>2818</v>
      </c>
      <c r="D1208" s="221" t="s">
        <v>205</v>
      </c>
      <c r="E1208" s="221" t="s">
        <v>395</v>
      </c>
      <c r="F1208" s="223">
        <v>0</v>
      </c>
      <c r="G1208" s="221" t="s">
        <v>71</v>
      </c>
      <c r="H1208" s="221" t="s">
        <v>71</v>
      </c>
      <c r="I1208" s="222"/>
    </row>
    <row r="1209" ht="17.25" customHeight="1" spans="1:9" x14ac:dyDescent="0.25">
      <c r="A1209" s="220">
        <v>1250</v>
      </c>
      <c r="B1209" s="221" t="s">
        <v>2819</v>
      </c>
      <c r="C1209" s="222" t="s">
        <v>2820</v>
      </c>
      <c r="D1209" s="221" t="s">
        <v>205</v>
      </c>
      <c r="E1209" s="221" t="s">
        <v>395</v>
      </c>
      <c r="F1209" s="223">
        <v>12000</v>
      </c>
      <c r="G1209" s="221" t="s">
        <v>71</v>
      </c>
      <c r="H1209" s="221" t="s">
        <v>71</v>
      </c>
      <c r="I1209" s="222"/>
    </row>
    <row r="1210" ht="17.25" customHeight="1" spans="1:9" x14ac:dyDescent="0.25">
      <c r="A1210" s="220">
        <v>1251</v>
      </c>
      <c r="B1210" s="221" t="s">
        <v>2821</v>
      </c>
      <c r="C1210" s="222" t="s">
        <v>2822</v>
      </c>
      <c r="D1210" s="221" t="s">
        <v>205</v>
      </c>
      <c r="E1210" s="221" t="s">
        <v>395</v>
      </c>
      <c r="F1210" s="223">
        <v>12000</v>
      </c>
      <c r="G1210" s="221" t="s">
        <v>71</v>
      </c>
      <c r="H1210" s="221" t="s">
        <v>71</v>
      </c>
      <c r="I1210" s="222"/>
    </row>
    <row r="1211" ht="17.25" customHeight="1" spans="1:9" x14ac:dyDescent="0.25">
      <c r="A1211" s="220">
        <v>1252</v>
      </c>
      <c r="B1211" s="221" t="s">
        <v>2823</v>
      </c>
      <c r="C1211" s="222" t="s">
        <v>2824</v>
      </c>
      <c r="D1211" s="221" t="s">
        <v>205</v>
      </c>
      <c r="E1211" s="221" t="s">
        <v>395</v>
      </c>
      <c r="F1211" s="223">
        <v>0</v>
      </c>
      <c r="G1211" s="221" t="s">
        <v>71</v>
      </c>
      <c r="H1211" s="221" t="s">
        <v>71</v>
      </c>
      <c r="I1211" s="222"/>
    </row>
    <row r="1212" ht="17.25" customHeight="1" spans="1:9" x14ac:dyDescent="0.25">
      <c r="A1212" s="220">
        <v>1253</v>
      </c>
      <c r="B1212" s="221" t="s">
        <v>2825</v>
      </c>
      <c r="C1212" s="222" t="s">
        <v>2826</v>
      </c>
      <c r="D1212" s="221" t="s">
        <v>205</v>
      </c>
      <c r="E1212" s="221" t="s">
        <v>395</v>
      </c>
      <c r="F1212" s="223">
        <v>0</v>
      </c>
      <c r="G1212" s="221" t="s">
        <v>71</v>
      </c>
      <c r="H1212" s="221" t="s">
        <v>71</v>
      </c>
      <c r="I1212" s="222"/>
    </row>
    <row r="1213" ht="17.25" customHeight="1" spans="1:9" x14ac:dyDescent="0.25">
      <c r="A1213" s="220">
        <v>1254</v>
      </c>
      <c r="B1213" s="221" t="s">
        <v>2827</v>
      </c>
      <c r="C1213" s="222" t="s">
        <v>2828</v>
      </c>
      <c r="D1213" s="221" t="s">
        <v>205</v>
      </c>
      <c r="E1213" s="221" t="s">
        <v>395</v>
      </c>
      <c r="F1213" s="223">
        <v>0</v>
      </c>
      <c r="G1213" s="221" t="s">
        <v>71</v>
      </c>
      <c r="H1213" s="221" t="s">
        <v>71</v>
      </c>
      <c r="I1213" s="222"/>
    </row>
    <row r="1214" ht="17.25" customHeight="1" spans="1:9" x14ac:dyDescent="0.25">
      <c r="A1214" s="220">
        <v>1255</v>
      </c>
      <c r="B1214" s="221" t="s">
        <v>2829</v>
      </c>
      <c r="C1214" s="222" t="s">
        <v>2830</v>
      </c>
      <c r="D1214" s="221" t="s">
        <v>205</v>
      </c>
      <c r="E1214" s="221" t="s">
        <v>395</v>
      </c>
      <c r="F1214" s="223">
        <v>13000</v>
      </c>
      <c r="G1214" s="221" t="s">
        <v>71</v>
      </c>
      <c r="H1214" s="221" t="s">
        <v>71</v>
      </c>
      <c r="I1214" s="222"/>
    </row>
    <row r="1215" ht="17.25" customHeight="1" spans="1:9" x14ac:dyDescent="0.25">
      <c r="A1215" s="220">
        <v>1256</v>
      </c>
      <c r="B1215" s="221" t="s">
        <v>2831</v>
      </c>
      <c r="C1215" s="222" t="s">
        <v>2832</v>
      </c>
      <c r="D1215" s="221" t="s">
        <v>205</v>
      </c>
      <c r="E1215" s="221" t="s">
        <v>395</v>
      </c>
      <c r="F1215" s="223">
        <v>0</v>
      </c>
      <c r="G1215" s="221" t="s">
        <v>71</v>
      </c>
      <c r="H1215" s="221" t="s">
        <v>71</v>
      </c>
      <c r="I1215" s="222"/>
    </row>
    <row r="1216" ht="17.25" customHeight="1" spans="1:9" x14ac:dyDescent="0.25">
      <c r="A1216" s="220">
        <v>1257</v>
      </c>
      <c r="B1216" s="221" t="s">
        <v>2833</v>
      </c>
      <c r="C1216" s="222" t="s">
        <v>2834</v>
      </c>
      <c r="D1216" s="221" t="s">
        <v>205</v>
      </c>
      <c r="E1216" s="221" t="s">
        <v>395</v>
      </c>
      <c r="F1216" s="223">
        <v>0</v>
      </c>
      <c r="G1216" s="221" t="s">
        <v>71</v>
      </c>
      <c r="H1216" s="221" t="s">
        <v>71</v>
      </c>
      <c r="I1216" s="222"/>
    </row>
    <row r="1217" ht="17.25" customHeight="1" spans="1:9" x14ac:dyDescent="0.25">
      <c r="A1217" s="220">
        <v>1258</v>
      </c>
      <c r="B1217" s="221" t="s">
        <v>2835</v>
      </c>
      <c r="C1217" s="222" t="s">
        <v>2836</v>
      </c>
      <c r="D1217" s="221" t="s">
        <v>205</v>
      </c>
      <c r="E1217" s="221" t="s">
        <v>395</v>
      </c>
      <c r="F1217" s="223">
        <v>0</v>
      </c>
      <c r="G1217" s="221" t="s">
        <v>71</v>
      </c>
      <c r="H1217" s="221" t="s">
        <v>71</v>
      </c>
      <c r="I1217" s="222" t="s">
        <v>2837</v>
      </c>
    </row>
    <row r="1218" ht="17.25" customHeight="1" spans="1:9" x14ac:dyDescent="0.25">
      <c r="A1218" s="220">
        <v>1259</v>
      </c>
      <c r="B1218" s="221" t="s">
        <v>2838</v>
      </c>
      <c r="C1218" s="222" t="s">
        <v>2839</v>
      </c>
      <c r="D1218" s="221" t="s">
        <v>205</v>
      </c>
      <c r="E1218" s="221" t="s">
        <v>395</v>
      </c>
      <c r="F1218" s="223">
        <v>0</v>
      </c>
      <c r="G1218" s="221" t="s">
        <v>71</v>
      </c>
      <c r="H1218" s="221" t="s">
        <v>71</v>
      </c>
      <c r="I1218" s="222"/>
    </row>
    <row r="1219" ht="17.25" customHeight="1" spans="1:9" x14ac:dyDescent="0.25">
      <c r="A1219" s="220">
        <v>1260</v>
      </c>
      <c r="B1219" s="221" t="s">
        <v>2840</v>
      </c>
      <c r="C1219" s="222" t="s">
        <v>2841</v>
      </c>
      <c r="D1219" s="221" t="s">
        <v>205</v>
      </c>
      <c r="E1219" s="221" t="s">
        <v>395</v>
      </c>
      <c r="F1219" s="223">
        <v>13000</v>
      </c>
      <c r="G1219" s="221" t="s">
        <v>71</v>
      </c>
      <c r="H1219" s="221" t="s">
        <v>71</v>
      </c>
      <c r="I1219" s="222"/>
    </row>
    <row r="1220" ht="17.25" customHeight="1" spans="1:9" x14ac:dyDescent="0.25">
      <c r="A1220" s="220">
        <v>1261</v>
      </c>
      <c r="B1220" s="221" t="s">
        <v>2842</v>
      </c>
      <c r="C1220" s="222" t="s">
        <v>2843</v>
      </c>
      <c r="D1220" s="221" t="s">
        <v>205</v>
      </c>
      <c r="E1220" s="221" t="s">
        <v>395</v>
      </c>
      <c r="F1220" s="223">
        <v>0</v>
      </c>
      <c r="G1220" s="221" t="s">
        <v>71</v>
      </c>
      <c r="H1220" s="221" t="s">
        <v>71</v>
      </c>
      <c r="I1220" s="222"/>
    </row>
    <row r="1221" ht="17.25" customHeight="1" spans="1:9" x14ac:dyDescent="0.25">
      <c r="A1221" s="220">
        <v>1262</v>
      </c>
      <c r="B1221" s="221" t="s">
        <v>2844</v>
      </c>
      <c r="C1221" s="222" t="s">
        <v>2845</v>
      </c>
      <c r="D1221" s="221" t="s">
        <v>205</v>
      </c>
      <c r="E1221" s="221" t="s">
        <v>395</v>
      </c>
      <c r="F1221" s="223">
        <v>0</v>
      </c>
      <c r="G1221" s="221" t="s">
        <v>71</v>
      </c>
      <c r="H1221" s="221" t="s">
        <v>71</v>
      </c>
      <c r="I1221" s="222"/>
    </row>
    <row r="1222" ht="17.25" customHeight="1" spans="1:9" x14ac:dyDescent="0.25">
      <c r="A1222" s="220">
        <v>1263</v>
      </c>
      <c r="B1222" s="221" t="s">
        <v>2846</v>
      </c>
      <c r="C1222" s="222" t="s">
        <v>2847</v>
      </c>
      <c r="D1222" s="221" t="s">
        <v>205</v>
      </c>
      <c r="E1222" s="221" t="s">
        <v>395</v>
      </c>
      <c r="F1222" s="223">
        <v>12000</v>
      </c>
      <c r="G1222" s="221" t="s">
        <v>71</v>
      </c>
      <c r="H1222" s="221" t="s">
        <v>71</v>
      </c>
      <c r="I1222" s="222"/>
    </row>
    <row r="1223" ht="17.25" customHeight="1" spans="1:9" x14ac:dyDescent="0.25">
      <c r="A1223" s="220">
        <v>1264</v>
      </c>
      <c r="B1223" s="221" t="s">
        <v>2848</v>
      </c>
      <c r="C1223" s="222" t="s">
        <v>2849</v>
      </c>
      <c r="D1223" s="221" t="s">
        <v>205</v>
      </c>
      <c r="E1223" s="221" t="s">
        <v>395</v>
      </c>
      <c r="F1223" s="223">
        <v>15500</v>
      </c>
      <c r="G1223" s="221" t="s">
        <v>71</v>
      </c>
      <c r="H1223" s="221" t="s">
        <v>71</v>
      </c>
      <c r="I1223" s="222"/>
    </row>
    <row r="1224" ht="17.25" customHeight="1" spans="1:9" x14ac:dyDescent="0.25">
      <c r="A1224" s="220">
        <v>1265</v>
      </c>
      <c r="B1224" s="221" t="s">
        <v>2850</v>
      </c>
      <c r="C1224" s="222" t="s">
        <v>2851</v>
      </c>
      <c r="D1224" s="221" t="s">
        <v>205</v>
      </c>
      <c r="E1224" s="221" t="s">
        <v>395</v>
      </c>
      <c r="F1224" s="223">
        <v>0</v>
      </c>
      <c r="G1224" s="221" t="s">
        <v>71</v>
      </c>
      <c r="H1224" s="221" t="s">
        <v>71</v>
      </c>
      <c r="I1224" s="222"/>
    </row>
    <row r="1225" ht="17.25" customHeight="1" spans="1:9" x14ac:dyDescent="0.25">
      <c r="A1225" s="220">
        <v>1266</v>
      </c>
      <c r="B1225" s="221" t="s">
        <v>2852</v>
      </c>
      <c r="C1225" s="222" t="s">
        <v>2853</v>
      </c>
      <c r="D1225" s="221" t="s">
        <v>205</v>
      </c>
      <c r="E1225" s="221" t="s">
        <v>395</v>
      </c>
      <c r="F1225" s="223">
        <v>0</v>
      </c>
      <c r="G1225" s="221" t="s">
        <v>71</v>
      </c>
      <c r="H1225" s="221" t="s">
        <v>71</v>
      </c>
      <c r="I1225" s="222"/>
    </row>
    <row r="1226" ht="17.25" customHeight="1" spans="1:9" x14ac:dyDescent="0.25">
      <c r="A1226" s="220">
        <v>1267</v>
      </c>
      <c r="B1226" s="221" t="s">
        <v>2854</v>
      </c>
      <c r="C1226" s="222" t="s">
        <v>2855</v>
      </c>
      <c r="D1226" s="221" t="s">
        <v>205</v>
      </c>
      <c r="E1226" s="221" t="s">
        <v>395</v>
      </c>
      <c r="F1226" s="223">
        <v>13500</v>
      </c>
      <c r="G1226" s="221" t="s">
        <v>71</v>
      </c>
      <c r="H1226" s="221" t="s">
        <v>71</v>
      </c>
      <c r="I1226" s="222"/>
    </row>
    <row r="1227" ht="17.25" customHeight="1" spans="1:9" x14ac:dyDescent="0.25">
      <c r="A1227" s="220">
        <v>1268</v>
      </c>
      <c r="B1227" s="221" t="s">
        <v>2856</v>
      </c>
      <c r="C1227" s="222" t="s">
        <v>2857</v>
      </c>
      <c r="D1227" s="221" t="s">
        <v>205</v>
      </c>
      <c r="E1227" s="221" t="s">
        <v>395</v>
      </c>
      <c r="F1227" s="223">
        <v>13500</v>
      </c>
      <c r="G1227" s="221" t="s">
        <v>71</v>
      </c>
      <c r="H1227" s="221" t="s">
        <v>71</v>
      </c>
      <c r="I1227" s="222"/>
    </row>
    <row r="1228" ht="17.25" customHeight="1" spans="1:9" x14ac:dyDescent="0.25">
      <c r="A1228" s="220">
        <v>1269</v>
      </c>
      <c r="B1228" s="221" t="s">
        <v>2858</v>
      </c>
      <c r="C1228" s="222" t="s">
        <v>2859</v>
      </c>
      <c r="D1228" s="221" t="s">
        <v>205</v>
      </c>
      <c r="E1228" s="221" t="s">
        <v>395</v>
      </c>
      <c r="F1228" s="223">
        <v>0</v>
      </c>
      <c r="G1228" s="221" t="s">
        <v>71</v>
      </c>
      <c r="H1228" s="221" t="s">
        <v>71</v>
      </c>
      <c r="I1228" s="222"/>
    </row>
    <row r="1229" ht="17.25" customHeight="1" spans="1:9" x14ac:dyDescent="0.25">
      <c r="A1229" s="220">
        <v>1270</v>
      </c>
      <c r="B1229" s="221" t="s">
        <v>2860</v>
      </c>
      <c r="C1229" s="222" t="s">
        <v>2861</v>
      </c>
      <c r="D1229" s="221" t="s">
        <v>205</v>
      </c>
      <c r="E1229" s="221" t="s">
        <v>395</v>
      </c>
      <c r="F1229" s="223">
        <v>13500</v>
      </c>
      <c r="G1229" s="221" t="s">
        <v>71</v>
      </c>
      <c r="H1229" s="221" t="s">
        <v>71</v>
      </c>
      <c r="I1229" s="222"/>
    </row>
    <row r="1230" ht="17.25" customHeight="1" spans="1:9" x14ac:dyDescent="0.25">
      <c r="A1230" s="220">
        <v>1271</v>
      </c>
      <c r="B1230" s="221" t="s">
        <v>2862</v>
      </c>
      <c r="C1230" s="222" t="s">
        <v>2863</v>
      </c>
      <c r="D1230" s="221" t="s">
        <v>205</v>
      </c>
      <c r="E1230" s="221" t="s">
        <v>395</v>
      </c>
      <c r="F1230" s="223">
        <v>0</v>
      </c>
      <c r="G1230" s="221" t="s">
        <v>71</v>
      </c>
      <c r="H1230" s="221" t="s">
        <v>71</v>
      </c>
      <c r="I1230" s="222"/>
    </row>
    <row r="1231" ht="17.25" customHeight="1" spans="1:9" x14ac:dyDescent="0.25">
      <c r="A1231" s="220">
        <v>1272</v>
      </c>
      <c r="B1231" s="221" t="s">
        <v>2864</v>
      </c>
      <c r="C1231" s="222" t="s">
        <v>2865</v>
      </c>
      <c r="D1231" s="221" t="s">
        <v>205</v>
      </c>
      <c r="E1231" s="221" t="s">
        <v>395</v>
      </c>
      <c r="F1231" s="223">
        <v>0</v>
      </c>
      <c r="G1231" s="221" t="s">
        <v>71</v>
      </c>
      <c r="H1231" s="221" t="s">
        <v>71</v>
      </c>
      <c r="I1231" s="222"/>
    </row>
    <row r="1232" ht="17.25" customHeight="1" spans="1:9" x14ac:dyDescent="0.25">
      <c r="A1232" s="220">
        <v>1273</v>
      </c>
      <c r="B1232" s="221" t="s">
        <v>2866</v>
      </c>
      <c r="C1232" s="222" t="s">
        <v>2867</v>
      </c>
      <c r="D1232" s="221" t="s">
        <v>205</v>
      </c>
      <c r="E1232" s="221" t="s">
        <v>395</v>
      </c>
      <c r="F1232" s="223">
        <v>13000</v>
      </c>
      <c r="G1232" s="221" t="s">
        <v>71</v>
      </c>
      <c r="H1232" s="221" t="s">
        <v>71</v>
      </c>
      <c r="I1232" s="222"/>
    </row>
    <row r="1233" ht="17.25" customHeight="1" spans="1:9" x14ac:dyDescent="0.25">
      <c r="A1233" s="220">
        <v>1274</v>
      </c>
      <c r="B1233" s="221" t="s">
        <v>2868</v>
      </c>
      <c r="C1233" s="222" t="s">
        <v>2869</v>
      </c>
      <c r="D1233" s="221" t="s">
        <v>205</v>
      </c>
      <c r="E1233" s="221" t="s">
        <v>395</v>
      </c>
      <c r="F1233" s="223">
        <v>0</v>
      </c>
      <c r="G1233" s="221" t="s">
        <v>71</v>
      </c>
      <c r="H1233" s="221" t="s">
        <v>71</v>
      </c>
      <c r="I1233" s="222"/>
    </row>
    <row r="1234" ht="17.25" customHeight="1" spans="1:9" x14ac:dyDescent="0.25">
      <c r="A1234" s="220">
        <v>1275</v>
      </c>
      <c r="B1234" s="221" t="s">
        <v>2870</v>
      </c>
      <c r="C1234" s="222" t="s">
        <v>2871</v>
      </c>
      <c r="D1234" s="221" t="s">
        <v>205</v>
      </c>
      <c r="E1234" s="221" t="s">
        <v>395</v>
      </c>
      <c r="F1234" s="223">
        <v>0</v>
      </c>
      <c r="G1234" s="221" t="s">
        <v>71</v>
      </c>
      <c r="H1234" s="221" t="s">
        <v>71</v>
      </c>
      <c r="I1234" s="222"/>
    </row>
    <row r="1235" ht="17.25" customHeight="1" spans="1:9" x14ac:dyDescent="0.25">
      <c r="A1235" s="220">
        <v>1276</v>
      </c>
      <c r="B1235" s="221" t="s">
        <v>2872</v>
      </c>
      <c r="C1235" s="222" t="s">
        <v>2873</v>
      </c>
      <c r="D1235" s="221" t="s">
        <v>205</v>
      </c>
      <c r="E1235" s="221" t="s">
        <v>395</v>
      </c>
      <c r="F1235" s="223">
        <v>12500</v>
      </c>
      <c r="G1235" s="221" t="s">
        <v>71</v>
      </c>
      <c r="H1235" s="221" t="s">
        <v>71</v>
      </c>
      <c r="I1235" s="222"/>
    </row>
    <row r="1236" ht="17.25" customHeight="1" spans="1:9" x14ac:dyDescent="0.25">
      <c r="A1236" s="220">
        <v>1277</v>
      </c>
      <c r="B1236" s="221" t="s">
        <v>2874</v>
      </c>
      <c r="C1236" s="222" t="s">
        <v>2875</v>
      </c>
      <c r="D1236" s="221" t="s">
        <v>205</v>
      </c>
      <c r="E1236" s="221" t="s">
        <v>395</v>
      </c>
      <c r="F1236" s="223">
        <v>13500</v>
      </c>
      <c r="G1236" s="221" t="s">
        <v>71</v>
      </c>
      <c r="H1236" s="221" t="s">
        <v>71</v>
      </c>
      <c r="I1236" s="222"/>
    </row>
    <row r="1237" ht="17.25" customHeight="1" spans="1:9" x14ac:dyDescent="0.25">
      <c r="A1237" s="220">
        <v>1278</v>
      </c>
      <c r="B1237" s="221" t="s">
        <v>2876</v>
      </c>
      <c r="C1237" s="222" t="s">
        <v>2877</v>
      </c>
      <c r="D1237" s="221" t="s">
        <v>205</v>
      </c>
      <c r="E1237" s="221" t="s">
        <v>395</v>
      </c>
      <c r="F1237" s="223">
        <v>0</v>
      </c>
      <c r="G1237" s="221" t="s">
        <v>71</v>
      </c>
      <c r="H1237" s="221" t="s">
        <v>71</v>
      </c>
      <c r="I1237" s="222"/>
    </row>
    <row r="1238" ht="17.25" customHeight="1" spans="1:9" x14ac:dyDescent="0.25">
      <c r="A1238" s="220">
        <v>1279</v>
      </c>
      <c r="B1238" s="221" t="s">
        <v>2878</v>
      </c>
      <c r="C1238" s="222" t="s">
        <v>2879</v>
      </c>
      <c r="D1238" s="221" t="s">
        <v>205</v>
      </c>
      <c r="E1238" s="221" t="s">
        <v>395</v>
      </c>
      <c r="F1238" s="223">
        <v>0</v>
      </c>
      <c r="G1238" s="221" t="s">
        <v>71</v>
      </c>
      <c r="H1238" s="221" t="s">
        <v>71</v>
      </c>
      <c r="I1238" s="222"/>
    </row>
    <row r="1239" ht="17.25" customHeight="1" spans="1:9" x14ac:dyDescent="0.25">
      <c r="A1239" s="220">
        <v>1280</v>
      </c>
      <c r="B1239" s="221" t="s">
        <v>2880</v>
      </c>
      <c r="C1239" s="222" t="s">
        <v>2881</v>
      </c>
      <c r="D1239" s="221" t="s">
        <v>205</v>
      </c>
      <c r="E1239" s="221" t="s">
        <v>395</v>
      </c>
      <c r="F1239" s="223">
        <v>12500</v>
      </c>
      <c r="G1239" s="221" t="s">
        <v>71</v>
      </c>
      <c r="H1239" s="221" t="s">
        <v>71</v>
      </c>
      <c r="I1239" s="222"/>
    </row>
    <row r="1240" ht="17.25" customHeight="1" spans="1:9" x14ac:dyDescent="0.25">
      <c r="A1240" s="220">
        <v>1281</v>
      </c>
      <c r="B1240" s="221" t="s">
        <v>2882</v>
      </c>
      <c r="C1240" s="222" t="s">
        <v>2883</v>
      </c>
      <c r="D1240" s="221" t="s">
        <v>205</v>
      </c>
      <c r="E1240" s="221" t="s">
        <v>395</v>
      </c>
      <c r="F1240" s="223">
        <v>13000</v>
      </c>
      <c r="G1240" s="221" t="s">
        <v>71</v>
      </c>
      <c r="H1240" s="221" t="s">
        <v>71</v>
      </c>
      <c r="I1240" s="222"/>
    </row>
    <row r="1241" ht="17.25" customHeight="1" spans="1:9" x14ac:dyDescent="0.25">
      <c r="A1241" s="220">
        <v>1282</v>
      </c>
      <c r="B1241" s="221" t="s">
        <v>2884</v>
      </c>
      <c r="C1241" s="222" t="s">
        <v>2885</v>
      </c>
      <c r="D1241" s="221" t="s">
        <v>205</v>
      </c>
      <c r="E1241" s="221" t="s">
        <v>395</v>
      </c>
      <c r="F1241" s="223">
        <v>0</v>
      </c>
      <c r="G1241" s="221" t="s">
        <v>71</v>
      </c>
      <c r="H1241" s="221" t="s">
        <v>71</v>
      </c>
      <c r="I1241" s="222"/>
    </row>
    <row r="1242" ht="17.25" customHeight="1" spans="1:9" x14ac:dyDescent="0.25">
      <c r="A1242" s="220">
        <v>1283</v>
      </c>
      <c r="B1242" s="221" t="s">
        <v>2886</v>
      </c>
      <c r="C1242" s="222" t="s">
        <v>2887</v>
      </c>
      <c r="D1242" s="221" t="s">
        <v>205</v>
      </c>
      <c r="E1242" s="221" t="s">
        <v>395</v>
      </c>
      <c r="F1242" s="223">
        <v>12500</v>
      </c>
      <c r="G1242" s="221" t="s">
        <v>71</v>
      </c>
      <c r="H1242" s="221" t="s">
        <v>71</v>
      </c>
      <c r="I1242" s="222"/>
    </row>
    <row r="1243" ht="17.25" customHeight="1" spans="1:9" x14ac:dyDescent="0.25">
      <c r="A1243" s="220">
        <v>1284</v>
      </c>
      <c r="B1243" s="221" t="s">
        <v>2888</v>
      </c>
      <c r="C1243" s="222" t="s">
        <v>2889</v>
      </c>
      <c r="D1243" s="221" t="s">
        <v>205</v>
      </c>
      <c r="E1243" s="221" t="s">
        <v>395</v>
      </c>
      <c r="F1243" s="223">
        <v>0</v>
      </c>
      <c r="G1243" s="221" t="s">
        <v>71</v>
      </c>
      <c r="H1243" s="221" t="s">
        <v>71</v>
      </c>
      <c r="I1243" s="222"/>
    </row>
    <row r="1244" ht="17.25" customHeight="1" spans="1:9" x14ac:dyDescent="0.25">
      <c r="A1244" s="220">
        <v>1285</v>
      </c>
      <c r="B1244" s="221" t="s">
        <v>2890</v>
      </c>
      <c r="C1244" s="222" t="s">
        <v>2891</v>
      </c>
      <c r="D1244" s="221" t="s">
        <v>205</v>
      </c>
      <c r="E1244" s="221" t="s">
        <v>395</v>
      </c>
      <c r="F1244" s="223">
        <v>0</v>
      </c>
      <c r="G1244" s="221" t="s">
        <v>71</v>
      </c>
      <c r="H1244" s="221" t="s">
        <v>71</v>
      </c>
      <c r="I1244" s="222"/>
    </row>
    <row r="1245" ht="17.25" customHeight="1" spans="1:9" x14ac:dyDescent="0.25">
      <c r="A1245" s="220">
        <v>1286</v>
      </c>
      <c r="B1245" s="221" t="s">
        <v>2892</v>
      </c>
      <c r="C1245" s="222" t="s">
        <v>2893</v>
      </c>
      <c r="D1245" s="221" t="s">
        <v>205</v>
      </c>
      <c r="E1245" s="221" t="s">
        <v>395</v>
      </c>
      <c r="F1245" s="223">
        <v>0</v>
      </c>
      <c r="G1245" s="221" t="s">
        <v>71</v>
      </c>
      <c r="H1245" s="221" t="s">
        <v>71</v>
      </c>
      <c r="I1245" s="222"/>
    </row>
    <row r="1246" ht="17.25" customHeight="1" spans="1:9" x14ac:dyDescent="0.25">
      <c r="A1246" s="220">
        <v>1287</v>
      </c>
      <c r="B1246" s="221" t="s">
        <v>2894</v>
      </c>
      <c r="C1246" s="222" t="s">
        <v>2895</v>
      </c>
      <c r="D1246" s="221" t="s">
        <v>205</v>
      </c>
      <c r="E1246" s="221" t="s">
        <v>395</v>
      </c>
      <c r="F1246" s="223">
        <v>13000</v>
      </c>
      <c r="G1246" s="221" t="s">
        <v>71</v>
      </c>
      <c r="H1246" s="221" t="s">
        <v>71</v>
      </c>
      <c r="I1246" s="222"/>
    </row>
    <row r="1247" ht="17.25" customHeight="1" spans="1:9" x14ac:dyDescent="0.25">
      <c r="A1247" s="220">
        <v>1288</v>
      </c>
      <c r="B1247" s="221" t="s">
        <v>2896</v>
      </c>
      <c r="C1247" s="222" t="s">
        <v>2897</v>
      </c>
      <c r="D1247" s="221" t="s">
        <v>205</v>
      </c>
      <c r="E1247" s="221" t="s">
        <v>395</v>
      </c>
      <c r="F1247" s="223">
        <v>0</v>
      </c>
      <c r="G1247" s="221" t="s">
        <v>71</v>
      </c>
      <c r="H1247" s="221" t="s">
        <v>71</v>
      </c>
      <c r="I1247" s="222"/>
    </row>
    <row r="1248" ht="17.25" customHeight="1" spans="1:9" x14ac:dyDescent="0.25">
      <c r="A1248" s="220">
        <v>1289</v>
      </c>
      <c r="B1248" s="221" t="s">
        <v>2898</v>
      </c>
      <c r="C1248" s="222" t="s">
        <v>2899</v>
      </c>
      <c r="D1248" s="221" t="s">
        <v>205</v>
      </c>
      <c r="E1248" s="221" t="s">
        <v>395</v>
      </c>
      <c r="F1248" s="223">
        <v>0</v>
      </c>
      <c r="G1248" s="221" t="s">
        <v>71</v>
      </c>
      <c r="H1248" s="221" t="s">
        <v>71</v>
      </c>
      <c r="I1248" s="222"/>
    </row>
    <row r="1249" ht="17.25" customHeight="1" spans="1:9" x14ac:dyDescent="0.25">
      <c r="A1249" s="220">
        <v>1290</v>
      </c>
      <c r="B1249" s="221" t="s">
        <v>2900</v>
      </c>
      <c r="C1249" s="222" t="s">
        <v>2901</v>
      </c>
      <c r="D1249" s="221" t="s">
        <v>205</v>
      </c>
      <c r="E1249" s="221" t="s">
        <v>395</v>
      </c>
      <c r="F1249" s="223">
        <v>12500</v>
      </c>
      <c r="G1249" s="221" t="s">
        <v>71</v>
      </c>
      <c r="H1249" s="221" t="s">
        <v>71</v>
      </c>
      <c r="I1249" s="222"/>
    </row>
    <row r="1250" ht="17.25" customHeight="1" spans="1:9" x14ac:dyDescent="0.25">
      <c r="A1250" s="220">
        <v>1291</v>
      </c>
      <c r="B1250" s="221" t="s">
        <v>2902</v>
      </c>
      <c r="C1250" s="222" t="s">
        <v>2903</v>
      </c>
      <c r="D1250" s="221" t="s">
        <v>205</v>
      </c>
      <c r="E1250" s="221" t="s">
        <v>395</v>
      </c>
      <c r="F1250" s="223">
        <v>0</v>
      </c>
      <c r="G1250" s="221" t="s">
        <v>71</v>
      </c>
      <c r="H1250" s="221" t="s">
        <v>71</v>
      </c>
      <c r="I1250" s="222"/>
    </row>
    <row r="1251" ht="17.25" customHeight="1" spans="1:9" x14ac:dyDescent="0.25">
      <c r="A1251" s="220">
        <v>1292</v>
      </c>
      <c r="B1251" s="221" t="s">
        <v>2904</v>
      </c>
      <c r="C1251" s="222" t="s">
        <v>2905</v>
      </c>
      <c r="D1251" s="221" t="s">
        <v>205</v>
      </c>
      <c r="E1251" s="221" t="s">
        <v>395</v>
      </c>
      <c r="F1251" s="223">
        <v>0</v>
      </c>
      <c r="G1251" s="221" t="s">
        <v>71</v>
      </c>
      <c r="H1251" s="221" t="s">
        <v>71</v>
      </c>
      <c r="I1251" s="222"/>
    </row>
    <row r="1252" ht="17.25" customHeight="1" spans="1:9" x14ac:dyDescent="0.25">
      <c r="A1252" s="220">
        <v>1293</v>
      </c>
      <c r="B1252" s="221" t="s">
        <v>2906</v>
      </c>
      <c r="C1252" s="222" t="s">
        <v>2907</v>
      </c>
      <c r="D1252" s="221" t="s">
        <v>205</v>
      </c>
      <c r="E1252" s="221" t="s">
        <v>395</v>
      </c>
      <c r="F1252" s="223">
        <v>0</v>
      </c>
      <c r="G1252" s="221" t="s">
        <v>71</v>
      </c>
      <c r="H1252" s="221" t="s">
        <v>71</v>
      </c>
      <c r="I1252" s="222"/>
    </row>
    <row r="1253" ht="17.25" customHeight="1" spans="1:9" x14ac:dyDescent="0.25">
      <c r="A1253" s="220">
        <v>1294</v>
      </c>
      <c r="B1253" s="221" t="s">
        <v>2908</v>
      </c>
      <c r="C1253" s="222" t="s">
        <v>2909</v>
      </c>
      <c r="D1253" s="221" t="s">
        <v>205</v>
      </c>
      <c r="E1253" s="221" t="s">
        <v>395</v>
      </c>
      <c r="F1253" s="223">
        <v>0</v>
      </c>
      <c r="G1253" s="221" t="s">
        <v>71</v>
      </c>
      <c r="H1253" s="221" t="s">
        <v>71</v>
      </c>
      <c r="I1253" s="222"/>
    </row>
    <row r="1254" ht="17.25" customHeight="1" spans="1:9" x14ac:dyDescent="0.25">
      <c r="A1254" s="220">
        <v>1295</v>
      </c>
      <c r="B1254" s="221" t="s">
        <v>2910</v>
      </c>
      <c r="C1254" s="222" t="s">
        <v>2911</v>
      </c>
      <c r="D1254" s="221" t="s">
        <v>205</v>
      </c>
      <c r="E1254" s="221" t="s">
        <v>395</v>
      </c>
      <c r="F1254" s="223">
        <v>0</v>
      </c>
      <c r="G1254" s="221" t="s">
        <v>71</v>
      </c>
      <c r="H1254" s="221" t="s">
        <v>71</v>
      </c>
      <c r="I1254" s="222"/>
    </row>
    <row r="1255" ht="17.25" customHeight="1" spans="1:9" x14ac:dyDescent="0.25">
      <c r="A1255" s="220">
        <v>1296</v>
      </c>
      <c r="B1255" s="221" t="s">
        <v>2912</v>
      </c>
      <c r="C1255" s="222" t="s">
        <v>2913</v>
      </c>
      <c r="D1255" s="221" t="s">
        <v>205</v>
      </c>
      <c r="E1255" s="221" t="s">
        <v>395</v>
      </c>
      <c r="F1255" s="223">
        <v>0</v>
      </c>
      <c r="G1255" s="221" t="s">
        <v>71</v>
      </c>
      <c r="H1255" s="221" t="s">
        <v>71</v>
      </c>
      <c r="I1255" s="222"/>
    </row>
    <row r="1256" ht="17.25" customHeight="1" spans="1:9" x14ac:dyDescent="0.25">
      <c r="A1256" s="220">
        <v>1297</v>
      </c>
      <c r="B1256" s="221" t="s">
        <v>2914</v>
      </c>
      <c r="C1256" s="222" t="s">
        <v>2915</v>
      </c>
      <c r="D1256" s="221" t="s">
        <v>205</v>
      </c>
      <c r="E1256" s="221" t="s">
        <v>395</v>
      </c>
      <c r="F1256" s="223">
        <v>0</v>
      </c>
      <c r="G1256" s="221" t="s">
        <v>71</v>
      </c>
      <c r="H1256" s="221" t="s">
        <v>71</v>
      </c>
      <c r="I1256" s="222"/>
    </row>
    <row r="1257" ht="17.25" customHeight="1" spans="1:9" x14ac:dyDescent="0.25">
      <c r="A1257" s="220">
        <v>1298</v>
      </c>
      <c r="B1257" s="221" t="s">
        <v>2916</v>
      </c>
      <c r="C1257" s="222" t="s">
        <v>2917</v>
      </c>
      <c r="D1257" s="221" t="s">
        <v>205</v>
      </c>
      <c r="E1257" s="221" t="s">
        <v>395</v>
      </c>
      <c r="F1257" s="223">
        <v>12500</v>
      </c>
      <c r="G1257" s="221" t="s">
        <v>71</v>
      </c>
      <c r="H1257" s="221" t="s">
        <v>71</v>
      </c>
      <c r="I1257" s="222"/>
    </row>
    <row r="1258" ht="17.25" customHeight="1" spans="1:9" x14ac:dyDescent="0.25">
      <c r="A1258" s="220">
        <v>1299</v>
      </c>
      <c r="B1258" s="221" t="s">
        <v>2918</v>
      </c>
      <c r="C1258" s="222" t="s">
        <v>2919</v>
      </c>
      <c r="D1258" s="221" t="s">
        <v>205</v>
      </c>
      <c r="E1258" s="221" t="s">
        <v>395</v>
      </c>
      <c r="F1258" s="223">
        <v>0</v>
      </c>
      <c r="G1258" s="221" t="s">
        <v>71</v>
      </c>
      <c r="H1258" s="221" t="s">
        <v>71</v>
      </c>
      <c r="I1258" s="222"/>
    </row>
    <row r="1259" ht="17.25" customHeight="1" spans="1:9" x14ac:dyDescent="0.25">
      <c r="A1259" s="220">
        <v>1300</v>
      </c>
      <c r="B1259" s="221" t="s">
        <v>2920</v>
      </c>
      <c r="C1259" s="222" t="s">
        <v>2921</v>
      </c>
      <c r="D1259" s="221" t="s">
        <v>205</v>
      </c>
      <c r="E1259" s="221" t="s">
        <v>395</v>
      </c>
      <c r="F1259" s="223">
        <v>12500</v>
      </c>
      <c r="G1259" s="221" t="s">
        <v>71</v>
      </c>
      <c r="H1259" s="221" t="s">
        <v>71</v>
      </c>
      <c r="I1259" s="222" t="s">
        <v>2922</v>
      </c>
    </row>
    <row r="1260" ht="17.25" customHeight="1" spans="1:9" x14ac:dyDescent="0.25">
      <c r="A1260" s="220">
        <v>1301</v>
      </c>
      <c r="B1260" s="221" t="s">
        <v>2923</v>
      </c>
      <c r="C1260" s="222" t="s">
        <v>2924</v>
      </c>
      <c r="D1260" s="221" t="s">
        <v>205</v>
      </c>
      <c r="E1260" s="221" t="s">
        <v>395</v>
      </c>
      <c r="F1260" s="223">
        <v>0</v>
      </c>
      <c r="G1260" s="221" t="s">
        <v>71</v>
      </c>
      <c r="H1260" s="221" t="s">
        <v>71</v>
      </c>
      <c r="I1260" s="222"/>
    </row>
    <row r="1261" ht="17.25" customHeight="1" spans="1:9" x14ac:dyDescent="0.25">
      <c r="A1261" s="220">
        <v>1302</v>
      </c>
      <c r="B1261" s="221" t="s">
        <v>2925</v>
      </c>
      <c r="C1261" s="222" t="s">
        <v>2926</v>
      </c>
      <c r="D1261" s="221" t="s">
        <v>205</v>
      </c>
      <c r="E1261" s="221" t="s">
        <v>395</v>
      </c>
      <c r="F1261" s="223">
        <v>0</v>
      </c>
      <c r="G1261" s="221" t="s">
        <v>71</v>
      </c>
      <c r="H1261" s="221" t="s">
        <v>71</v>
      </c>
      <c r="I1261" s="222"/>
    </row>
    <row r="1262" ht="17.25" customHeight="1" spans="1:9" x14ac:dyDescent="0.25">
      <c r="A1262" s="220">
        <v>1303</v>
      </c>
      <c r="B1262" s="221" t="s">
        <v>2927</v>
      </c>
      <c r="C1262" s="222" t="s">
        <v>2928</v>
      </c>
      <c r="D1262" s="221" t="s">
        <v>205</v>
      </c>
      <c r="E1262" s="221" t="s">
        <v>395</v>
      </c>
      <c r="F1262" s="223">
        <v>0</v>
      </c>
      <c r="G1262" s="221" t="s">
        <v>71</v>
      </c>
      <c r="H1262" s="221" t="s">
        <v>71</v>
      </c>
      <c r="I1262" s="222"/>
    </row>
    <row r="1263" ht="17.25" customHeight="1" spans="1:9" x14ac:dyDescent="0.25">
      <c r="A1263" s="220">
        <v>1304</v>
      </c>
      <c r="B1263" s="221" t="s">
        <v>2929</v>
      </c>
      <c r="C1263" s="222" t="s">
        <v>2930</v>
      </c>
      <c r="D1263" s="221" t="s">
        <v>205</v>
      </c>
      <c r="E1263" s="221" t="s">
        <v>395</v>
      </c>
      <c r="F1263" s="223">
        <v>13500</v>
      </c>
      <c r="G1263" s="221" t="s">
        <v>71</v>
      </c>
      <c r="H1263" s="221" t="s">
        <v>71</v>
      </c>
      <c r="I1263" s="222"/>
    </row>
    <row r="1264" ht="17.25" customHeight="1" spans="1:9" x14ac:dyDescent="0.25">
      <c r="A1264" s="220">
        <v>1305</v>
      </c>
      <c r="B1264" s="221" t="s">
        <v>2931</v>
      </c>
      <c r="C1264" s="222" t="s">
        <v>2932</v>
      </c>
      <c r="D1264" s="221" t="s">
        <v>205</v>
      </c>
      <c r="E1264" s="221" t="s">
        <v>395</v>
      </c>
      <c r="F1264" s="223">
        <v>13000</v>
      </c>
      <c r="G1264" s="221" t="s">
        <v>71</v>
      </c>
      <c r="H1264" s="221" t="s">
        <v>71</v>
      </c>
      <c r="I1264" s="222"/>
    </row>
    <row r="1265" ht="17.25" customHeight="1" spans="1:9" x14ac:dyDescent="0.25">
      <c r="A1265" s="220">
        <v>1306</v>
      </c>
      <c r="B1265" s="221" t="s">
        <v>2933</v>
      </c>
      <c r="C1265" s="222" t="s">
        <v>2934</v>
      </c>
      <c r="D1265" s="221" t="s">
        <v>205</v>
      </c>
      <c r="E1265" s="221" t="s">
        <v>395</v>
      </c>
      <c r="F1265" s="223">
        <v>11000</v>
      </c>
      <c r="G1265" s="221" t="s">
        <v>71</v>
      </c>
      <c r="H1265" s="221" t="s">
        <v>71</v>
      </c>
      <c r="I1265" s="222"/>
    </row>
    <row r="1266" ht="17.25" customHeight="1" spans="1:9" x14ac:dyDescent="0.25">
      <c r="A1266" s="220">
        <v>1307</v>
      </c>
      <c r="B1266" s="221" t="s">
        <v>2935</v>
      </c>
      <c r="C1266" s="222" t="s">
        <v>2936</v>
      </c>
      <c r="D1266" s="221" t="s">
        <v>205</v>
      </c>
      <c r="E1266" s="221" t="s">
        <v>395</v>
      </c>
      <c r="F1266" s="223">
        <v>17000</v>
      </c>
      <c r="G1266" s="221" t="s">
        <v>71</v>
      </c>
      <c r="H1266" s="221" t="s">
        <v>71</v>
      </c>
      <c r="I1266" s="222"/>
    </row>
    <row r="1267" ht="17.25" customHeight="1" spans="1:9" x14ac:dyDescent="0.25">
      <c r="A1267" s="220">
        <v>1308</v>
      </c>
      <c r="B1267" s="221" t="s">
        <v>2937</v>
      </c>
      <c r="C1267" s="222" t="s">
        <v>2938</v>
      </c>
      <c r="D1267" s="221" t="s">
        <v>205</v>
      </c>
      <c r="E1267" s="221" t="s">
        <v>395</v>
      </c>
      <c r="F1267" s="223">
        <v>17000</v>
      </c>
      <c r="G1267" s="221" t="s">
        <v>71</v>
      </c>
      <c r="H1267" s="221" t="s">
        <v>71</v>
      </c>
      <c r="I1267" s="222"/>
    </row>
    <row r="1268" ht="17.25" customHeight="1" spans="1:9" x14ac:dyDescent="0.25">
      <c r="A1268" s="220">
        <v>1309</v>
      </c>
      <c r="B1268" s="221" t="s">
        <v>2939</v>
      </c>
      <c r="C1268" s="222" t="s">
        <v>2940</v>
      </c>
      <c r="D1268" s="221" t="s">
        <v>205</v>
      </c>
      <c r="E1268" s="221" t="s">
        <v>395</v>
      </c>
      <c r="F1268" s="223">
        <v>0</v>
      </c>
      <c r="G1268" s="221" t="s">
        <v>71</v>
      </c>
      <c r="H1268" s="221" t="s">
        <v>71</v>
      </c>
      <c r="I1268" s="222"/>
    </row>
    <row r="1269" ht="17.25" customHeight="1" spans="1:9" x14ac:dyDescent="0.25">
      <c r="A1269" s="220">
        <v>1310</v>
      </c>
      <c r="B1269" s="221" t="s">
        <v>2941</v>
      </c>
      <c r="C1269" s="222" t="s">
        <v>2942</v>
      </c>
      <c r="D1269" s="221" t="s">
        <v>205</v>
      </c>
      <c r="E1269" s="221" t="s">
        <v>395</v>
      </c>
      <c r="F1269" s="223">
        <v>13500</v>
      </c>
      <c r="G1269" s="221" t="s">
        <v>71</v>
      </c>
      <c r="H1269" s="221" t="s">
        <v>71</v>
      </c>
      <c r="I1269" s="222"/>
    </row>
    <row r="1270" ht="17.25" customHeight="1" spans="1:9" x14ac:dyDescent="0.25">
      <c r="A1270" s="220">
        <v>1311</v>
      </c>
      <c r="B1270" s="221" t="s">
        <v>2943</v>
      </c>
      <c r="C1270" s="222" t="s">
        <v>2944</v>
      </c>
      <c r="D1270" s="221" t="s">
        <v>205</v>
      </c>
      <c r="E1270" s="221" t="s">
        <v>395</v>
      </c>
      <c r="F1270" s="223">
        <v>13000</v>
      </c>
      <c r="G1270" s="221" t="s">
        <v>71</v>
      </c>
      <c r="H1270" s="221" t="s">
        <v>71</v>
      </c>
      <c r="I1270" s="222"/>
    </row>
    <row r="1271" ht="17.25" customHeight="1" spans="1:9" x14ac:dyDescent="0.25">
      <c r="A1271" s="220">
        <v>1312</v>
      </c>
      <c r="B1271" s="221" t="s">
        <v>2945</v>
      </c>
      <c r="C1271" s="222" t="s">
        <v>2946</v>
      </c>
      <c r="D1271" s="221" t="s">
        <v>205</v>
      </c>
      <c r="E1271" s="221" t="s">
        <v>395</v>
      </c>
      <c r="F1271" s="223">
        <v>17000</v>
      </c>
      <c r="G1271" s="221" t="s">
        <v>71</v>
      </c>
      <c r="H1271" s="221" t="s">
        <v>71</v>
      </c>
      <c r="I1271" s="222"/>
    </row>
    <row r="1272" ht="17.25" customHeight="1" spans="1:9" x14ac:dyDescent="0.25">
      <c r="A1272" s="220">
        <v>1313</v>
      </c>
      <c r="B1272" s="221" t="s">
        <v>2947</v>
      </c>
      <c r="C1272" s="222" t="s">
        <v>2948</v>
      </c>
      <c r="D1272" s="221" t="s">
        <v>205</v>
      </c>
      <c r="E1272" s="221" t="s">
        <v>395</v>
      </c>
      <c r="F1272" s="223">
        <v>17000</v>
      </c>
      <c r="G1272" s="221" t="s">
        <v>71</v>
      </c>
      <c r="H1272" s="221" t="s">
        <v>71</v>
      </c>
      <c r="I1272" s="222"/>
    </row>
    <row r="1273" ht="17.25" customHeight="1" spans="1:9" x14ac:dyDescent="0.25">
      <c r="A1273" s="220">
        <v>1314</v>
      </c>
      <c r="B1273" s="221" t="s">
        <v>2949</v>
      </c>
      <c r="C1273" s="222" t="s">
        <v>2950</v>
      </c>
      <c r="D1273" s="221" t="s">
        <v>205</v>
      </c>
      <c r="E1273" s="221" t="s">
        <v>395</v>
      </c>
      <c r="F1273" s="223">
        <v>17000</v>
      </c>
      <c r="G1273" s="221" t="s">
        <v>71</v>
      </c>
      <c r="H1273" s="221" t="s">
        <v>71</v>
      </c>
      <c r="I1273" s="222"/>
    </row>
    <row r="1274" ht="17.25" customHeight="1" spans="1:9" x14ac:dyDescent="0.25">
      <c r="A1274" s="220">
        <v>1315</v>
      </c>
      <c r="B1274" s="221" t="s">
        <v>2951</v>
      </c>
      <c r="C1274" s="222" t="s">
        <v>2952</v>
      </c>
      <c r="D1274" s="221" t="s">
        <v>205</v>
      </c>
      <c r="E1274" s="221" t="s">
        <v>395</v>
      </c>
      <c r="F1274" s="223">
        <v>0</v>
      </c>
      <c r="G1274" s="221" t="s">
        <v>71</v>
      </c>
      <c r="H1274" s="221" t="s">
        <v>71</v>
      </c>
      <c r="I1274" s="222"/>
    </row>
    <row r="1275" ht="17.25" customHeight="1" spans="1:9" x14ac:dyDescent="0.25">
      <c r="A1275" s="220">
        <v>1316</v>
      </c>
      <c r="B1275" s="221" t="s">
        <v>2953</v>
      </c>
      <c r="C1275" s="222" t="s">
        <v>2954</v>
      </c>
      <c r="D1275" s="221" t="s">
        <v>205</v>
      </c>
      <c r="E1275" s="221" t="s">
        <v>395</v>
      </c>
      <c r="F1275" s="223">
        <v>13500</v>
      </c>
      <c r="G1275" s="221" t="s">
        <v>71</v>
      </c>
      <c r="H1275" s="221" t="s">
        <v>71</v>
      </c>
      <c r="I1275" s="222"/>
    </row>
    <row r="1276" ht="17.25" customHeight="1" spans="1:9" x14ac:dyDescent="0.25">
      <c r="A1276" s="220">
        <v>1317</v>
      </c>
      <c r="B1276" s="221" t="s">
        <v>2955</v>
      </c>
      <c r="C1276" s="222" t="s">
        <v>2956</v>
      </c>
      <c r="D1276" s="221" t="s">
        <v>205</v>
      </c>
      <c r="E1276" s="221" t="s">
        <v>395</v>
      </c>
      <c r="F1276" s="223">
        <v>13000</v>
      </c>
      <c r="G1276" s="221" t="s">
        <v>71</v>
      </c>
      <c r="H1276" s="221" t="s">
        <v>71</v>
      </c>
      <c r="I1276" s="222"/>
    </row>
    <row r="1277" ht="17.25" customHeight="1" spans="1:9" x14ac:dyDescent="0.25">
      <c r="A1277" s="220">
        <v>1318</v>
      </c>
      <c r="B1277" s="221" t="s">
        <v>2957</v>
      </c>
      <c r="C1277" s="222" t="s">
        <v>2958</v>
      </c>
      <c r="D1277" s="221" t="s">
        <v>205</v>
      </c>
      <c r="E1277" s="221" t="s">
        <v>395</v>
      </c>
      <c r="F1277" s="223">
        <v>0</v>
      </c>
      <c r="G1277" s="221" t="s">
        <v>71</v>
      </c>
      <c r="H1277" s="221" t="s">
        <v>71</v>
      </c>
      <c r="I1277" s="222"/>
    </row>
    <row r="1278" ht="17.25" customHeight="1" spans="1:9" x14ac:dyDescent="0.25">
      <c r="A1278" s="220">
        <v>1319</v>
      </c>
      <c r="B1278" s="221" t="s">
        <v>2959</v>
      </c>
      <c r="C1278" s="222" t="s">
        <v>2960</v>
      </c>
      <c r="D1278" s="221" t="s">
        <v>205</v>
      </c>
      <c r="E1278" s="221" t="s">
        <v>395</v>
      </c>
      <c r="F1278" s="223">
        <v>0</v>
      </c>
      <c r="G1278" s="221" t="s">
        <v>71</v>
      </c>
      <c r="H1278" s="221" t="s">
        <v>71</v>
      </c>
      <c r="I1278" s="222"/>
    </row>
    <row r="1279" ht="17.25" customHeight="1" spans="1:9" x14ac:dyDescent="0.25">
      <c r="A1279" s="220">
        <v>1320</v>
      </c>
      <c r="B1279" s="221" t="s">
        <v>2961</v>
      </c>
      <c r="C1279" s="222" t="s">
        <v>2962</v>
      </c>
      <c r="D1279" s="221" t="s">
        <v>205</v>
      </c>
      <c r="E1279" s="221" t="s">
        <v>395</v>
      </c>
      <c r="F1279" s="223">
        <v>0</v>
      </c>
      <c r="G1279" s="221" t="s">
        <v>71</v>
      </c>
      <c r="H1279" s="221" t="s">
        <v>71</v>
      </c>
      <c r="I1279" s="222"/>
    </row>
    <row r="1280" ht="17.25" customHeight="1" spans="1:9" x14ac:dyDescent="0.25">
      <c r="A1280" s="220">
        <v>1321</v>
      </c>
      <c r="B1280" s="221" t="s">
        <v>2963</v>
      </c>
      <c r="C1280" s="222" t="s">
        <v>2964</v>
      </c>
      <c r="D1280" s="221" t="s">
        <v>205</v>
      </c>
      <c r="E1280" s="221" t="s">
        <v>395</v>
      </c>
      <c r="F1280" s="223">
        <v>17000</v>
      </c>
      <c r="G1280" s="221" t="s">
        <v>71</v>
      </c>
      <c r="H1280" s="221" t="s">
        <v>71</v>
      </c>
      <c r="I1280" s="222"/>
    </row>
    <row r="1281" ht="17.25" customHeight="1" spans="1:9" x14ac:dyDescent="0.25">
      <c r="A1281" s="220">
        <v>1322</v>
      </c>
      <c r="B1281" s="221" t="s">
        <v>2965</v>
      </c>
      <c r="C1281" s="222" t="s">
        <v>2966</v>
      </c>
      <c r="D1281" s="221" t="s">
        <v>205</v>
      </c>
      <c r="E1281" s="221" t="s">
        <v>395</v>
      </c>
      <c r="F1281" s="223">
        <v>0</v>
      </c>
      <c r="G1281" s="221" t="s">
        <v>71</v>
      </c>
      <c r="H1281" s="221" t="s">
        <v>71</v>
      </c>
      <c r="I1281" s="222"/>
    </row>
    <row r="1282" ht="17.25" customHeight="1" spans="1:9" x14ac:dyDescent="0.25">
      <c r="A1282" s="220">
        <v>1323</v>
      </c>
      <c r="B1282" s="221" t="s">
        <v>2967</v>
      </c>
      <c r="C1282" s="222" t="s">
        <v>2968</v>
      </c>
      <c r="D1282" s="221" t="s">
        <v>205</v>
      </c>
      <c r="E1282" s="221" t="s">
        <v>395</v>
      </c>
      <c r="F1282" s="223">
        <v>13500</v>
      </c>
      <c r="G1282" s="221" t="s">
        <v>71</v>
      </c>
      <c r="H1282" s="221" t="s">
        <v>71</v>
      </c>
      <c r="I1282" s="222"/>
    </row>
    <row r="1283" ht="17.25" customHeight="1" spans="1:9" x14ac:dyDescent="0.25">
      <c r="A1283" s="220">
        <v>1324</v>
      </c>
      <c r="B1283" s="221" t="s">
        <v>2969</v>
      </c>
      <c r="C1283" s="222" t="s">
        <v>2970</v>
      </c>
      <c r="D1283" s="221" t="s">
        <v>205</v>
      </c>
      <c r="E1283" s="221" t="s">
        <v>395</v>
      </c>
      <c r="F1283" s="223">
        <v>16500</v>
      </c>
      <c r="G1283" s="221" t="s">
        <v>71</v>
      </c>
      <c r="H1283" s="221" t="s">
        <v>71</v>
      </c>
      <c r="I1283" s="222"/>
    </row>
    <row r="1284" ht="17.25" customHeight="1" spans="1:9" x14ac:dyDescent="0.25">
      <c r="A1284" s="220">
        <v>1325</v>
      </c>
      <c r="B1284" s="221" t="s">
        <v>2971</v>
      </c>
      <c r="C1284" s="222" t="s">
        <v>2972</v>
      </c>
      <c r="D1284" s="221" t="s">
        <v>205</v>
      </c>
      <c r="E1284" s="221" t="s">
        <v>395</v>
      </c>
      <c r="F1284" s="223">
        <v>0</v>
      </c>
      <c r="G1284" s="221" t="s">
        <v>71</v>
      </c>
      <c r="H1284" s="221" t="s">
        <v>71</v>
      </c>
      <c r="I1284" s="222"/>
    </row>
    <row r="1285" ht="17.25" customHeight="1" spans="1:9" x14ac:dyDescent="0.25">
      <c r="A1285" s="220">
        <v>1326</v>
      </c>
      <c r="B1285" s="221" t="s">
        <v>2973</v>
      </c>
      <c r="C1285" s="222" t="s">
        <v>2974</v>
      </c>
      <c r="D1285" s="221" t="s">
        <v>205</v>
      </c>
      <c r="E1285" s="221" t="s">
        <v>395</v>
      </c>
      <c r="F1285" s="223">
        <v>0</v>
      </c>
      <c r="G1285" s="221" t="s">
        <v>71</v>
      </c>
      <c r="H1285" s="221" t="s">
        <v>71</v>
      </c>
      <c r="I1285" s="222"/>
    </row>
    <row r="1286" ht="17.25" customHeight="1" spans="1:9" x14ac:dyDescent="0.25">
      <c r="A1286" s="220">
        <v>1327</v>
      </c>
      <c r="B1286" s="221" t="s">
        <v>2975</v>
      </c>
      <c r="C1286" s="222" t="s">
        <v>2976</v>
      </c>
      <c r="D1286" s="221" t="s">
        <v>205</v>
      </c>
      <c r="E1286" s="221" t="s">
        <v>395</v>
      </c>
      <c r="F1286" s="223">
        <v>0</v>
      </c>
      <c r="G1286" s="221" t="s">
        <v>71</v>
      </c>
      <c r="H1286" s="221" t="s">
        <v>71</v>
      </c>
      <c r="I1286" s="222"/>
    </row>
    <row r="1287" ht="17.25" customHeight="1" spans="1:9" x14ac:dyDescent="0.25">
      <c r="A1287" s="220">
        <v>1328</v>
      </c>
      <c r="B1287" s="221" t="s">
        <v>2977</v>
      </c>
      <c r="C1287" s="222" t="s">
        <v>2978</v>
      </c>
      <c r="D1287" s="221" t="s">
        <v>205</v>
      </c>
      <c r="E1287" s="221" t="s">
        <v>395</v>
      </c>
      <c r="F1287" s="223">
        <v>17000</v>
      </c>
      <c r="G1287" s="221" t="s">
        <v>71</v>
      </c>
      <c r="H1287" s="221" t="s">
        <v>71</v>
      </c>
      <c r="I1287" s="222"/>
    </row>
    <row r="1288" ht="17.25" customHeight="1" spans="1:9" x14ac:dyDescent="0.25">
      <c r="A1288" s="220">
        <v>1329</v>
      </c>
      <c r="B1288" s="221" t="s">
        <v>2979</v>
      </c>
      <c r="C1288" s="222" t="s">
        <v>2980</v>
      </c>
      <c r="D1288" s="221" t="s">
        <v>205</v>
      </c>
      <c r="E1288" s="221" t="s">
        <v>395</v>
      </c>
      <c r="F1288" s="223">
        <v>0</v>
      </c>
      <c r="G1288" s="221" t="s">
        <v>71</v>
      </c>
      <c r="H1288" s="221" t="s">
        <v>71</v>
      </c>
      <c r="I1288" s="222"/>
    </row>
    <row r="1289" ht="17.25" customHeight="1" spans="1:9" x14ac:dyDescent="0.25">
      <c r="A1289" s="220">
        <v>1330</v>
      </c>
      <c r="B1289" s="221" t="s">
        <v>2981</v>
      </c>
      <c r="C1289" s="222" t="s">
        <v>2982</v>
      </c>
      <c r="D1289" s="221" t="s">
        <v>205</v>
      </c>
      <c r="E1289" s="221" t="s">
        <v>395</v>
      </c>
      <c r="F1289" s="223">
        <v>12500</v>
      </c>
      <c r="G1289" s="221" t="s">
        <v>71</v>
      </c>
      <c r="H1289" s="221" t="s">
        <v>71</v>
      </c>
      <c r="I1289" s="222"/>
    </row>
    <row r="1290" ht="17.25" customHeight="1" spans="1:9" x14ac:dyDescent="0.25">
      <c r="A1290" s="220">
        <v>1331</v>
      </c>
      <c r="B1290" s="221" t="s">
        <v>2983</v>
      </c>
      <c r="C1290" s="222" t="s">
        <v>2984</v>
      </c>
      <c r="D1290" s="221" t="s">
        <v>205</v>
      </c>
      <c r="E1290" s="221" t="s">
        <v>395</v>
      </c>
      <c r="F1290" s="223">
        <v>15500</v>
      </c>
      <c r="G1290" s="221" t="s">
        <v>71</v>
      </c>
      <c r="H1290" s="221" t="s">
        <v>71</v>
      </c>
      <c r="I1290" s="222"/>
    </row>
    <row r="1291" ht="17.25" customHeight="1" spans="1:9" x14ac:dyDescent="0.25">
      <c r="A1291" s="220">
        <v>1332</v>
      </c>
      <c r="B1291" s="221" t="s">
        <v>2985</v>
      </c>
      <c r="C1291" s="222" t="s">
        <v>2986</v>
      </c>
      <c r="D1291" s="221" t="s">
        <v>205</v>
      </c>
      <c r="E1291" s="221" t="s">
        <v>395</v>
      </c>
      <c r="F1291" s="223">
        <v>15500</v>
      </c>
      <c r="G1291" s="221" t="s">
        <v>71</v>
      </c>
      <c r="H1291" s="221" t="s">
        <v>71</v>
      </c>
      <c r="I1291" s="222"/>
    </row>
    <row r="1292" ht="17.25" customHeight="1" spans="1:9" x14ac:dyDescent="0.25">
      <c r="A1292" s="220">
        <v>1333</v>
      </c>
      <c r="B1292" s="221" t="s">
        <v>2987</v>
      </c>
      <c r="C1292" s="222" t="s">
        <v>2988</v>
      </c>
      <c r="D1292" s="221" t="s">
        <v>205</v>
      </c>
      <c r="E1292" s="221" t="s">
        <v>395</v>
      </c>
      <c r="F1292" s="223">
        <v>15500</v>
      </c>
      <c r="G1292" s="221" t="s">
        <v>71</v>
      </c>
      <c r="H1292" s="221" t="s">
        <v>71</v>
      </c>
      <c r="I1292" s="222"/>
    </row>
    <row r="1293" ht="17.25" customHeight="1" spans="1:9" x14ac:dyDescent="0.25">
      <c r="A1293" s="220">
        <v>1334</v>
      </c>
      <c r="B1293" s="221" t="s">
        <v>2989</v>
      </c>
      <c r="C1293" s="222" t="s">
        <v>2990</v>
      </c>
      <c r="D1293" s="221" t="s">
        <v>205</v>
      </c>
      <c r="E1293" s="221" t="s">
        <v>395</v>
      </c>
      <c r="F1293" s="223">
        <v>13000</v>
      </c>
      <c r="G1293" s="221" t="s">
        <v>71</v>
      </c>
      <c r="H1293" s="221" t="s">
        <v>71</v>
      </c>
      <c r="I1293" s="222"/>
    </row>
    <row r="1294" ht="17.25" customHeight="1" spans="1:9" x14ac:dyDescent="0.25">
      <c r="A1294" s="220">
        <v>1335</v>
      </c>
      <c r="B1294" s="221" t="s">
        <v>2991</v>
      </c>
      <c r="C1294" s="222" t="s">
        <v>2992</v>
      </c>
      <c r="D1294" s="221" t="s">
        <v>205</v>
      </c>
      <c r="E1294" s="221" t="s">
        <v>395</v>
      </c>
      <c r="F1294" s="223">
        <v>13500</v>
      </c>
      <c r="G1294" s="221" t="s">
        <v>71</v>
      </c>
      <c r="H1294" s="221" t="s">
        <v>71</v>
      </c>
      <c r="I1294" s="222"/>
    </row>
    <row r="1295" ht="17.25" customHeight="1" spans="1:9" x14ac:dyDescent="0.25">
      <c r="A1295" s="220">
        <v>1336</v>
      </c>
      <c r="B1295" s="221" t="s">
        <v>2993</v>
      </c>
      <c r="C1295" s="222" t="s">
        <v>2994</v>
      </c>
      <c r="D1295" s="221" t="s">
        <v>205</v>
      </c>
      <c r="E1295" s="221" t="s">
        <v>395</v>
      </c>
      <c r="F1295" s="223">
        <v>15500</v>
      </c>
      <c r="G1295" s="221" t="s">
        <v>71</v>
      </c>
      <c r="H1295" s="221" t="s">
        <v>71</v>
      </c>
      <c r="I1295" s="222"/>
    </row>
    <row r="1296" ht="17.25" customHeight="1" spans="1:9" x14ac:dyDescent="0.25">
      <c r="A1296" s="220">
        <v>1337</v>
      </c>
      <c r="B1296" s="221" t="s">
        <v>2995</v>
      </c>
      <c r="C1296" s="222" t="s">
        <v>2996</v>
      </c>
      <c r="D1296" s="221" t="s">
        <v>205</v>
      </c>
      <c r="E1296" s="221" t="s">
        <v>395</v>
      </c>
      <c r="F1296" s="223">
        <v>12500</v>
      </c>
      <c r="G1296" s="221" t="s">
        <v>71</v>
      </c>
      <c r="H1296" s="221" t="s">
        <v>71</v>
      </c>
      <c r="I1296" s="222"/>
    </row>
    <row r="1297" ht="17.25" customHeight="1" spans="1:9" x14ac:dyDescent="0.25">
      <c r="A1297" s="220">
        <v>1338</v>
      </c>
      <c r="B1297" s="221" t="s">
        <v>2997</v>
      </c>
      <c r="C1297" s="222" t="s">
        <v>2998</v>
      </c>
      <c r="D1297" s="221" t="s">
        <v>205</v>
      </c>
      <c r="E1297" s="221" t="s">
        <v>395</v>
      </c>
      <c r="F1297" s="223">
        <v>17000</v>
      </c>
      <c r="G1297" s="221" t="s">
        <v>71</v>
      </c>
      <c r="H1297" s="221" t="s">
        <v>71</v>
      </c>
      <c r="I1297" s="222"/>
    </row>
    <row r="1298" ht="17.25" customHeight="1" spans="1:9" x14ac:dyDescent="0.25">
      <c r="A1298" s="220">
        <v>1339</v>
      </c>
      <c r="B1298" s="221" t="s">
        <v>2999</v>
      </c>
      <c r="C1298" s="222" t="s">
        <v>3000</v>
      </c>
      <c r="D1298" s="221" t="s">
        <v>205</v>
      </c>
      <c r="E1298" s="221" t="s">
        <v>395</v>
      </c>
      <c r="F1298" s="223">
        <v>17000</v>
      </c>
      <c r="G1298" s="221" t="s">
        <v>71</v>
      </c>
      <c r="H1298" s="221" t="s">
        <v>71</v>
      </c>
      <c r="I1298" s="222"/>
    </row>
    <row r="1299" ht="17.25" customHeight="1" spans="1:9" x14ac:dyDescent="0.25">
      <c r="A1299" s="220">
        <v>1340</v>
      </c>
      <c r="B1299" s="221" t="s">
        <v>3001</v>
      </c>
      <c r="C1299" s="222" t="s">
        <v>3002</v>
      </c>
      <c r="D1299" s="221" t="s">
        <v>205</v>
      </c>
      <c r="E1299" s="221" t="s">
        <v>395</v>
      </c>
      <c r="F1299" s="223">
        <v>17000</v>
      </c>
      <c r="G1299" s="221" t="s">
        <v>71</v>
      </c>
      <c r="H1299" s="221" t="s">
        <v>71</v>
      </c>
      <c r="I1299" s="222"/>
    </row>
    <row r="1300" ht="17.25" customHeight="1" spans="1:9" x14ac:dyDescent="0.25">
      <c r="A1300" s="220">
        <v>1341</v>
      </c>
      <c r="B1300" s="221" t="s">
        <v>3003</v>
      </c>
      <c r="C1300" s="222" t="s">
        <v>3004</v>
      </c>
      <c r="D1300" s="221" t="s">
        <v>205</v>
      </c>
      <c r="E1300" s="221" t="s">
        <v>395</v>
      </c>
      <c r="F1300" s="223">
        <v>12500</v>
      </c>
      <c r="G1300" s="221" t="s">
        <v>71</v>
      </c>
      <c r="H1300" s="221" t="s">
        <v>71</v>
      </c>
      <c r="I1300" s="222"/>
    </row>
    <row r="1301" ht="17.25" customHeight="1" spans="1:9" x14ac:dyDescent="0.25">
      <c r="A1301" s="220">
        <v>1342</v>
      </c>
      <c r="B1301" s="221" t="s">
        <v>3005</v>
      </c>
      <c r="C1301" s="222" t="s">
        <v>3006</v>
      </c>
      <c r="D1301" s="221" t="s">
        <v>205</v>
      </c>
      <c r="E1301" s="221" t="s">
        <v>395</v>
      </c>
      <c r="F1301" s="223">
        <v>17000</v>
      </c>
      <c r="G1301" s="221" t="s">
        <v>71</v>
      </c>
      <c r="H1301" s="221" t="s">
        <v>71</v>
      </c>
      <c r="I1301" s="222"/>
    </row>
    <row r="1302" ht="17.25" customHeight="1" spans="1:9" x14ac:dyDescent="0.25">
      <c r="A1302" s="220">
        <v>1343</v>
      </c>
      <c r="B1302" s="221" t="s">
        <v>3007</v>
      </c>
      <c r="C1302" s="222" t="s">
        <v>3008</v>
      </c>
      <c r="D1302" s="221" t="s">
        <v>205</v>
      </c>
      <c r="E1302" s="221" t="s">
        <v>395</v>
      </c>
      <c r="F1302" s="223">
        <v>13500</v>
      </c>
      <c r="G1302" s="221" t="s">
        <v>71</v>
      </c>
      <c r="H1302" s="221" t="s">
        <v>71</v>
      </c>
      <c r="I1302" s="222"/>
    </row>
    <row r="1303" ht="17.25" customHeight="1" spans="1:9" x14ac:dyDescent="0.25">
      <c r="A1303" s="220">
        <v>1344</v>
      </c>
      <c r="B1303" s="221" t="s">
        <v>3009</v>
      </c>
      <c r="C1303" s="222" t="s">
        <v>3010</v>
      </c>
      <c r="D1303" s="221" t="s">
        <v>205</v>
      </c>
      <c r="E1303" s="221" t="s">
        <v>395</v>
      </c>
      <c r="F1303" s="223">
        <v>16000</v>
      </c>
      <c r="G1303" s="221" t="s">
        <v>71</v>
      </c>
      <c r="H1303" s="221" t="s">
        <v>71</v>
      </c>
      <c r="I1303" s="222"/>
    </row>
    <row r="1304" ht="17.25" customHeight="1" spans="1:9" x14ac:dyDescent="0.25">
      <c r="A1304" s="220">
        <v>1345</v>
      </c>
      <c r="B1304" s="221" t="s">
        <v>3011</v>
      </c>
      <c r="C1304" s="222" t="s">
        <v>3012</v>
      </c>
      <c r="D1304" s="221" t="s">
        <v>205</v>
      </c>
      <c r="E1304" s="221" t="s">
        <v>395</v>
      </c>
      <c r="F1304" s="223">
        <v>12500</v>
      </c>
      <c r="G1304" s="221" t="s">
        <v>71</v>
      </c>
      <c r="H1304" s="221" t="s">
        <v>71</v>
      </c>
      <c r="I1304" s="222"/>
    </row>
    <row r="1305" ht="17.25" customHeight="1" spans="1:9" x14ac:dyDescent="0.25">
      <c r="A1305" s="220">
        <v>1346</v>
      </c>
      <c r="B1305" s="221" t="s">
        <v>3013</v>
      </c>
      <c r="C1305" s="222" t="s">
        <v>3014</v>
      </c>
      <c r="D1305" s="221" t="s">
        <v>205</v>
      </c>
      <c r="E1305" s="221" t="s">
        <v>395</v>
      </c>
      <c r="F1305" s="223">
        <v>0</v>
      </c>
      <c r="G1305" s="221" t="s">
        <v>71</v>
      </c>
      <c r="H1305" s="221" t="s">
        <v>71</v>
      </c>
      <c r="I1305" s="222"/>
    </row>
    <row r="1306" ht="17.25" customHeight="1" spans="1:9" x14ac:dyDescent="0.25">
      <c r="A1306" s="220">
        <v>1347</v>
      </c>
      <c r="B1306" s="221" t="s">
        <v>3015</v>
      </c>
      <c r="C1306" s="222" t="s">
        <v>3016</v>
      </c>
      <c r="D1306" s="221" t="s">
        <v>205</v>
      </c>
      <c r="E1306" s="221" t="s">
        <v>38</v>
      </c>
      <c r="F1306" s="223">
        <v>0</v>
      </c>
      <c r="G1306" s="221" t="s">
        <v>71</v>
      </c>
      <c r="H1306" s="221" t="s">
        <v>71</v>
      </c>
      <c r="I1306" s="224"/>
    </row>
    <row r="1307" ht="17.25" customHeight="1" spans="1:9" x14ac:dyDescent="0.25">
      <c r="A1307" s="220">
        <v>1348</v>
      </c>
      <c r="B1307" s="221" t="s">
        <v>3017</v>
      </c>
      <c r="C1307" s="222" t="s">
        <v>3018</v>
      </c>
      <c r="D1307" s="221" t="s">
        <v>205</v>
      </c>
      <c r="E1307" s="221" t="s">
        <v>395</v>
      </c>
      <c r="F1307" s="223">
        <v>15500</v>
      </c>
      <c r="G1307" s="221" t="s">
        <v>71</v>
      </c>
      <c r="H1307" s="221" t="s">
        <v>71</v>
      </c>
      <c r="I1307" s="222"/>
    </row>
    <row r="1308" ht="17.25" customHeight="1" spans="1:9" x14ac:dyDescent="0.25">
      <c r="A1308" s="220">
        <v>1349</v>
      </c>
      <c r="B1308" s="221" t="s">
        <v>3019</v>
      </c>
      <c r="C1308" s="222" t="s">
        <v>3020</v>
      </c>
      <c r="D1308" s="221" t="s">
        <v>205</v>
      </c>
      <c r="E1308" s="221" t="s">
        <v>395</v>
      </c>
      <c r="F1308" s="223">
        <v>17000</v>
      </c>
      <c r="G1308" s="221" t="s">
        <v>71</v>
      </c>
      <c r="H1308" s="221" t="s">
        <v>71</v>
      </c>
      <c r="I1308" s="222"/>
    </row>
    <row r="1309" ht="17.25" customHeight="1" spans="1:9" x14ac:dyDescent="0.25">
      <c r="A1309" s="220">
        <v>1350</v>
      </c>
      <c r="B1309" s="221" t="s">
        <v>3021</v>
      </c>
      <c r="C1309" s="222" t="s">
        <v>3022</v>
      </c>
      <c r="D1309" s="221" t="s">
        <v>205</v>
      </c>
      <c r="E1309" s="221" t="s">
        <v>395</v>
      </c>
      <c r="F1309" s="223">
        <v>15500</v>
      </c>
      <c r="G1309" s="221" t="s">
        <v>71</v>
      </c>
      <c r="H1309" s="221" t="s">
        <v>71</v>
      </c>
      <c r="I1309" s="222"/>
    </row>
    <row r="1310" ht="17.25" customHeight="1" spans="1:9" x14ac:dyDescent="0.25">
      <c r="A1310" s="220">
        <v>1351</v>
      </c>
      <c r="B1310" s="221" t="s">
        <v>3023</v>
      </c>
      <c r="C1310" s="222" t="s">
        <v>3024</v>
      </c>
      <c r="D1310" s="221" t="s">
        <v>205</v>
      </c>
      <c r="E1310" s="221" t="s">
        <v>395</v>
      </c>
      <c r="F1310" s="223">
        <v>13500</v>
      </c>
      <c r="G1310" s="221" t="s">
        <v>71</v>
      </c>
      <c r="H1310" s="221" t="s">
        <v>71</v>
      </c>
      <c r="I1310" s="222"/>
    </row>
    <row r="1311" ht="17.25" customHeight="1" spans="1:9" x14ac:dyDescent="0.25">
      <c r="A1311" s="220">
        <v>1352</v>
      </c>
      <c r="B1311" s="221" t="s">
        <v>3025</v>
      </c>
      <c r="C1311" s="222" t="s">
        <v>3026</v>
      </c>
      <c r="D1311" s="221" t="s">
        <v>205</v>
      </c>
      <c r="E1311" s="221" t="s">
        <v>395</v>
      </c>
      <c r="F1311" s="223">
        <v>0</v>
      </c>
      <c r="G1311" s="221" t="s">
        <v>71</v>
      </c>
      <c r="H1311" s="221" t="s">
        <v>71</v>
      </c>
      <c r="I1311" s="222"/>
    </row>
    <row r="1312" ht="17.25" customHeight="1" spans="1:9" x14ac:dyDescent="0.25">
      <c r="A1312" s="220">
        <v>1353</v>
      </c>
      <c r="B1312" s="221" t="s">
        <v>3027</v>
      </c>
      <c r="C1312" s="222" t="s">
        <v>3028</v>
      </c>
      <c r="D1312" s="221" t="s">
        <v>205</v>
      </c>
      <c r="E1312" s="221" t="s">
        <v>395</v>
      </c>
      <c r="F1312" s="223">
        <v>15500</v>
      </c>
      <c r="G1312" s="221" t="s">
        <v>71</v>
      </c>
      <c r="H1312" s="221" t="s">
        <v>71</v>
      </c>
      <c r="I1312" s="222"/>
    </row>
    <row r="1313" ht="17.25" customHeight="1" spans="1:9" x14ac:dyDescent="0.25">
      <c r="A1313" s="220">
        <v>1354</v>
      </c>
      <c r="B1313" s="221" t="s">
        <v>3029</v>
      </c>
      <c r="C1313" s="222" t="s">
        <v>3030</v>
      </c>
      <c r="D1313" s="221" t="s">
        <v>205</v>
      </c>
      <c r="E1313" s="221" t="s">
        <v>395</v>
      </c>
      <c r="F1313" s="223">
        <v>0</v>
      </c>
      <c r="G1313" s="221" t="s">
        <v>71</v>
      </c>
      <c r="H1313" s="221" t="s">
        <v>71</v>
      </c>
      <c r="I1313" s="222"/>
    </row>
    <row r="1314" ht="17.25" customHeight="1" spans="1:9" x14ac:dyDescent="0.25">
      <c r="A1314" s="220">
        <v>1355</v>
      </c>
      <c r="B1314" s="221" t="s">
        <v>3031</v>
      </c>
      <c r="C1314" s="222" t="s">
        <v>3032</v>
      </c>
      <c r="D1314" s="221" t="s">
        <v>205</v>
      </c>
      <c r="E1314" s="221" t="s">
        <v>395</v>
      </c>
      <c r="F1314" s="223">
        <v>17000</v>
      </c>
      <c r="G1314" s="221" t="s">
        <v>71</v>
      </c>
      <c r="H1314" s="221" t="s">
        <v>71</v>
      </c>
      <c r="I1314" s="222"/>
    </row>
    <row r="1315" ht="17.25" customHeight="1" spans="1:9" x14ac:dyDescent="0.25">
      <c r="A1315" s="220">
        <v>1356</v>
      </c>
      <c r="B1315" s="221" t="s">
        <v>3033</v>
      </c>
      <c r="C1315" s="222" t="s">
        <v>3034</v>
      </c>
      <c r="D1315" s="221" t="s">
        <v>205</v>
      </c>
      <c r="E1315" s="221" t="s">
        <v>395</v>
      </c>
      <c r="F1315" s="223">
        <v>17000</v>
      </c>
      <c r="G1315" s="221" t="s">
        <v>71</v>
      </c>
      <c r="H1315" s="221" t="s">
        <v>71</v>
      </c>
      <c r="I1315" s="222"/>
    </row>
    <row r="1316" ht="17.25" customHeight="1" spans="1:9" x14ac:dyDescent="0.25">
      <c r="A1316" s="220">
        <v>1357</v>
      </c>
      <c r="B1316" s="221" t="s">
        <v>3035</v>
      </c>
      <c r="C1316" s="222" t="s">
        <v>3036</v>
      </c>
      <c r="D1316" s="221" t="s">
        <v>205</v>
      </c>
      <c r="E1316" s="221" t="s">
        <v>395</v>
      </c>
      <c r="F1316" s="223">
        <v>17000</v>
      </c>
      <c r="G1316" s="221" t="s">
        <v>71</v>
      </c>
      <c r="H1316" s="221" t="s">
        <v>71</v>
      </c>
      <c r="I1316" s="222"/>
    </row>
    <row r="1317" ht="17.25" customHeight="1" spans="1:9" x14ac:dyDescent="0.25">
      <c r="A1317" s="220">
        <v>1358</v>
      </c>
      <c r="B1317" s="221" t="s">
        <v>3037</v>
      </c>
      <c r="C1317" s="222" t="s">
        <v>3038</v>
      </c>
      <c r="D1317" s="221" t="s">
        <v>205</v>
      </c>
      <c r="E1317" s="221" t="s">
        <v>395</v>
      </c>
      <c r="F1317" s="223">
        <v>0</v>
      </c>
      <c r="G1317" s="221" t="s">
        <v>71</v>
      </c>
      <c r="H1317" s="221" t="s">
        <v>71</v>
      </c>
      <c r="I1317" s="222"/>
    </row>
    <row r="1318" ht="17.25" customHeight="1" spans="1:9" x14ac:dyDescent="0.25">
      <c r="A1318" s="220">
        <v>1359</v>
      </c>
      <c r="B1318" s="221" t="s">
        <v>3039</v>
      </c>
      <c r="C1318" s="222" t="s">
        <v>3040</v>
      </c>
      <c r="D1318" s="221" t="s">
        <v>205</v>
      </c>
      <c r="E1318" s="221" t="s">
        <v>395</v>
      </c>
      <c r="F1318" s="223">
        <v>17000</v>
      </c>
      <c r="G1318" s="221" t="s">
        <v>71</v>
      </c>
      <c r="H1318" s="221" t="s">
        <v>71</v>
      </c>
      <c r="I1318" s="222"/>
    </row>
    <row r="1319" ht="17.25" customHeight="1" spans="1:9" x14ac:dyDescent="0.25">
      <c r="A1319" s="220">
        <v>1360</v>
      </c>
      <c r="B1319" s="221" t="s">
        <v>3041</v>
      </c>
      <c r="C1319" s="222" t="s">
        <v>3042</v>
      </c>
      <c r="D1319" s="221" t="s">
        <v>205</v>
      </c>
      <c r="E1319" s="221" t="s">
        <v>395</v>
      </c>
      <c r="F1319" s="223">
        <v>0</v>
      </c>
      <c r="G1319" s="221" t="s">
        <v>71</v>
      </c>
      <c r="H1319" s="221" t="s">
        <v>71</v>
      </c>
      <c r="I1319" s="222"/>
    </row>
    <row r="1320" ht="17.25" customHeight="1" spans="1:9" x14ac:dyDescent="0.25">
      <c r="A1320" s="220">
        <v>1361</v>
      </c>
      <c r="B1320" s="221" t="s">
        <v>3043</v>
      </c>
      <c r="C1320" s="222" t="s">
        <v>3044</v>
      </c>
      <c r="D1320" s="221" t="s">
        <v>205</v>
      </c>
      <c r="E1320" s="221" t="s">
        <v>395</v>
      </c>
      <c r="F1320" s="223">
        <v>13500</v>
      </c>
      <c r="G1320" s="221" t="s">
        <v>71</v>
      </c>
      <c r="H1320" s="221" t="s">
        <v>71</v>
      </c>
      <c r="I1320" s="222"/>
    </row>
    <row r="1321" ht="17.25" customHeight="1" spans="1:9" x14ac:dyDescent="0.25">
      <c r="A1321" s="220">
        <v>1362</v>
      </c>
      <c r="B1321" s="221" t="s">
        <v>3045</v>
      </c>
      <c r="C1321" s="222" t="s">
        <v>3046</v>
      </c>
      <c r="D1321" s="221" t="s">
        <v>205</v>
      </c>
      <c r="E1321" s="221" t="s">
        <v>395</v>
      </c>
      <c r="F1321" s="223">
        <v>0</v>
      </c>
      <c r="G1321" s="221" t="s">
        <v>71</v>
      </c>
      <c r="H1321" s="221" t="s">
        <v>71</v>
      </c>
      <c r="I1321" s="222"/>
    </row>
    <row r="1322" ht="17.25" customHeight="1" spans="1:9" x14ac:dyDescent="0.25">
      <c r="A1322" s="220">
        <v>1363</v>
      </c>
      <c r="B1322" s="221" t="s">
        <v>3047</v>
      </c>
      <c r="C1322" s="222" t="s">
        <v>3048</v>
      </c>
      <c r="D1322" s="221" t="s">
        <v>205</v>
      </c>
      <c r="E1322" s="221" t="s">
        <v>395</v>
      </c>
      <c r="F1322" s="223">
        <v>12000</v>
      </c>
      <c r="G1322" s="221" t="s">
        <v>71</v>
      </c>
      <c r="H1322" s="221" t="s">
        <v>71</v>
      </c>
      <c r="I1322" s="222"/>
    </row>
    <row r="1323" ht="17.25" customHeight="1" spans="1:9" x14ac:dyDescent="0.25">
      <c r="A1323" s="220">
        <v>1364</v>
      </c>
      <c r="B1323" s="221" t="s">
        <v>3049</v>
      </c>
      <c r="C1323" s="222" t="s">
        <v>3050</v>
      </c>
      <c r="D1323" s="221" t="s">
        <v>205</v>
      </c>
      <c r="E1323" s="221" t="s">
        <v>395</v>
      </c>
      <c r="F1323" s="223">
        <v>13500</v>
      </c>
      <c r="G1323" s="221" t="s">
        <v>71</v>
      </c>
      <c r="H1323" s="221" t="s">
        <v>71</v>
      </c>
      <c r="I1323" s="222"/>
    </row>
    <row r="1324" ht="17.25" customHeight="1" spans="1:9" x14ac:dyDescent="0.25">
      <c r="A1324" s="220">
        <v>1365</v>
      </c>
      <c r="B1324" s="221" t="s">
        <v>3051</v>
      </c>
      <c r="C1324" s="222" t="s">
        <v>3052</v>
      </c>
      <c r="D1324" s="221" t="s">
        <v>205</v>
      </c>
      <c r="E1324" s="221" t="s">
        <v>395</v>
      </c>
      <c r="F1324" s="223">
        <v>0</v>
      </c>
      <c r="G1324" s="221" t="s">
        <v>71</v>
      </c>
      <c r="H1324" s="221" t="s">
        <v>71</v>
      </c>
      <c r="I1324" s="222"/>
    </row>
    <row r="1325" ht="17.25" customHeight="1" spans="1:9" x14ac:dyDescent="0.25">
      <c r="A1325" s="220">
        <v>1367</v>
      </c>
      <c r="B1325" s="221" t="s">
        <v>3053</v>
      </c>
      <c r="C1325" s="222" t="s">
        <v>3054</v>
      </c>
      <c r="D1325" s="221" t="s">
        <v>205</v>
      </c>
      <c r="E1325" s="221" t="s">
        <v>395</v>
      </c>
      <c r="F1325" s="223">
        <v>0</v>
      </c>
      <c r="G1325" s="221" t="s">
        <v>71</v>
      </c>
      <c r="H1325" s="221" t="s">
        <v>71</v>
      </c>
      <c r="I1325" s="222"/>
    </row>
    <row r="1326" ht="17.25" customHeight="1" spans="1:9" x14ac:dyDescent="0.25">
      <c r="A1326" s="220">
        <v>1368</v>
      </c>
      <c r="B1326" s="221" t="s">
        <v>3055</v>
      </c>
      <c r="C1326" s="222" t="s">
        <v>3056</v>
      </c>
      <c r="D1326" s="221" t="s">
        <v>205</v>
      </c>
      <c r="E1326" s="221" t="s">
        <v>395</v>
      </c>
      <c r="F1326" s="223">
        <v>12500</v>
      </c>
      <c r="G1326" s="221" t="s">
        <v>71</v>
      </c>
      <c r="H1326" s="221" t="s">
        <v>71</v>
      </c>
      <c r="I1326" s="222"/>
    </row>
    <row r="1327" ht="17.25" customHeight="1" spans="1:9" x14ac:dyDescent="0.25">
      <c r="A1327" s="220">
        <v>1369</v>
      </c>
      <c r="B1327" s="221" t="s">
        <v>3057</v>
      </c>
      <c r="C1327" s="222" t="s">
        <v>3058</v>
      </c>
      <c r="D1327" s="221" t="s">
        <v>205</v>
      </c>
      <c r="E1327" s="221" t="s">
        <v>395</v>
      </c>
      <c r="F1327" s="223">
        <v>14500</v>
      </c>
      <c r="G1327" s="221" t="s">
        <v>71</v>
      </c>
      <c r="H1327" s="221" t="s">
        <v>71</v>
      </c>
      <c r="I1327" s="222"/>
    </row>
    <row r="1328" ht="17.25" customHeight="1" spans="1:9" x14ac:dyDescent="0.25">
      <c r="A1328" s="220">
        <v>1370</v>
      </c>
      <c r="B1328" s="221" t="s">
        <v>3059</v>
      </c>
      <c r="C1328" s="222" t="s">
        <v>3060</v>
      </c>
      <c r="D1328" s="221" t="s">
        <v>205</v>
      </c>
      <c r="E1328" s="221" t="s">
        <v>395</v>
      </c>
      <c r="F1328" s="223">
        <v>12000</v>
      </c>
      <c r="G1328" s="221" t="s">
        <v>71</v>
      </c>
      <c r="H1328" s="221" t="s">
        <v>71</v>
      </c>
      <c r="I1328" s="222"/>
    </row>
    <row r="1329" ht="17.25" customHeight="1" spans="1:9" x14ac:dyDescent="0.25">
      <c r="A1329" s="220">
        <v>1371</v>
      </c>
      <c r="B1329" s="221" t="s">
        <v>3061</v>
      </c>
      <c r="C1329" s="222" t="s">
        <v>3062</v>
      </c>
      <c r="D1329" s="221" t="s">
        <v>205</v>
      </c>
      <c r="E1329" s="221" t="s">
        <v>395</v>
      </c>
      <c r="F1329" s="223">
        <v>14000</v>
      </c>
      <c r="G1329" s="221" t="s">
        <v>71</v>
      </c>
      <c r="H1329" s="221" t="s">
        <v>71</v>
      </c>
      <c r="I1329" s="222"/>
    </row>
    <row r="1330" ht="17.25" customHeight="1" spans="1:9" x14ac:dyDescent="0.25">
      <c r="A1330" s="220">
        <v>1372</v>
      </c>
      <c r="B1330" s="221" t="s">
        <v>3063</v>
      </c>
      <c r="C1330" s="222" t="s">
        <v>3064</v>
      </c>
      <c r="D1330" s="221" t="s">
        <v>205</v>
      </c>
      <c r="E1330" s="221" t="s">
        <v>395</v>
      </c>
      <c r="F1330" s="223">
        <v>16500</v>
      </c>
      <c r="G1330" s="221" t="s">
        <v>71</v>
      </c>
      <c r="H1330" s="221" t="s">
        <v>71</v>
      </c>
      <c r="I1330" s="222"/>
    </row>
    <row r="1331" ht="17.25" customHeight="1" spans="1:9" x14ac:dyDescent="0.25">
      <c r="A1331" s="220">
        <v>1373</v>
      </c>
      <c r="B1331" s="221" t="s">
        <v>3065</v>
      </c>
      <c r="C1331" s="222" t="s">
        <v>3066</v>
      </c>
      <c r="D1331" s="221" t="s">
        <v>205</v>
      </c>
      <c r="E1331" s="221" t="s">
        <v>395</v>
      </c>
      <c r="F1331" s="223">
        <v>12500</v>
      </c>
      <c r="G1331" s="221" t="s">
        <v>71</v>
      </c>
      <c r="H1331" s="221" t="s">
        <v>71</v>
      </c>
      <c r="I1331" s="222"/>
    </row>
    <row r="1332" ht="17.25" customHeight="1" spans="1:9" x14ac:dyDescent="0.25">
      <c r="A1332" s="220">
        <v>1374</v>
      </c>
      <c r="B1332" s="221" t="s">
        <v>3067</v>
      </c>
      <c r="C1332" s="222" t="s">
        <v>3068</v>
      </c>
      <c r="D1332" s="221" t="s">
        <v>205</v>
      </c>
      <c r="E1332" s="221" t="s">
        <v>395</v>
      </c>
      <c r="F1332" s="223">
        <v>14500</v>
      </c>
      <c r="G1332" s="221" t="s">
        <v>71</v>
      </c>
      <c r="H1332" s="221" t="s">
        <v>71</v>
      </c>
      <c r="I1332" s="222"/>
    </row>
    <row r="1333" ht="17.25" customHeight="1" spans="1:9" x14ac:dyDescent="0.25">
      <c r="A1333" s="220">
        <v>1375</v>
      </c>
      <c r="B1333" s="221" t="s">
        <v>3069</v>
      </c>
      <c r="C1333" s="222" t="s">
        <v>3070</v>
      </c>
      <c r="D1333" s="221" t="s">
        <v>205</v>
      </c>
      <c r="E1333" s="221" t="s">
        <v>395</v>
      </c>
      <c r="F1333" s="223">
        <v>13000</v>
      </c>
      <c r="G1333" s="221" t="s">
        <v>71</v>
      </c>
      <c r="H1333" s="221" t="s">
        <v>71</v>
      </c>
      <c r="I1333" s="222"/>
    </row>
    <row r="1334" ht="17.25" customHeight="1" spans="1:9" x14ac:dyDescent="0.25">
      <c r="A1334" s="220">
        <v>1376</v>
      </c>
      <c r="B1334" s="221" t="s">
        <v>3071</v>
      </c>
      <c r="C1334" s="222" t="s">
        <v>3072</v>
      </c>
      <c r="D1334" s="221" t="s">
        <v>205</v>
      </c>
      <c r="E1334" s="221" t="s">
        <v>395</v>
      </c>
      <c r="F1334" s="223">
        <v>12000</v>
      </c>
      <c r="G1334" s="221" t="s">
        <v>71</v>
      </c>
      <c r="H1334" s="221" t="s">
        <v>71</v>
      </c>
      <c r="I1334" s="222"/>
    </row>
    <row r="1335" ht="17.25" customHeight="1" spans="1:9" x14ac:dyDescent="0.25">
      <c r="A1335" s="220">
        <v>1377</v>
      </c>
      <c r="B1335" s="221" t="s">
        <v>3073</v>
      </c>
      <c r="C1335" s="222" t="s">
        <v>3074</v>
      </c>
      <c r="D1335" s="221" t="s">
        <v>205</v>
      </c>
      <c r="E1335" s="221" t="s">
        <v>395</v>
      </c>
      <c r="F1335" s="223">
        <v>14000</v>
      </c>
      <c r="G1335" s="221" t="s">
        <v>71</v>
      </c>
      <c r="H1335" s="221" t="s">
        <v>71</v>
      </c>
      <c r="I1335" s="222"/>
    </row>
    <row r="1336" ht="17.25" customHeight="1" spans="1:9" x14ac:dyDescent="0.25">
      <c r="A1336" s="220">
        <v>1378</v>
      </c>
      <c r="B1336" s="221" t="s">
        <v>3075</v>
      </c>
      <c r="C1336" s="222" t="s">
        <v>3076</v>
      </c>
      <c r="D1336" s="221" t="s">
        <v>205</v>
      </c>
      <c r="E1336" s="221" t="s">
        <v>395</v>
      </c>
      <c r="F1336" s="223">
        <v>15000</v>
      </c>
      <c r="G1336" s="221" t="s">
        <v>71</v>
      </c>
      <c r="H1336" s="221" t="s">
        <v>71</v>
      </c>
      <c r="I1336" s="222"/>
    </row>
    <row r="1337" ht="17.25" customHeight="1" spans="1:9" x14ac:dyDescent="0.25">
      <c r="A1337" s="220">
        <v>1379</v>
      </c>
      <c r="B1337" s="221" t="s">
        <v>3077</v>
      </c>
      <c r="C1337" s="222" t="s">
        <v>3078</v>
      </c>
      <c r="D1337" s="221" t="s">
        <v>205</v>
      </c>
      <c r="E1337" s="221" t="s">
        <v>395</v>
      </c>
      <c r="F1337" s="223">
        <v>17000</v>
      </c>
      <c r="G1337" s="221" t="s">
        <v>71</v>
      </c>
      <c r="H1337" s="221" t="s">
        <v>71</v>
      </c>
      <c r="I1337" s="222"/>
    </row>
    <row r="1338" ht="17.25" customHeight="1" spans="1:9" x14ac:dyDescent="0.25">
      <c r="A1338" s="220">
        <v>1380</v>
      </c>
      <c r="B1338" s="221" t="s">
        <v>3079</v>
      </c>
      <c r="C1338" s="222" t="s">
        <v>3080</v>
      </c>
      <c r="D1338" s="221" t="s">
        <v>205</v>
      </c>
      <c r="E1338" s="221" t="s">
        <v>395</v>
      </c>
      <c r="F1338" s="223">
        <v>12500</v>
      </c>
      <c r="G1338" s="221" t="s">
        <v>71</v>
      </c>
      <c r="H1338" s="221" t="s">
        <v>71</v>
      </c>
      <c r="I1338" s="222"/>
    </row>
    <row r="1339" ht="17.25" customHeight="1" spans="1:9" x14ac:dyDescent="0.25">
      <c r="A1339" s="220">
        <v>1381</v>
      </c>
      <c r="B1339" s="221" t="s">
        <v>3081</v>
      </c>
      <c r="C1339" s="222" t="s">
        <v>3082</v>
      </c>
      <c r="D1339" s="221" t="s">
        <v>205</v>
      </c>
      <c r="E1339" s="221" t="s">
        <v>395</v>
      </c>
      <c r="F1339" s="223">
        <v>11500</v>
      </c>
      <c r="G1339" s="221" t="s">
        <v>71</v>
      </c>
      <c r="H1339" s="221" t="s">
        <v>71</v>
      </c>
      <c r="I1339" s="222"/>
    </row>
    <row r="1340" ht="17.25" customHeight="1" spans="1:9" x14ac:dyDescent="0.25">
      <c r="A1340" s="220">
        <v>1382</v>
      </c>
      <c r="B1340" s="221" t="s">
        <v>3083</v>
      </c>
      <c r="C1340" s="222" t="s">
        <v>3084</v>
      </c>
      <c r="D1340" s="221" t="s">
        <v>205</v>
      </c>
      <c r="E1340" s="221" t="s">
        <v>395</v>
      </c>
      <c r="F1340" s="223">
        <v>13500</v>
      </c>
      <c r="G1340" s="221" t="s">
        <v>71</v>
      </c>
      <c r="H1340" s="221" t="s">
        <v>71</v>
      </c>
      <c r="I1340" s="222"/>
    </row>
    <row r="1341" ht="17.25" customHeight="1" spans="1:9" x14ac:dyDescent="0.25">
      <c r="A1341" s="220">
        <v>1383</v>
      </c>
      <c r="B1341" s="221" t="s">
        <v>3085</v>
      </c>
      <c r="C1341" s="222" t="s">
        <v>3086</v>
      </c>
      <c r="D1341" s="221" t="s">
        <v>205</v>
      </c>
      <c r="E1341" s="221" t="s">
        <v>395</v>
      </c>
      <c r="F1341" s="223">
        <v>16500</v>
      </c>
      <c r="G1341" s="221" t="s">
        <v>71</v>
      </c>
      <c r="H1341" s="221" t="s">
        <v>71</v>
      </c>
      <c r="I1341" s="222"/>
    </row>
    <row r="1342" ht="17.25" customHeight="1" spans="1:9" x14ac:dyDescent="0.25">
      <c r="A1342" s="220">
        <v>1384</v>
      </c>
      <c r="B1342" s="221" t="s">
        <v>3087</v>
      </c>
      <c r="C1342" s="222" t="s">
        <v>3088</v>
      </c>
      <c r="D1342" s="221" t="s">
        <v>205</v>
      </c>
      <c r="E1342" s="221" t="s">
        <v>395</v>
      </c>
      <c r="F1342" s="223">
        <v>15000</v>
      </c>
      <c r="G1342" s="221" t="s">
        <v>71</v>
      </c>
      <c r="H1342" s="221" t="s">
        <v>71</v>
      </c>
      <c r="I1342" s="222"/>
    </row>
    <row r="1343" ht="17.25" customHeight="1" spans="1:9" x14ac:dyDescent="0.25">
      <c r="A1343" s="220">
        <v>1385</v>
      </c>
      <c r="B1343" s="221" t="s">
        <v>3089</v>
      </c>
      <c r="C1343" s="222" t="s">
        <v>3090</v>
      </c>
      <c r="D1343" s="221" t="s">
        <v>205</v>
      </c>
      <c r="E1343" s="221" t="s">
        <v>395</v>
      </c>
      <c r="F1343" s="223">
        <v>15000</v>
      </c>
      <c r="G1343" s="221" t="s">
        <v>71</v>
      </c>
      <c r="H1343" s="221" t="s">
        <v>71</v>
      </c>
      <c r="I1343" s="222"/>
    </row>
    <row r="1344" ht="17.25" customHeight="1" spans="1:9" x14ac:dyDescent="0.25">
      <c r="A1344" s="220">
        <v>1386</v>
      </c>
      <c r="B1344" s="221" t="s">
        <v>3091</v>
      </c>
      <c r="C1344" s="222" t="s">
        <v>3092</v>
      </c>
      <c r="D1344" s="221" t="s">
        <v>205</v>
      </c>
      <c r="E1344" s="221" t="s">
        <v>395</v>
      </c>
      <c r="F1344" s="223">
        <v>17000</v>
      </c>
      <c r="G1344" s="221" t="s">
        <v>71</v>
      </c>
      <c r="H1344" s="221" t="s">
        <v>71</v>
      </c>
      <c r="I1344" s="222"/>
    </row>
    <row r="1345" ht="17.25" customHeight="1" spans="1:9" x14ac:dyDescent="0.25">
      <c r="A1345" s="220">
        <v>1387</v>
      </c>
      <c r="B1345" s="221" t="s">
        <v>3093</v>
      </c>
      <c r="C1345" s="222" t="s">
        <v>3094</v>
      </c>
      <c r="D1345" s="221" t="s">
        <v>205</v>
      </c>
      <c r="E1345" s="221" t="s">
        <v>395</v>
      </c>
      <c r="F1345" s="223">
        <v>15000</v>
      </c>
      <c r="G1345" s="221" t="s">
        <v>71</v>
      </c>
      <c r="H1345" s="221" t="s">
        <v>71</v>
      </c>
      <c r="I1345" s="222"/>
    </row>
    <row r="1346" ht="17.25" customHeight="1" spans="1:9" x14ac:dyDescent="0.25">
      <c r="A1346" s="220">
        <v>1388</v>
      </c>
      <c r="B1346" s="221" t="s">
        <v>3095</v>
      </c>
      <c r="C1346" s="222" t="s">
        <v>3096</v>
      </c>
      <c r="D1346" s="221" t="s">
        <v>205</v>
      </c>
      <c r="E1346" s="221" t="s">
        <v>395</v>
      </c>
      <c r="F1346" s="223">
        <v>16500</v>
      </c>
      <c r="G1346" s="221" t="s">
        <v>71</v>
      </c>
      <c r="H1346" s="221" t="s">
        <v>71</v>
      </c>
      <c r="I1346" s="222"/>
    </row>
    <row r="1347" ht="17.25" customHeight="1" spans="1:9" x14ac:dyDescent="0.25">
      <c r="A1347" s="220">
        <v>1389</v>
      </c>
      <c r="B1347" s="221" t="s">
        <v>3097</v>
      </c>
      <c r="C1347" s="222" t="s">
        <v>3098</v>
      </c>
      <c r="D1347" s="221" t="s">
        <v>205</v>
      </c>
      <c r="E1347" s="221" t="s">
        <v>395</v>
      </c>
      <c r="F1347" s="223">
        <v>11500</v>
      </c>
      <c r="G1347" s="221" t="s">
        <v>71</v>
      </c>
      <c r="H1347" s="221" t="s">
        <v>71</v>
      </c>
      <c r="I1347" s="222"/>
    </row>
    <row r="1348" ht="17.25" customHeight="1" spans="1:9" x14ac:dyDescent="0.25">
      <c r="A1348" s="220">
        <v>1390</v>
      </c>
      <c r="B1348" s="221" t="s">
        <v>3099</v>
      </c>
      <c r="C1348" s="222" t="s">
        <v>3100</v>
      </c>
      <c r="D1348" s="221" t="s">
        <v>205</v>
      </c>
      <c r="E1348" s="221" t="s">
        <v>395</v>
      </c>
      <c r="F1348" s="223">
        <v>13500</v>
      </c>
      <c r="G1348" s="221" t="s">
        <v>71</v>
      </c>
      <c r="H1348" s="221" t="s">
        <v>71</v>
      </c>
      <c r="I1348" s="222"/>
    </row>
    <row r="1349" ht="17.25" customHeight="1" spans="1:9" x14ac:dyDescent="0.25">
      <c r="A1349" s="220">
        <v>1391</v>
      </c>
      <c r="B1349" s="221" t="s">
        <v>3101</v>
      </c>
      <c r="C1349" s="222" t="s">
        <v>3102</v>
      </c>
      <c r="D1349" s="221" t="s">
        <v>205</v>
      </c>
      <c r="E1349" s="221" t="s">
        <v>395</v>
      </c>
      <c r="F1349" s="223">
        <v>12500</v>
      </c>
      <c r="G1349" s="221" t="s">
        <v>71</v>
      </c>
      <c r="H1349" s="221" t="s">
        <v>71</v>
      </c>
      <c r="I1349" s="222"/>
    </row>
    <row r="1350" ht="17.25" customHeight="1" spans="1:9" x14ac:dyDescent="0.25">
      <c r="A1350" s="220">
        <v>1392</v>
      </c>
      <c r="B1350" s="221" t="s">
        <v>3103</v>
      </c>
      <c r="C1350" s="222" t="s">
        <v>3104</v>
      </c>
      <c r="D1350" s="221" t="s">
        <v>205</v>
      </c>
      <c r="E1350" s="221" t="s">
        <v>395</v>
      </c>
      <c r="F1350" s="223">
        <v>15000</v>
      </c>
      <c r="G1350" s="221" t="s">
        <v>71</v>
      </c>
      <c r="H1350" s="221" t="s">
        <v>71</v>
      </c>
      <c r="I1350" s="222"/>
    </row>
    <row r="1351" ht="17.25" customHeight="1" spans="1:9" x14ac:dyDescent="0.25">
      <c r="A1351" s="220">
        <v>1393</v>
      </c>
      <c r="B1351" s="221" t="s">
        <v>3105</v>
      </c>
      <c r="C1351" s="222" t="s">
        <v>3106</v>
      </c>
      <c r="D1351" s="221" t="s">
        <v>205</v>
      </c>
      <c r="E1351" s="221" t="s">
        <v>395</v>
      </c>
      <c r="F1351" s="223">
        <v>11500</v>
      </c>
      <c r="G1351" s="221" t="s">
        <v>71</v>
      </c>
      <c r="H1351" s="221" t="s">
        <v>71</v>
      </c>
      <c r="I1351" s="222"/>
    </row>
    <row r="1352" ht="17.25" customHeight="1" spans="1:9" x14ac:dyDescent="0.25">
      <c r="A1352" s="220">
        <v>1394</v>
      </c>
      <c r="B1352" s="221" t="s">
        <v>3107</v>
      </c>
      <c r="C1352" s="222" t="s">
        <v>3108</v>
      </c>
      <c r="D1352" s="221" t="s">
        <v>205</v>
      </c>
      <c r="E1352" s="221" t="s">
        <v>395</v>
      </c>
      <c r="F1352" s="223">
        <v>13500</v>
      </c>
      <c r="G1352" s="221" t="s">
        <v>71</v>
      </c>
      <c r="H1352" s="221" t="s">
        <v>71</v>
      </c>
      <c r="I1352" s="222"/>
    </row>
    <row r="1353" ht="17.25" customHeight="1" spans="1:9" x14ac:dyDescent="0.25">
      <c r="A1353" s="220">
        <v>1395</v>
      </c>
      <c r="B1353" s="221" t="s">
        <v>3109</v>
      </c>
      <c r="C1353" s="222" t="s">
        <v>3110</v>
      </c>
      <c r="D1353" s="221" t="s">
        <v>205</v>
      </c>
      <c r="E1353" s="221" t="s">
        <v>395</v>
      </c>
      <c r="F1353" s="223">
        <v>16500</v>
      </c>
      <c r="G1353" s="221" t="s">
        <v>71</v>
      </c>
      <c r="H1353" s="221" t="s">
        <v>71</v>
      </c>
      <c r="I1353" s="222"/>
    </row>
    <row r="1354" ht="17.25" customHeight="1" spans="1:9" x14ac:dyDescent="0.25">
      <c r="A1354" s="220">
        <v>1396</v>
      </c>
      <c r="B1354" s="221" t="s">
        <v>3111</v>
      </c>
      <c r="C1354" s="222" t="s">
        <v>3112</v>
      </c>
      <c r="D1354" s="221" t="s">
        <v>205</v>
      </c>
      <c r="E1354" s="221" t="s">
        <v>395</v>
      </c>
      <c r="F1354" s="223">
        <v>12500</v>
      </c>
      <c r="G1354" s="221" t="s">
        <v>71</v>
      </c>
      <c r="H1354" s="221" t="s">
        <v>71</v>
      </c>
      <c r="I1354" s="222"/>
    </row>
    <row r="1355" ht="17.25" customHeight="1" spans="1:9" x14ac:dyDescent="0.25">
      <c r="A1355" s="220">
        <v>1397</v>
      </c>
      <c r="B1355" s="221" t="s">
        <v>3113</v>
      </c>
      <c r="C1355" s="222" t="s">
        <v>3114</v>
      </c>
      <c r="D1355" s="221" t="s">
        <v>205</v>
      </c>
      <c r="E1355" s="221" t="s">
        <v>395</v>
      </c>
      <c r="F1355" s="223">
        <v>14500</v>
      </c>
      <c r="G1355" s="221" t="s">
        <v>71</v>
      </c>
      <c r="H1355" s="221" t="s">
        <v>71</v>
      </c>
      <c r="I1355" s="222"/>
    </row>
    <row r="1356" ht="17.25" customHeight="1" spans="1:9" x14ac:dyDescent="0.25">
      <c r="A1356" s="220">
        <v>1398</v>
      </c>
      <c r="B1356" s="221" t="s">
        <v>3115</v>
      </c>
      <c r="C1356" s="222" t="s">
        <v>3116</v>
      </c>
      <c r="D1356" s="221" t="s">
        <v>205</v>
      </c>
      <c r="E1356" s="221" t="s">
        <v>395</v>
      </c>
      <c r="F1356" s="223">
        <v>15000</v>
      </c>
      <c r="G1356" s="221" t="s">
        <v>71</v>
      </c>
      <c r="H1356" s="221" t="s">
        <v>71</v>
      </c>
      <c r="I1356" s="222"/>
    </row>
    <row r="1357" ht="17.25" customHeight="1" spans="1:9" x14ac:dyDescent="0.25">
      <c r="A1357" s="220">
        <v>1399</v>
      </c>
      <c r="B1357" s="221" t="s">
        <v>3117</v>
      </c>
      <c r="C1357" s="222" t="s">
        <v>3118</v>
      </c>
      <c r="D1357" s="221" t="s">
        <v>205</v>
      </c>
      <c r="E1357" s="221" t="s">
        <v>395</v>
      </c>
      <c r="F1357" s="223">
        <v>17000</v>
      </c>
      <c r="G1357" s="221" t="s">
        <v>71</v>
      </c>
      <c r="H1357" s="221" t="s">
        <v>71</v>
      </c>
      <c r="I1357" s="222"/>
    </row>
    <row r="1358" ht="17.25" customHeight="1" spans="1:9" x14ac:dyDescent="0.25">
      <c r="A1358" s="220">
        <v>1400</v>
      </c>
      <c r="B1358" s="221" t="s">
        <v>3119</v>
      </c>
      <c r="C1358" s="222" t="s">
        <v>3120</v>
      </c>
      <c r="D1358" s="221" t="s">
        <v>205</v>
      </c>
      <c r="E1358" s="221" t="s">
        <v>395</v>
      </c>
      <c r="F1358" s="223">
        <v>15000</v>
      </c>
      <c r="G1358" s="221" t="s">
        <v>71</v>
      </c>
      <c r="H1358" s="221" t="s">
        <v>71</v>
      </c>
      <c r="I1358" s="222"/>
    </row>
    <row r="1359" ht="17.25" customHeight="1" spans="1:9" x14ac:dyDescent="0.25">
      <c r="A1359" s="220">
        <v>1401</v>
      </c>
      <c r="B1359" s="221" t="s">
        <v>3121</v>
      </c>
      <c r="C1359" s="222" t="s">
        <v>3122</v>
      </c>
      <c r="D1359" s="221" t="s">
        <v>205</v>
      </c>
      <c r="E1359" s="221" t="s">
        <v>395</v>
      </c>
      <c r="F1359" s="223">
        <v>17000</v>
      </c>
      <c r="G1359" s="221" t="s">
        <v>71</v>
      </c>
      <c r="H1359" s="221" t="s">
        <v>71</v>
      </c>
      <c r="I1359" s="222"/>
    </row>
    <row r="1360" ht="17.25" customHeight="1" spans="1:9" x14ac:dyDescent="0.25">
      <c r="A1360" s="220">
        <v>1402</v>
      </c>
      <c r="B1360" s="221" t="s">
        <v>3123</v>
      </c>
      <c r="C1360" s="222" t="s">
        <v>3124</v>
      </c>
      <c r="D1360" s="221" t="s">
        <v>205</v>
      </c>
      <c r="E1360" s="221" t="s">
        <v>395</v>
      </c>
      <c r="F1360" s="223">
        <v>15000</v>
      </c>
      <c r="G1360" s="221" t="s">
        <v>71</v>
      </c>
      <c r="H1360" s="221" t="s">
        <v>71</v>
      </c>
      <c r="I1360" s="222"/>
    </row>
    <row r="1361" ht="17.25" customHeight="1" spans="1:9" x14ac:dyDescent="0.25">
      <c r="A1361" s="220">
        <v>1403</v>
      </c>
      <c r="B1361" s="221" t="s">
        <v>3125</v>
      </c>
      <c r="C1361" s="222" t="s">
        <v>3126</v>
      </c>
      <c r="D1361" s="221" t="s">
        <v>205</v>
      </c>
      <c r="E1361" s="221" t="s">
        <v>395</v>
      </c>
      <c r="F1361" s="223">
        <v>13000</v>
      </c>
      <c r="G1361" s="221" t="s">
        <v>71</v>
      </c>
      <c r="H1361" s="221" t="s">
        <v>71</v>
      </c>
      <c r="I1361" s="222"/>
    </row>
    <row r="1362" ht="17.25" customHeight="1" spans="1:9" x14ac:dyDescent="0.25">
      <c r="A1362" s="220">
        <v>1404</v>
      </c>
      <c r="B1362" s="221" t="s">
        <v>3127</v>
      </c>
      <c r="C1362" s="222" t="s">
        <v>3128</v>
      </c>
      <c r="D1362" s="221" t="s">
        <v>205</v>
      </c>
      <c r="E1362" s="221" t="s">
        <v>395</v>
      </c>
      <c r="F1362" s="223">
        <v>15000</v>
      </c>
      <c r="G1362" s="221" t="s">
        <v>71</v>
      </c>
      <c r="H1362" s="221" t="s">
        <v>71</v>
      </c>
      <c r="I1362" s="222"/>
    </row>
    <row r="1363" ht="17.25" customHeight="1" spans="1:9" x14ac:dyDescent="0.25">
      <c r="A1363" s="220">
        <v>1405</v>
      </c>
      <c r="B1363" s="221" t="s">
        <v>3129</v>
      </c>
      <c r="C1363" s="222" t="s">
        <v>3130</v>
      </c>
      <c r="D1363" s="221" t="s">
        <v>205</v>
      </c>
      <c r="E1363" s="221" t="s">
        <v>395</v>
      </c>
      <c r="F1363" s="223">
        <v>12500</v>
      </c>
      <c r="G1363" s="221" t="s">
        <v>71</v>
      </c>
      <c r="H1363" s="221" t="s">
        <v>71</v>
      </c>
      <c r="I1363" s="222"/>
    </row>
    <row r="1364" ht="17.25" customHeight="1" spans="1:9" x14ac:dyDescent="0.25">
      <c r="A1364" s="220">
        <v>1406</v>
      </c>
      <c r="B1364" s="221" t="s">
        <v>3131</v>
      </c>
      <c r="C1364" s="222" t="s">
        <v>3132</v>
      </c>
      <c r="D1364" s="221" t="s">
        <v>205</v>
      </c>
      <c r="E1364" s="221" t="s">
        <v>395</v>
      </c>
      <c r="F1364" s="223">
        <v>14500</v>
      </c>
      <c r="G1364" s="221" t="s">
        <v>71</v>
      </c>
      <c r="H1364" s="221" t="s">
        <v>71</v>
      </c>
      <c r="I1364" s="222"/>
    </row>
    <row r="1365" ht="17.25" customHeight="1" spans="1:9" x14ac:dyDescent="0.25">
      <c r="A1365" s="220">
        <v>1407</v>
      </c>
      <c r="B1365" s="221" t="s">
        <v>3133</v>
      </c>
      <c r="C1365" s="222" t="s">
        <v>3134</v>
      </c>
      <c r="D1365" s="221" t="s">
        <v>205</v>
      </c>
      <c r="E1365" s="221" t="s">
        <v>395</v>
      </c>
      <c r="F1365" s="223">
        <v>13000</v>
      </c>
      <c r="G1365" s="221" t="s">
        <v>71</v>
      </c>
      <c r="H1365" s="221" t="s">
        <v>71</v>
      </c>
      <c r="I1365" s="222"/>
    </row>
    <row r="1366" ht="17.25" customHeight="1" spans="1:9" x14ac:dyDescent="0.25">
      <c r="A1366" s="220">
        <v>1408</v>
      </c>
      <c r="B1366" s="221" t="s">
        <v>3135</v>
      </c>
      <c r="C1366" s="222" t="s">
        <v>3136</v>
      </c>
      <c r="D1366" s="221" t="s">
        <v>205</v>
      </c>
      <c r="E1366" s="221" t="s">
        <v>395</v>
      </c>
      <c r="F1366" s="223">
        <v>15000</v>
      </c>
      <c r="G1366" s="221" t="s">
        <v>71</v>
      </c>
      <c r="H1366" s="221" t="s">
        <v>71</v>
      </c>
      <c r="I1366" s="222"/>
    </row>
    <row r="1367" ht="17.25" customHeight="1" spans="1:9" x14ac:dyDescent="0.25">
      <c r="A1367" s="220">
        <v>1409</v>
      </c>
      <c r="B1367" s="221" t="s">
        <v>3137</v>
      </c>
      <c r="C1367" s="222" t="s">
        <v>3138</v>
      </c>
      <c r="D1367" s="221" t="s">
        <v>205</v>
      </c>
      <c r="E1367" s="221" t="s">
        <v>395</v>
      </c>
      <c r="F1367" s="223">
        <v>13000</v>
      </c>
      <c r="G1367" s="221" t="s">
        <v>71</v>
      </c>
      <c r="H1367" s="221" t="s">
        <v>71</v>
      </c>
      <c r="I1367" s="222"/>
    </row>
    <row r="1368" ht="17.25" customHeight="1" spans="1:9" x14ac:dyDescent="0.25">
      <c r="A1368" s="220">
        <v>1410</v>
      </c>
      <c r="B1368" s="221" t="s">
        <v>3139</v>
      </c>
      <c r="C1368" s="222" t="s">
        <v>3140</v>
      </c>
      <c r="D1368" s="221" t="s">
        <v>205</v>
      </c>
      <c r="E1368" s="221" t="s">
        <v>395</v>
      </c>
      <c r="F1368" s="223">
        <v>15000</v>
      </c>
      <c r="G1368" s="221" t="s">
        <v>71</v>
      </c>
      <c r="H1368" s="221" t="s">
        <v>71</v>
      </c>
      <c r="I1368" s="222"/>
    </row>
    <row r="1369" ht="17.25" customHeight="1" spans="1:9" x14ac:dyDescent="0.25">
      <c r="A1369" s="220">
        <v>1411</v>
      </c>
      <c r="B1369" s="221" t="s">
        <v>3141</v>
      </c>
      <c r="C1369" s="222" t="s">
        <v>3142</v>
      </c>
      <c r="D1369" s="221" t="s">
        <v>205</v>
      </c>
      <c r="E1369" s="221" t="s">
        <v>395</v>
      </c>
      <c r="F1369" s="223">
        <v>16500</v>
      </c>
      <c r="G1369" s="221" t="s">
        <v>71</v>
      </c>
      <c r="H1369" s="221" t="s">
        <v>71</v>
      </c>
      <c r="I1369" s="222"/>
    </row>
    <row r="1370" ht="17.25" customHeight="1" spans="1:9" x14ac:dyDescent="0.25">
      <c r="A1370" s="220">
        <v>1412</v>
      </c>
      <c r="B1370" s="221" t="s">
        <v>3143</v>
      </c>
      <c r="C1370" s="222" t="s">
        <v>3144</v>
      </c>
      <c r="D1370" s="221" t="s">
        <v>205</v>
      </c>
      <c r="E1370" s="221" t="s">
        <v>395</v>
      </c>
      <c r="F1370" s="223">
        <v>16500</v>
      </c>
      <c r="G1370" s="221" t="s">
        <v>71</v>
      </c>
      <c r="H1370" s="221" t="s">
        <v>71</v>
      </c>
      <c r="I1370" s="222"/>
    </row>
    <row r="1371" ht="17.25" customHeight="1" spans="1:9" x14ac:dyDescent="0.25">
      <c r="A1371" s="220">
        <v>1413</v>
      </c>
      <c r="B1371" s="221" t="s">
        <v>3145</v>
      </c>
      <c r="C1371" s="222" t="s">
        <v>3146</v>
      </c>
      <c r="D1371" s="221" t="s">
        <v>205</v>
      </c>
      <c r="E1371" s="221" t="s">
        <v>395</v>
      </c>
      <c r="F1371" s="223">
        <v>16500</v>
      </c>
      <c r="G1371" s="221" t="s">
        <v>71</v>
      </c>
      <c r="H1371" s="221" t="s">
        <v>71</v>
      </c>
      <c r="I1371" s="222"/>
    </row>
    <row r="1372" ht="17.25" customHeight="1" spans="1:9" x14ac:dyDescent="0.25">
      <c r="A1372" s="220">
        <v>1414</v>
      </c>
      <c r="B1372" s="221" t="s">
        <v>3147</v>
      </c>
      <c r="C1372" s="222" t="s">
        <v>3148</v>
      </c>
      <c r="D1372" s="221" t="s">
        <v>205</v>
      </c>
      <c r="E1372" s="221" t="s">
        <v>395</v>
      </c>
      <c r="F1372" s="223">
        <v>12500</v>
      </c>
      <c r="G1372" s="221" t="s">
        <v>71</v>
      </c>
      <c r="H1372" s="221" t="s">
        <v>71</v>
      </c>
      <c r="I1372" s="222"/>
    </row>
    <row r="1373" ht="17.25" customHeight="1" spans="1:9" x14ac:dyDescent="0.25">
      <c r="A1373" s="220">
        <v>1415</v>
      </c>
      <c r="B1373" s="221" t="s">
        <v>3149</v>
      </c>
      <c r="C1373" s="222" t="s">
        <v>3150</v>
      </c>
      <c r="D1373" s="221" t="s">
        <v>205</v>
      </c>
      <c r="E1373" s="221" t="s">
        <v>395</v>
      </c>
      <c r="F1373" s="223">
        <v>14500</v>
      </c>
      <c r="G1373" s="221" t="s">
        <v>71</v>
      </c>
      <c r="H1373" s="221" t="s">
        <v>71</v>
      </c>
      <c r="I1373" s="222"/>
    </row>
    <row r="1374" ht="17.25" customHeight="1" spans="1:9" x14ac:dyDescent="0.25">
      <c r="A1374" s="220">
        <v>1416</v>
      </c>
      <c r="B1374" s="221" t="s">
        <v>3151</v>
      </c>
      <c r="C1374" s="222" t="s">
        <v>3152</v>
      </c>
      <c r="D1374" s="221" t="s">
        <v>205</v>
      </c>
      <c r="E1374" s="221" t="s">
        <v>395</v>
      </c>
      <c r="F1374" s="223">
        <v>11500</v>
      </c>
      <c r="G1374" s="221" t="s">
        <v>71</v>
      </c>
      <c r="H1374" s="221" t="s">
        <v>71</v>
      </c>
      <c r="I1374" s="222"/>
    </row>
    <row r="1375" ht="17.25" customHeight="1" spans="1:9" x14ac:dyDescent="0.25">
      <c r="A1375" s="220">
        <v>1417</v>
      </c>
      <c r="B1375" s="221" t="s">
        <v>3153</v>
      </c>
      <c r="C1375" s="222" t="s">
        <v>3154</v>
      </c>
      <c r="D1375" s="221" t="s">
        <v>205</v>
      </c>
      <c r="E1375" s="221" t="s">
        <v>395</v>
      </c>
      <c r="F1375" s="223">
        <v>13500</v>
      </c>
      <c r="G1375" s="221" t="s">
        <v>71</v>
      </c>
      <c r="H1375" s="221" t="s">
        <v>71</v>
      </c>
      <c r="I1375" s="222"/>
    </row>
    <row r="1376" ht="17.25" customHeight="1" spans="1:9" x14ac:dyDescent="0.25">
      <c r="A1376" s="220">
        <v>1418</v>
      </c>
      <c r="B1376" s="221" t="s">
        <v>3155</v>
      </c>
      <c r="C1376" s="222" t="s">
        <v>3156</v>
      </c>
      <c r="D1376" s="221" t="s">
        <v>205</v>
      </c>
      <c r="E1376" s="221" t="s">
        <v>395</v>
      </c>
      <c r="F1376" s="223">
        <v>11500</v>
      </c>
      <c r="G1376" s="221" t="s">
        <v>71</v>
      </c>
      <c r="H1376" s="221" t="s">
        <v>71</v>
      </c>
      <c r="I1376" s="222"/>
    </row>
    <row r="1377" ht="17.25" customHeight="1" spans="1:9" x14ac:dyDescent="0.25">
      <c r="A1377" s="220">
        <v>1419</v>
      </c>
      <c r="B1377" s="221" t="s">
        <v>3157</v>
      </c>
      <c r="C1377" s="222" t="s">
        <v>3158</v>
      </c>
      <c r="D1377" s="221" t="s">
        <v>205</v>
      </c>
      <c r="E1377" s="221" t="s">
        <v>395</v>
      </c>
      <c r="F1377" s="223">
        <v>13500</v>
      </c>
      <c r="G1377" s="221" t="s">
        <v>71</v>
      </c>
      <c r="H1377" s="221" t="s">
        <v>71</v>
      </c>
      <c r="I1377" s="222"/>
    </row>
    <row r="1378" ht="17.25" customHeight="1" spans="1:9" x14ac:dyDescent="0.25">
      <c r="A1378" s="220">
        <v>1420</v>
      </c>
      <c r="B1378" s="221" t="s">
        <v>3159</v>
      </c>
      <c r="C1378" s="222" t="s">
        <v>3160</v>
      </c>
      <c r="D1378" s="221" t="s">
        <v>205</v>
      </c>
      <c r="E1378" s="221" t="s">
        <v>395</v>
      </c>
      <c r="F1378" s="223">
        <v>16000</v>
      </c>
      <c r="G1378" s="221" t="s">
        <v>71</v>
      </c>
      <c r="H1378" s="221" t="s">
        <v>71</v>
      </c>
      <c r="I1378" s="222"/>
    </row>
    <row r="1379" ht="17.25" customHeight="1" spans="1:9" x14ac:dyDescent="0.25">
      <c r="A1379" s="220">
        <v>1421</v>
      </c>
      <c r="B1379" s="221" t="s">
        <v>3161</v>
      </c>
      <c r="C1379" s="222" t="s">
        <v>3162</v>
      </c>
      <c r="D1379" s="221" t="s">
        <v>205</v>
      </c>
      <c r="E1379" s="221" t="s">
        <v>395</v>
      </c>
      <c r="F1379" s="223">
        <v>17000</v>
      </c>
      <c r="G1379" s="221" t="s">
        <v>71</v>
      </c>
      <c r="H1379" s="221" t="s">
        <v>71</v>
      </c>
      <c r="I1379" s="222"/>
    </row>
    <row r="1380" ht="17.25" customHeight="1" spans="1:9" x14ac:dyDescent="0.25">
      <c r="A1380" s="220">
        <v>1422</v>
      </c>
      <c r="B1380" s="221" t="s">
        <v>3163</v>
      </c>
      <c r="C1380" s="222" t="s">
        <v>3164</v>
      </c>
      <c r="D1380" s="221" t="s">
        <v>205</v>
      </c>
      <c r="E1380" s="221" t="s">
        <v>395</v>
      </c>
      <c r="F1380" s="223">
        <v>12000</v>
      </c>
      <c r="G1380" s="221" t="s">
        <v>71</v>
      </c>
      <c r="H1380" s="221" t="s">
        <v>71</v>
      </c>
      <c r="I1380" s="222"/>
    </row>
    <row r="1381" ht="17.25" customHeight="1" spans="1:9" x14ac:dyDescent="0.25">
      <c r="A1381" s="220">
        <v>1423</v>
      </c>
      <c r="B1381" s="221" t="s">
        <v>3165</v>
      </c>
      <c r="C1381" s="222" t="s">
        <v>3166</v>
      </c>
      <c r="D1381" s="221" t="s">
        <v>205</v>
      </c>
      <c r="E1381" s="221" t="s">
        <v>395</v>
      </c>
      <c r="F1381" s="223">
        <v>14000</v>
      </c>
      <c r="G1381" s="221" t="s">
        <v>71</v>
      </c>
      <c r="H1381" s="221" t="s">
        <v>71</v>
      </c>
      <c r="I1381" s="222"/>
    </row>
    <row r="1382" ht="17.25" customHeight="1" spans="1:9" x14ac:dyDescent="0.25">
      <c r="A1382" s="220">
        <v>1424</v>
      </c>
      <c r="B1382" s="221" t="s">
        <v>3167</v>
      </c>
      <c r="C1382" s="222" t="s">
        <v>3168</v>
      </c>
      <c r="D1382" s="221" t="s">
        <v>205</v>
      </c>
      <c r="E1382" s="221" t="s">
        <v>395</v>
      </c>
      <c r="F1382" s="223">
        <v>12000</v>
      </c>
      <c r="G1382" s="221" t="s">
        <v>71</v>
      </c>
      <c r="H1382" s="221" t="s">
        <v>71</v>
      </c>
      <c r="I1382" s="222"/>
    </row>
    <row r="1383" ht="17.25" customHeight="1" spans="1:9" x14ac:dyDescent="0.25">
      <c r="A1383" s="220">
        <v>1425</v>
      </c>
      <c r="B1383" s="221" t="s">
        <v>3169</v>
      </c>
      <c r="C1383" s="222" t="s">
        <v>3170</v>
      </c>
      <c r="D1383" s="221" t="s">
        <v>205</v>
      </c>
      <c r="E1383" s="221" t="s">
        <v>395</v>
      </c>
      <c r="F1383" s="223">
        <v>12000</v>
      </c>
      <c r="G1383" s="221" t="s">
        <v>71</v>
      </c>
      <c r="H1383" s="221" t="s">
        <v>71</v>
      </c>
      <c r="I1383" s="222"/>
    </row>
    <row r="1384" ht="17.25" customHeight="1" spans="1:9" x14ac:dyDescent="0.25">
      <c r="A1384" s="220">
        <v>1426</v>
      </c>
      <c r="B1384" s="221" t="s">
        <v>3171</v>
      </c>
      <c r="C1384" s="222" t="s">
        <v>3172</v>
      </c>
      <c r="D1384" s="221" t="s">
        <v>205</v>
      </c>
      <c r="E1384" s="221" t="s">
        <v>395</v>
      </c>
      <c r="F1384" s="223">
        <v>14000</v>
      </c>
      <c r="G1384" s="221" t="s">
        <v>71</v>
      </c>
      <c r="H1384" s="221" t="s">
        <v>71</v>
      </c>
      <c r="I1384" s="222"/>
    </row>
    <row r="1385" ht="17.25" customHeight="1" spans="1:9" x14ac:dyDescent="0.25">
      <c r="A1385" s="220">
        <v>1427</v>
      </c>
      <c r="B1385" s="221" t="s">
        <v>3173</v>
      </c>
      <c r="C1385" s="222" t="s">
        <v>3174</v>
      </c>
      <c r="D1385" s="221" t="s">
        <v>205</v>
      </c>
      <c r="E1385" s="221" t="s">
        <v>395</v>
      </c>
      <c r="F1385" s="223">
        <v>12000</v>
      </c>
      <c r="G1385" s="221" t="s">
        <v>71</v>
      </c>
      <c r="H1385" s="221" t="s">
        <v>71</v>
      </c>
      <c r="I1385" s="222"/>
    </row>
    <row r="1386" ht="17.25" customHeight="1" spans="1:9" x14ac:dyDescent="0.25">
      <c r="A1386" s="220">
        <v>1428</v>
      </c>
      <c r="B1386" s="221" t="s">
        <v>3175</v>
      </c>
      <c r="C1386" s="222" t="s">
        <v>3176</v>
      </c>
      <c r="D1386" s="221" t="s">
        <v>205</v>
      </c>
      <c r="E1386" s="221" t="s">
        <v>395</v>
      </c>
      <c r="F1386" s="223">
        <v>14000</v>
      </c>
      <c r="G1386" s="221" t="s">
        <v>71</v>
      </c>
      <c r="H1386" s="221" t="s">
        <v>71</v>
      </c>
      <c r="I1386" s="222"/>
    </row>
    <row r="1387" ht="17.25" customHeight="1" spans="1:9" x14ac:dyDescent="0.25">
      <c r="A1387" s="220">
        <v>1429</v>
      </c>
      <c r="B1387" s="221" t="s">
        <v>3177</v>
      </c>
      <c r="C1387" s="222" t="s">
        <v>3178</v>
      </c>
      <c r="D1387" s="221" t="s">
        <v>205</v>
      </c>
      <c r="E1387" s="221" t="s">
        <v>395</v>
      </c>
      <c r="F1387" s="223">
        <v>13000</v>
      </c>
      <c r="G1387" s="221" t="s">
        <v>71</v>
      </c>
      <c r="H1387" s="221" t="s">
        <v>71</v>
      </c>
      <c r="I1387" s="222"/>
    </row>
    <row r="1388" ht="17.25" customHeight="1" spans="1:9" x14ac:dyDescent="0.25">
      <c r="A1388" s="220">
        <v>1430</v>
      </c>
      <c r="B1388" s="221" t="s">
        <v>3179</v>
      </c>
      <c r="C1388" s="222" t="s">
        <v>3180</v>
      </c>
      <c r="D1388" s="221" t="s">
        <v>205</v>
      </c>
      <c r="E1388" s="221" t="s">
        <v>395</v>
      </c>
      <c r="F1388" s="223">
        <v>15000</v>
      </c>
      <c r="G1388" s="221" t="s">
        <v>71</v>
      </c>
      <c r="H1388" s="221" t="s">
        <v>71</v>
      </c>
      <c r="I1388" s="222"/>
    </row>
    <row r="1389" ht="17.25" customHeight="1" spans="1:9" x14ac:dyDescent="0.25">
      <c r="A1389" s="220">
        <v>1431</v>
      </c>
      <c r="B1389" s="221" t="s">
        <v>3181</v>
      </c>
      <c r="C1389" s="222" t="s">
        <v>3182</v>
      </c>
      <c r="D1389" s="221" t="s">
        <v>205</v>
      </c>
      <c r="E1389" s="221" t="s">
        <v>395</v>
      </c>
      <c r="F1389" s="223">
        <v>13000</v>
      </c>
      <c r="G1389" s="221" t="s">
        <v>71</v>
      </c>
      <c r="H1389" s="221" t="s">
        <v>71</v>
      </c>
      <c r="I1389" s="222"/>
    </row>
    <row r="1390" ht="17.25" customHeight="1" spans="1:9" x14ac:dyDescent="0.25">
      <c r="A1390" s="220">
        <v>1432</v>
      </c>
      <c r="B1390" s="221" t="s">
        <v>3183</v>
      </c>
      <c r="C1390" s="222" t="s">
        <v>3184</v>
      </c>
      <c r="D1390" s="221" t="s">
        <v>205</v>
      </c>
      <c r="E1390" s="221" t="s">
        <v>395</v>
      </c>
      <c r="F1390" s="223">
        <v>13000</v>
      </c>
      <c r="G1390" s="221" t="s">
        <v>71</v>
      </c>
      <c r="H1390" s="221" t="s">
        <v>71</v>
      </c>
      <c r="I1390" s="222"/>
    </row>
    <row r="1391" ht="17.25" customHeight="1" spans="1:9" x14ac:dyDescent="0.25">
      <c r="A1391" s="220">
        <v>1433</v>
      </c>
      <c r="B1391" s="221" t="s">
        <v>3185</v>
      </c>
      <c r="C1391" s="222" t="s">
        <v>3186</v>
      </c>
      <c r="D1391" s="221" t="s">
        <v>205</v>
      </c>
      <c r="E1391" s="221" t="s">
        <v>395</v>
      </c>
      <c r="F1391" s="223">
        <v>15000</v>
      </c>
      <c r="G1391" s="221" t="s">
        <v>71</v>
      </c>
      <c r="H1391" s="221" t="s">
        <v>71</v>
      </c>
      <c r="I1391" s="222"/>
    </row>
    <row r="1392" ht="17.25" customHeight="1" spans="1:9" x14ac:dyDescent="0.25">
      <c r="A1392" s="220">
        <v>1434</v>
      </c>
      <c r="B1392" s="221" t="s">
        <v>3187</v>
      </c>
      <c r="C1392" s="222" t="s">
        <v>3188</v>
      </c>
      <c r="D1392" s="221" t="s">
        <v>205</v>
      </c>
      <c r="E1392" s="221" t="s">
        <v>395</v>
      </c>
      <c r="F1392" s="223">
        <v>12000</v>
      </c>
      <c r="G1392" s="221" t="s">
        <v>71</v>
      </c>
      <c r="H1392" s="221" t="s">
        <v>71</v>
      </c>
      <c r="I1392" s="222"/>
    </row>
    <row r="1393" ht="17.25" customHeight="1" spans="1:9" x14ac:dyDescent="0.25">
      <c r="A1393" s="220">
        <v>1435</v>
      </c>
      <c r="B1393" s="221" t="s">
        <v>3189</v>
      </c>
      <c r="C1393" s="222" t="s">
        <v>3190</v>
      </c>
      <c r="D1393" s="221" t="s">
        <v>205</v>
      </c>
      <c r="E1393" s="221" t="s">
        <v>395</v>
      </c>
      <c r="F1393" s="223">
        <v>14000</v>
      </c>
      <c r="G1393" s="221" t="s">
        <v>71</v>
      </c>
      <c r="H1393" s="221" t="s">
        <v>71</v>
      </c>
      <c r="I1393" s="222"/>
    </row>
    <row r="1394" ht="17.25" customHeight="1" spans="1:9" x14ac:dyDescent="0.25">
      <c r="A1394" s="220">
        <v>1436</v>
      </c>
      <c r="B1394" s="221" t="s">
        <v>3191</v>
      </c>
      <c r="C1394" s="222" t="s">
        <v>3192</v>
      </c>
      <c r="D1394" s="221" t="s">
        <v>205</v>
      </c>
      <c r="E1394" s="221" t="s">
        <v>395</v>
      </c>
      <c r="F1394" s="223">
        <v>12000</v>
      </c>
      <c r="G1394" s="221" t="s">
        <v>71</v>
      </c>
      <c r="H1394" s="221" t="s">
        <v>71</v>
      </c>
      <c r="I1394" s="222"/>
    </row>
    <row r="1395" ht="17.25" customHeight="1" spans="1:9" x14ac:dyDescent="0.25">
      <c r="A1395" s="220">
        <v>1437</v>
      </c>
      <c r="B1395" s="221" t="s">
        <v>3193</v>
      </c>
      <c r="C1395" s="222" t="s">
        <v>3194</v>
      </c>
      <c r="D1395" s="221" t="s">
        <v>205</v>
      </c>
      <c r="E1395" s="221" t="s">
        <v>395</v>
      </c>
      <c r="F1395" s="223">
        <v>12500</v>
      </c>
      <c r="G1395" s="221" t="s">
        <v>71</v>
      </c>
      <c r="H1395" s="221" t="s">
        <v>71</v>
      </c>
      <c r="I1395" s="222"/>
    </row>
    <row r="1396" ht="17.25" customHeight="1" spans="1:9" x14ac:dyDescent="0.25">
      <c r="A1396" s="220">
        <v>1438</v>
      </c>
      <c r="B1396" s="221" t="s">
        <v>3195</v>
      </c>
      <c r="C1396" s="222" t="s">
        <v>3196</v>
      </c>
      <c r="D1396" s="221" t="s">
        <v>205</v>
      </c>
      <c r="E1396" s="221" t="s">
        <v>395</v>
      </c>
      <c r="F1396" s="223">
        <v>14500</v>
      </c>
      <c r="G1396" s="221" t="s">
        <v>71</v>
      </c>
      <c r="H1396" s="221" t="s">
        <v>71</v>
      </c>
      <c r="I1396" s="222"/>
    </row>
    <row r="1397" ht="17.25" customHeight="1" spans="1:9" x14ac:dyDescent="0.25">
      <c r="A1397" s="220">
        <v>1439</v>
      </c>
      <c r="B1397" s="221" t="s">
        <v>3197</v>
      </c>
      <c r="C1397" s="222" t="s">
        <v>3198</v>
      </c>
      <c r="D1397" s="221" t="s">
        <v>205</v>
      </c>
      <c r="E1397" s="221" t="s">
        <v>395</v>
      </c>
      <c r="F1397" s="223">
        <v>15500</v>
      </c>
      <c r="G1397" s="221" t="s">
        <v>71</v>
      </c>
      <c r="H1397" s="221" t="s">
        <v>71</v>
      </c>
      <c r="I1397" s="222"/>
    </row>
    <row r="1398" ht="17.25" customHeight="1" spans="1:9" x14ac:dyDescent="0.25">
      <c r="A1398" s="220">
        <v>1440</v>
      </c>
      <c r="B1398" s="221" t="s">
        <v>3199</v>
      </c>
      <c r="C1398" s="222" t="s">
        <v>3200</v>
      </c>
      <c r="D1398" s="221" t="s">
        <v>205</v>
      </c>
      <c r="E1398" s="221" t="s">
        <v>395</v>
      </c>
      <c r="F1398" s="223">
        <v>15000</v>
      </c>
      <c r="G1398" s="221" t="s">
        <v>71</v>
      </c>
      <c r="H1398" s="221" t="s">
        <v>71</v>
      </c>
      <c r="I1398" s="222"/>
    </row>
    <row r="1399" ht="17.25" customHeight="1" spans="1:9" x14ac:dyDescent="0.25">
      <c r="A1399" s="220">
        <v>1441</v>
      </c>
      <c r="B1399" s="221" t="s">
        <v>3201</v>
      </c>
      <c r="C1399" s="222" t="s">
        <v>3202</v>
      </c>
      <c r="D1399" s="221" t="s">
        <v>205</v>
      </c>
      <c r="E1399" s="221" t="s">
        <v>395</v>
      </c>
      <c r="F1399" s="223">
        <v>17000</v>
      </c>
      <c r="G1399" s="221" t="s">
        <v>71</v>
      </c>
      <c r="H1399" s="221" t="s">
        <v>71</v>
      </c>
      <c r="I1399" s="222"/>
    </row>
    <row r="1400" ht="17.25" customHeight="1" spans="1:9" x14ac:dyDescent="0.25">
      <c r="A1400" s="220">
        <v>1442</v>
      </c>
      <c r="B1400" s="221" t="s">
        <v>3203</v>
      </c>
      <c r="C1400" s="222" t="s">
        <v>3204</v>
      </c>
      <c r="D1400" s="221" t="s">
        <v>205</v>
      </c>
      <c r="E1400" s="221" t="s">
        <v>395</v>
      </c>
      <c r="F1400" s="223">
        <v>13000</v>
      </c>
      <c r="G1400" s="221" t="s">
        <v>71</v>
      </c>
      <c r="H1400" s="221" t="s">
        <v>71</v>
      </c>
      <c r="I1400" s="222"/>
    </row>
    <row r="1401" ht="17.25" customHeight="1" spans="1:9" x14ac:dyDescent="0.25">
      <c r="A1401" s="220">
        <v>1443</v>
      </c>
      <c r="B1401" s="221" t="s">
        <v>3205</v>
      </c>
      <c r="C1401" s="222" t="s">
        <v>3206</v>
      </c>
      <c r="D1401" s="221" t="s">
        <v>205</v>
      </c>
      <c r="E1401" s="221" t="s">
        <v>395</v>
      </c>
      <c r="F1401" s="223">
        <v>15000</v>
      </c>
      <c r="G1401" s="221" t="s">
        <v>71</v>
      </c>
      <c r="H1401" s="221" t="s">
        <v>71</v>
      </c>
      <c r="I1401" s="222"/>
    </row>
    <row r="1402" ht="17.25" customHeight="1" spans="1:9" x14ac:dyDescent="0.25">
      <c r="A1402" s="220">
        <v>1444</v>
      </c>
      <c r="B1402" s="221" t="s">
        <v>3207</v>
      </c>
      <c r="C1402" s="222" t="s">
        <v>3208</v>
      </c>
      <c r="D1402" s="221" t="s">
        <v>205</v>
      </c>
      <c r="E1402" s="221" t="s">
        <v>395</v>
      </c>
      <c r="F1402" s="223">
        <v>13000</v>
      </c>
      <c r="G1402" s="221" t="s">
        <v>71</v>
      </c>
      <c r="H1402" s="221" t="s">
        <v>71</v>
      </c>
      <c r="I1402" s="222"/>
    </row>
    <row r="1403" ht="17.25" customHeight="1" spans="1:9" x14ac:dyDescent="0.25">
      <c r="A1403" s="220">
        <v>1445</v>
      </c>
      <c r="B1403" s="221" t="s">
        <v>3209</v>
      </c>
      <c r="C1403" s="222" t="s">
        <v>3210</v>
      </c>
      <c r="D1403" s="221" t="s">
        <v>205</v>
      </c>
      <c r="E1403" s="221" t="s">
        <v>395</v>
      </c>
      <c r="F1403" s="223">
        <v>15000</v>
      </c>
      <c r="G1403" s="221" t="s">
        <v>71</v>
      </c>
      <c r="H1403" s="221" t="s">
        <v>71</v>
      </c>
      <c r="I1403" s="222"/>
    </row>
    <row r="1404" ht="17.25" customHeight="1" spans="1:9" x14ac:dyDescent="0.25">
      <c r="A1404" s="220">
        <v>1446</v>
      </c>
      <c r="B1404" s="221" t="s">
        <v>3211</v>
      </c>
      <c r="C1404" s="222" t="s">
        <v>3212</v>
      </c>
      <c r="D1404" s="221" t="s">
        <v>205</v>
      </c>
      <c r="E1404" s="221" t="s">
        <v>395</v>
      </c>
      <c r="F1404" s="223">
        <v>13000</v>
      </c>
      <c r="G1404" s="221" t="s">
        <v>71</v>
      </c>
      <c r="H1404" s="221" t="s">
        <v>71</v>
      </c>
      <c r="I1404" s="222"/>
    </row>
    <row r="1405" ht="17.25" customHeight="1" spans="1:9" x14ac:dyDescent="0.25">
      <c r="A1405" s="220">
        <v>1447</v>
      </c>
      <c r="B1405" s="221" t="s">
        <v>3213</v>
      </c>
      <c r="C1405" s="222" t="s">
        <v>3214</v>
      </c>
      <c r="D1405" s="221" t="s">
        <v>205</v>
      </c>
      <c r="E1405" s="221" t="s">
        <v>395</v>
      </c>
      <c r="F1405" s="223">
        <v>15000</v>
      </c>
      <c r="G1405" s="221" t="s">
        <v>71</v>
      </c>
      <c r="H1405" s="221" t="s">
        <v>71</v>
      </c>
      <c r="I1405" s="222"/>
    </row>
    <row r="1406" ht="17.25" customHeight="1" spans="1:9" x14ac:dyDescent="0.25">
      <c r="A1406" s="220">
        <v>1448</v>
      </c>
      <c r="B1406" s="221" t="s">
        <v>3215</v>
      </c>
      <c r="C1406" s="222" t="s">
        <v>3216</v>
      </c>
      <c r="D1406" s="221" t="s">
        <v>205</v>
      </c>
      <c r="E1406" s="221" t="s">
        <v>395</v>
      </c>
      <c r="F1406" s="223">
        <v>13000</v>
      </c>
      <c r="G1406" s="221" t="s">
        <v>71</v>
      </c>
      <c r="H1406" s="221" t="s">
        <v>71</v>
      </c>
      <c r="I1406" s="222"/>
    </row>
    <row r="1407" ht="17.25" customHeight="1" spans="1:9" x14ac:dyDescent="0.25">
      <c r="A1407" s="220">
        <v>1449</v>
      </c>
      <c r="B1407" s="221" t="s">
        <v>3217</v>
      </c>
      <c r="C1407" s="222" t="s">
        <v>3218</v>
      </c>
      <c r="D1407" s="221" t="s">
        <v>205</v>
      </c>
      <c r="E1407" s="221" t="s">
        <v>395</v>
      </c>
      <c r="F1407" s="223">
        <v>15000</v>
      </c>
      <c r="G1407" s="221" t="s">
        <v>71</v>
      </c>
      <c r="H1407" s="221" t="s">
        <v>71</v>
      </c>
      <c r="I1407" s="222"/>
    </row>
    <row r="1408" ht="17.25" customHeight="1" spans="1:9" x14ac:dyDescent="0.25">
      <c r="A1408" s="220">
        <v>1450</v>
      </c>
      <c r="B1408" s="221" t="s">
        <v>3219</v>
      </c>
      <c r="C1408" s="222" t="s">
        <v>3220</v>
      </c>
      <c r="D1408" s="221" t="s">
        <v>205</v>
      </c>
      <c r="E1408" s="221" t="s">
        <v>395</v>
      </c>
      <c r="F1408" s="223">
        <v>17000</v>
      </c>
      <c r="G1408" s="221" t="s">
        <v>71</v>
      </c>
      <c r="H1408" s="221" t="s">
        <v>71</v>
      </c>
      <c r="I1408" s="222"/>
    </row>
    <row r="1409" ht="17.25" customHeight="1" spans="1:9" x14ac:dyDescent="0.25">
      <c r="A1409" s="220">
        <v>1451</v>
      </c>
      <c r="B1409" s="221" t="s">
        <v>3221</v>
      </c>
      <c r="C1409" s="222" t="s">
        <v>3222</v>
      </c>
      <c r="D1409" s="221" t="s">
        <v>205</v>
      </c>
      <c r="E1409" s="221" t="s">
        <v>395</v>
      </c>
      <c r="F1409" s="223">
        <v>16500</v>
      </c>
      <c r="G1409" s="221" t="s">
        <v>71</v>
      </c>
      <c r="H1409" s="221" t="s">
        <v>71</v>
      </c>
      <c r="I1409" s="222"/>
    </row>
    <row r="1410" ht="17.25" customHeight="1" spans="1:9" x14ac:dyDescent="0.25">
      <c r="A1410" s="220">
        <v>1452</v>
      </c>
      <c r="B1410" s="221" t="s">
        <v>3223</v>
      </c>
      <c r="C1410" s="222" t="s">
        <v>3224</v>
      </c>
      <c r="D1410" s="221" t="s">
        <v>205</v>
      </c>
      <c r="E1410" s="221" t="s">
        <v>395</v>
      </c>
      <c r="F1410" s="223">
        <v>13000</v>
      </c>
      <c r="G1410" s="221" t="s">
        <v>71</v>
      </c>
      <c r="H1410" s="221" t="s">
        <v>71</v>
      </c>
      <c r="I1410" s="222"/>
    </row>
    <row r="1411" ht="17.25" customHeight="1" spans="1:9" x14ac:dyDescent="0.25">
      <c r="A1411" s="220">
        <v>1453</v>
      </c>
      <c r="B1411" s="221" t="s">
        <v>3225</v>
      </c>
      <c r="C1411" s="222" t="s">
        <v>3226</v>
      </c>
      <c r="D1411" s="221" t="s">
        <v>205</v>
      </c>
      <c r="E1411" s="221" t="s">
        <v>395</v>
      </c>
      <c r="F1411" s="223">
        <v>15000</v>
      </c>
      <c r="G1411" s="221" t="s">
        <v>71</v>
      </c>
      <c r="H1411" s="221" t="s">
        <v>71</v>
      </c>
      <c r="I1411" s="222"/>
    </row>
    <row r="1412" ht="17.25" customHeight="1" spans="1:9" x14ac:dyDescent="0.25">
      <c r="A1412" s="220">
        <v>1454</v>
      </c>
      <c r="B1412" s="221" t="s">
        <v>3227</v>
      </c>
      <c r="C1412" s="222" t="s">
        <v>3228</v>
      </c>
      <c r="D1412" s="221" t="s">
        <v>205</v>
      </c>
      <c r="E1412" s="221" t="s">
        <v>395</v>
      </c>
      <c r="F1412" s="223">
        <v>12500</v>
      </c>
      <c r="G1412" s="221" t="s">
        <v>71</v>
      </c>
      <c r="H1412" s="221" t="s">
        <v>71</v>
      </c>
      <c r="I1412" s="222"/>
    </row>
    <row r="1413" ht="17.25" customHeight="1" spans="1:9" x14ac:dyDescent="0.25">
      <c r="A1413" s="220">
        <v>1455</v>
      </c>
      <c r="B1413" s="221" t="s">
        <v>3229</v>
      </c>
      <c r="C1413" s="222" t="s">
        <v>3230</v>
      </c>
      <c r="D1413" s="221" t="s">
        <v>205</v>
      </c>
      <c r="E1413" s="221" t="s">
        <v>395</v>
      </c>
      <c r="F1413" s="223">
        <v>14500</v>
      </c>
      <c r="G1413" s="221" t="s">
        <v>71</v>
      </c>
      <c r="H1413" s="221" t="s">
        <v>71</v>
      </c>
      <c r="I1413" s="222"/>
    </row>
    <row r="1414" ht="17.25" customHeight="1" spans="1:9" x14ac:dyDescent="0.25">
      <c r="A1414" s="220">
        <v>1457</v>
      </c>
      <c r="B1414" s="221" t="s">
        <v>3231</v>
      </c>
      <c r="C1414" s="222" t="s">
        <v>3232</v>
      </c>
      <c r="D1414" s="221" t="s">
        <v>205</v>
      </c>
      <c r="E1414" s="221" t="s">
        <v>395</v>
      </c>
      <c r="F1414" s="223">
        <v>12000</v>
      </c>
      <c r="G1414" s="221" t="s">
        <v>71</v>
      </c>
      <c r="H1414" s="221" t="s">
        <v>71</v>
      </c>
      <c r="I1414" s="222"/>
    </row>
    <row r="1415" ht="17.25" customHeight="1" spans="1:9" x14ac:dyDescent="0.25">
      <c r="A1415" s="220">
        <v>1458</v>
      </c>
      <c r="B1415" s="221" t="s">
        <v>3233</v>
      </c>
      <c r="C1415" s="222" t="s">
        <v>3234</v>
      </c>
      <c r="D1415" s="221" t="s">
        <v>205</v>
      </c>
      <c r="E1415" s="221" t="s">
        <v>395</v>
      </c>
      <c r="F1415" s="223">
        <v>12000</v>
      </c>
      <c r="G1415" s="221" t="s">
        <v>71</v>
      </c>
      <c r="H1415" s="221" t="s">
        <v>71</v>
      </c>
      <c r="I1415" s="222"/>
    </row>
    <row r="1416" ht="17.25" customHeight="1" spans="1:9" x14ac:dyDescent="0.25">
      <c r="A1416" s="220">
        <v>1459</v>
      </c>
      <c r="B1416" s="221" t="s">
        <v>3235</v>
      </c>
      <c r="C1416" s="222" t="s">
        <v>3236</v>
      </c>
      <c r="D1416" s="221" t="s">
        <v>205</v>
      </c>
      <c r="E1416" s="221" t="s">
        <v>395</v>
      </c>
      <c r="F1416" s="223">
        <v>13000</v>
      </c>
      <c r="G1416" s="221" t="s">
        <v>71</v>
      </c>
      <c r="H1416" s="221" t="s">
        <v>71</v>
      </c>
      <c r="I1416" s="222"/>
    </row>
    <row r="1417" ht="17.25" customHeight="1" spans="1:9" x14ac:dyDescent="0.25">
      <c r="A1417" s="220">
        <v>1460</v>
      </c>
      <c r="B1417" s="221" t="s">
        <v>3237</v>
      </c>
      <c r="C1417" s="222" t="s">
        <v>3238</v>
      </c>
      <c r="D1417" s="221" t="s">
        <v>205</v>
      </c>
      <c r="E1417" s="221" t="s">
        <v>395</v>
      </c>
      <c r="F1417" s="223">
        <v>15000</v>
      </c>
      <c r="G1417" s="221" t="s">
        <v>71</v>
      </c>
      <c r="H1417" s="221" t="s">
        <v>71</v>
      </c>
      <c r="I1417" s="222"/>
    </row>
    <row r="1418" ht="17.25" customHeight="1" spans="1:9" x14ac:dyDescent="0.25">
      <c r="A1418" s="220">
        <v>1461</v>
      </c>
      <c r="B1418" s="221" t="s">
        <v>3239</v>
      </c>
      <c r="C1418" s="222" t="s">
        <v>3240</v>
      </c>
      <c r="D1418" s="221" t="s">
        <v>205</v>
      </c>
      <c r="E1418" s="221" t="s">
        <v>395</v>
      </c>
      <c r="F1418" s="223">
        <v>11500</v>
      </c>
      <c r="G1418" s="221" t="s">
        <v>71</v>
      </c>
      <c r="H1418" s="221" t="s">
        <v>71</v>
      </c>
      <c r="I1418" s="222"/>
    </row>
    <row r="1419" ht="17.25" customHeight="1" spans="1:9" x14ac:dyDescent="0.25">
      <c r="A1419" s="220">
        <v>1462</v>
      </c>
      <c r="B1419" s="221" t="s">
        <v>3241</v>
      </c>
      <c r="C1419" s="222" t="s">
        <v>3242</v>
      </c>
      <c r="D1419" s="221" t="s">
        <v>205</v>
      </c>
      <c r="E1419" s="221" t="s">
        <v>395</v>
      </c>
      <c r="F1419" s="223">
        <v>12000</v>
      </c>
      <c r="G1419" s="221" t="s">
        <v>71</v>
      </c>
      <c r="H1419" s="221" t="s">
        <v>71</v>
      </c>
      <c r="I1419" s="222"/>
    </row>
    <row r="1420" ht="17.25" customHeight="1" spans="1:9" x14ac:dyDescent="0.25">
      <c r="A1420" s="220">
        <v>1463</v>
      </c>
      <c r="B1420" s="221" t="s">
        <v>3243</v>
      </c>
      <c r="C1420" s="222" t="s">
        <v>3244</v>
      </c>
      <c r="D1420" s="221" t="s">
        <v>205</v>
      </c>
      <c r="E1420" s="221" t="s">
        <v>395</v>
      </c>
      <c r="F1420" s="223">
        <v>12500</v>
      </c>
      <c r="G1420" s="221" t="s">
        <v>71</v>
      </c>
      <c r="H1420" s="221" t="s">
        <v>71</v>
      </c>
      <c r="I1420" s="222"/>
    </row>
    <row r="1421" ht="17.25" customHeight="1" spans="1:9" x14ac:dyDescent="0.25">
      <c r="A1421" s="220">
        <v>1464</v>
      </c>
      <c r="B1421" s="221" t="s">
        <v>3245</v>
      </c>
      <c r="C1421" s="222" t="s">
        <v>3246</v>
      </c>
      <c r="D1421" s="221" t="s">
        <v>205</v>
      </c>
      <c r="E1421" s="221" t="s">
        <v>395</v>
      </c>
      <c r="F1421" s="223">
        <v>14500</v>
      </c>
      <c r="G1421" s="221" t="s">
        <v>71</v>
      </c>
      <c r="H1421" s="221" t="s">
        <v>71</v>
      </c>
      <c r="I1421" s="222"/>
    </row>
    <row r="1422" ht="17.25" customHeight="1" spans="1:9" x14ac:dyDescent="0.25">
      <c r="A1422" s="220">
        <v>1465</v>
      </c>
      <c r="B1422" s="221" t="s">
        <v>3247</v>
      </c>
      <c r="C1422" s="222" t="s">
        <v>3248</v>
      </c>
      <c r="D1422" s="221" t="s">
        <v>205</v>
      </c>
      <c r="E1422" s="221" t="s">
        <v>395</v>
      </c>
      <c r="F1422" s="223">
        <v>11500</v>
      </c>
      <c r="G1422" s="221" t="s">
        <v>71</v>
      </c>
      <c r="H1422" s="221" t="s">
        <v>71</v>
      </c>
      <c r="I1422" s="222"/>
    </row>
    <row r="1423" ht="17.25" customHeight="1" spans="1:9" x14ac:dyDescent="0.25">
      <c r="A1423" s="220">
        <v>1466</v>
      </c>
      <c r="B1423" s="221" t="s">
        <v>3249</v>
      </c>
      <c r="C1423" s="222" t="s">
        <v>3250</v>
      </c>
      <c r="D1423" s="221" t="s">
        <v>205</v>
      </c>
      <c r="E1423" s="221" t="s">
        <v>395</v>
      </c>
      <c r="F1423" s="223">
        <v>13500</v>
      </c>
      <c r="G1423" s="221" t="s">
        <v>71</v>
      </c>
      <c r="H1423" s="221" t="s">
        <v>71</v>
      </c>
      <c r="I1423" s="222"/>
    </row>
    <row r="1424" ht="17.25" customHeight="1" spans="1:9" x14ac:dyDescent="0.25">
      <c r="A1424" s="220">
        <v>1467</v>
      </c>
      <c r="B1424" s="221" t="s">
        <v>3251</v>
      </c>
      <c r="C1424" s="222" t="s">
        <v>3252</v>
      </c>
      <c r="D1424" s="221" t="s">
        <v>205</v>
      </c>
      <c r="E1424" s="221" t="s">
        <v>395</v>
      </c>
      <c r="F1424" s="223">
        <v>13000</v>
      </c>
      <c r="G1424" s="221" t="s">
        <v>71</v>
      </c>
      <c r="H1424" s="221" t="s">
        <v>71</v>
      </c>
      <c r="I1424" s="222"/>
    </row>
    <row r="1425" ht="17.25" customHeight="1" spans="1:9" x14ac:dyDescent="0.25">
      <c r="A1425" s="220">
        <v>1468</v>
      </c>
      <c r="B1425" s="221" t="s">
        <v>3253</v>
      </c>
      <c r="C1425" s="222" t="s">
        <v>3254</v>
      </c>
      <c r="D1425" s="221" t="s">
        <v>205</v>
      </c>
      <c r="E1425" s="221" t="s">
        <v>395</v>
      </c>
      <c r="F1425" s="223">
        <v>15000</v>
      </c>
      <c r="G1425" s="221" t="s">
        <v>71</v>
      </c>
      <c r="H1425" s="221" t="s">
        <v>71</v>
      </c>
      <c r="I1425" s="222"/>
    </row>
    <row r="1426" ht="17.25" customHeight="1" spans="1:9" x14ac:dyDescent="0.25">
      <c r="A1426" s="220">
        <v>1469</v>
      </c>
      <c r="B1426" s="221" t="s">
        <v>3255</v>
      </c>
      <c r="C1426" s="222" t="s">
        <v>3256</v>
      </c>
      <c r="D1426" s="221" t="s">
        <v>205</v>
      </c>
      <c r="E1426" s="221" t="s">
        <v>395</v>
      </c>
      <c r="F1426" s="223">
        <v>16500</v>
      </c>
      <c r="G1426" s="221" t="s">
        <v>71</v>
      </c>
      <c r="H1426" s="221" t="s">
        <v>71</v>
      </c>
      <c r="I1426" s="222"/>
    </row>
    <row r="1427" ht="17.25" customHeight="1" spans="1:9" x14ac:dyDescent="0.25">
      <c r="A1427" s="220">
        <v>1470</v>
      </c>
      <c r="B1427" s="221" t="s">
        <v>3257</v>
      </c>
      <c r="C1427" s="222" t="s">
        <v>3258</v>
      </c>
      <c r="D1427" s="221" t="s">
        <v>205</v>
      </c>
      <c r="E1427" s="221" t="s">
        <v>395</v>
      </c>
      <c r="F1427" s="223">
        <v>16500</v>
      </c>
      <c r="G1427" s="221" t="s">
        <v>71</v>
      </c>
      <c r="H1427" s="221" t="s">
        <v>71</v>
      </c>
      <c r="I1427" s="222"/>
    </row>
    <row r="1428" ht="17.25" customHeight="1" spans="1:9" x14ac:dyDescent="0.25">
      <c r="A1428" s="220">
        <v>1471</v>
      </c>
      <c r="B1428" s="221" t="s">
        <v>3259</v>
      </c>
      <c r="C1428" s="222" t="s">
        <v>3260</v>
      </c>
      <c r="D1428" s="221" t="s">
        <v>205</v>
      </c>
      <c r="E1428" s="221" t="s">
        <v>395</v>
      </c>
      <c r="F1428" s="223">
        <v>16500</v>
      </c>
      <c r="G1428" s="221" t="s">
        <v>71</v>
      </c>
      <c r="H1428" s="221" t="s">
        <v>71</v>
      </c>
      <c r="I1428" s="222"/>
    </row>
    <row r="1429" ht="17.25" customHeight="1" spans="1:9" x14ac:dyDescent="0.25">
      <c r="A1429" s="220">
        <v>1472</v>
      </c>
      <c r="B1429" s="221" t="s">
        <v>3261</v>
      </c>
      <c r="C1429" s="222" t="s">
        <v>3262</v>
      </c>
      <c r="D1429" s="221" t="s">
        <v>205</v>
      </c>
      <c r="E1429" s="221" t="s">
        <v>395</v>
      </c>
      <c r="F1429" s="223">
        <v>16500</v>
      </c>
      <c r="G1429" s="221" t="s">
        <v>71</v>
      </c>
      <c r="H1429" s="221" t="s">
        <v>71</v>
      </c>
      <c r="I1429" s="222"/>
    </row>
    <row r="1430" ht="17.25" customHeight="1" spans="1:9" x14ac:dyDescent="0.25">
      <c r="A1430" s="220">
        <v>1473</v>
      </c>
      <c r="B1430" s="221" t="s">
        <v>3263</v>
      </c>
      <c r="C1430" s="222" t="s">
        <v>3264</v>
      </c>
      <c r="D1430" s="221" t="s">
        <v>205</v>
      </c>
      <c r="E1430" s="221" t="s">
        <v>395</v>
      </c>
      <c r="F1430" s="223">
        <v>12500</v>
      </c>
      <c r="G1430" s="221" t="s">
        <v>71</v>
      </c>
      <c r="H1430" s="221" t="s">
        <v>71</v>
      </c>
      <c r="I1430" s="222"/>
    </row>
    <row r="1431" ht="17.25" customHeight="1" spans="1:9" x14ac:dyDescent="0.25">
      <c r="A1431" s="220">
        <v>1474</v>
      </c>
      <c r="B1431" s="221" t="s">
        <v>3265</v>
      </c>
      <c r="C1431" s="222" t="s">
        <v>3266</v>
      </c>
      <c r="D1431" s="221" t="s">
        <v>205</v>
      </c>
      <c r="E1431" s="221" t="s">
        <v>395</v>
      </c>
      <c r="F1431" s="223">
        <v>14500</v>
      </c>
      <c r="G1431" s="221" t="s">
        <v>71</v>
      </c>
      <c r="H1431" s="221" t="s">
        <v>71</v>
      </c>
      <c r="I1431" s="222"/>
    </row>
    <row r="1432" ht="17.25" customHeight="1" spans="1:9" x14ac:dyDescent="0.25">
      <c r="A1432" s="220">
        <v>1475</v>
      </c>
      <c r="B1432" s="221" t="s">
        <v>3267</v>
      </c>
      <c r="C1432" s="222" t="s">
        <v>3268</v>
      </c>
      <c r="D1432" s="221" t="s">
        <v>205</v>
      </c>
      <c r="E1432" s="221" t="s">
        <v>395</v>
      </c>
      <c r="F1432" s="223">
        <v>16000</v>
      </c>
      <c r="G1432" s="221" t="s">
        <v>71</v>
      </c>
      <c r="H1432" s="221" t="s">
        <v>71</v>
      </c>
      <c r="I1432" s="222"/>
    </row>
    <row r="1433" ht="17.25" customHeight="1" spans="1:9" x14ac:dyDescent="0.25">
      <c r="A1433" s="220">
        <v>1476</v>
      </c>
      <c r="B1433" s="221" t="s">
        <v>3269</v>
      </c>
      <c r="C1433" s="222" t="s">
        <v>3270</v>
      </c>
      <c r="D1433" s="221" t="s">
        <v>205</v>
      </c>
      <c r="E1433" s="221" t="s">
        <v>395</v>
      </c>
      <c r="F1433" s="223">
        <v>13000</v>
      </c>
      <c r="G1433" s="221" t="s">
        <v>71</v>
      </c>
      <c r="H1433" s="221" t="s">
        <v>71</v>
      </c>
      <c r="I1433" s="222"/>
    </row>
    <row r="1434" ht="17.25" customHeight="1" spans="1:9" x14ac:dyDescent="0.25">
      <c r="A1434" s="220">
        <v>1477</v>
      </c>
      <c r="B1434" s="221" t="s">
        <v>3271</v>
      </c>
      <c r="C1434" s="222" t="s">
        <v>3272</v>
      </c>
      <c r="D1434" s="221" t="s">
        <v>205</v>
      </c>
      <c r="E1434" s="221" t="s">
        <v>395</v>
      </c>
      <c r="F1434" s="223">
        <v>15000</v>
      </c>
      <c r="G1434" s="221" t="s">
        <v>71</v>
      </c>
      <c r="H1434" s="221" t="s">
        <v>71</v>
      </c>
      <c r="I1434" s="222"/>
    </row>
    <row r="1435" ht="17.25" customHeight="1" spans="1:9" x14ac:dyDescent="0.25">
      <c r="A1435" s="220">
        <v>1478</v>
      </c>
      <c r="B1435" s="221" t="s">
        <v>3273</v>
      </c>
      <c r="C1435" s="222" t="s">
        <v>3274</v>
      </c>
      <c r="D1435" s="221" t="s">
        <v>205</v>
      </c>
      <c r="E1435" s="221" t="s">
        <v>395</v>
      </c>
      <c r="F1435" s="223">
        <v>13000</v>
      </c>
      <c r="G1435" s="221" t="s">
        <v>71</v>
      </c>
      <c r="H1435" s="221" t="s">
        <v>71</v>
      </c>
      <c r="I1435" s="222"/>
    </row>
    <row r="1436" ht="17.25" customHeight="1" spans="1:9" x14ac:dyDescent="0.25">
      <c r="A1436" s="220">
        <v>1479</v>
      </c>
      <c r="B1436" s="221" t="s">
        <v>3275</v>
      </c>
      <c r="C1436" s="222" t="s">
        <v>3276</v>
      </c>
      <c r="D1436" s="221" t="s">
        <v>205</v>
      </c>
      <c r="E1436" s="221" t="s">
        <v>395</v>
      </c>
      <c r="F1436" s="223">
        <v>17000</v>
      </c>
      <c r="G1436" s="221" t="s">
        <v>71</v>
      </c>
      <c r="H1436" s="221" t="s">
        <v>71</v>
      </c>
      <c r="I1436" s="222"/>
    </row>
    <row r="1437" ht="17.25" customHeight="1" spans="1:9" x14ac:dyDescent="0.25">
      <c r="A1437" s="220">
        <v>1480</v>
      </c>
      <c r="B1437" s="221" t="s">
        <v>3277</v>
      </c>
      <c r="C1437" s="222" t="s">
        <v>3278</v>
      </c>
      <c r="D1437" s="221" t="s">
        <v>205</v>
      </c>
      <c r="E1437" s="221" t="s">
        <v>395</v>
      </c>
      <c r="F1437" s="223">
        <v>0</v>
      </c>
      <c r="G1437" s="221" t="s">
        <v>71</v>
      </c>
      <c r="H1437" s="221" t="s">
        <v>71</v>
      </c>
      <c r="I1437" s="222"/>
    </row>
    <row r="1438" ht="17.25" customHeight="1" spans="1:9" x14ac:dyDescent="0.25">
      <c r="A1438" s="220">
        <v>1481</v>
      </c>
      <c r="B1438" s="221" t="s">
        <v>3279</v>
      </c>
      <c r="C1438" s="222" t="s">
        <v>3280</v>
      </c>
      <c r="D1438" s="221" t="s">
        <v>205</v>
      </c>
      <c r="E1438" s="221" t="s">
        <v>395</v>
      </c>
      <c r="F1438" s="223">
        <v>12500</v>
      </c>
      <c r="G1438" s="221" t="s">
        <v>71</v>
      </c>
      <c r="H1438" s="221" t="s">
        <v>71</v>
      </c>
      <c r="I1438" s="222"/>
    </row>
    <row r="1439" ht="17.25" customHeight="1" spans="1:9" x14ac:dyDescent="0.25">
      <c r="A1439" s="220">
        <v>1482</v>
      </c>
      <c r="B1439" s="221" t="s">
        <v>3281</v>
      </c>
      <c r="C1439" s="222" t="s">
        <v>3282</v>
      </c>
      <c r="D1439" s="221" t="s">
        <v>205</v>
      </c>
      <c r="E1439" s="221" t="s">
        <v>395</v>
      </c>
      <c r="F1439" s="223">
        <v>0</v>
      </c>
      <c r="G1439" s="221" t="s">
        <v>71</v>
      </c>
      <c r="H1439" s="221" t="s">
        <v>71</v>
      </c>
      <c r="I1439" s="222"/>
    </row>
    <row r="1440" ht="17.25" customHeight="1" spans="1:9" x14ac:dyDescent="0.25">
      <c r="A1440" s="220">
        <v>1483</v>
      </c>
      <c r="B1440" s="221" t="s">
        <v>3283</v>
      </c>
      <c r="C1440" s="222" t="s">
        <v>3284</v>
      </c>
      <c r="D1440" s="221" t="s">
        <v>205</v>
      </c>
      <c r="E1440" s="221" t="s">
        <v>395</v>
      </c>
      <c r="F1440" s="223">
        <v>0</v>
      </c>
      <c r="G1440" s="221" t="s">
        <v>71</v>
      </c>
      <c r="H1440" s="221" t="s">
        <v>71</v>
      </c>
      <c r="I1440" s="222"/>
    </row>
    <row r="1441" ht="17.25" customHeight="1" spans="1:9" x14ac:dyDescent="0.25">
      <c r="A1441" s="220">
        <v>1484</v>
      </c>
      <c r="B1441" s="221" t="s">
        <v>3285</v>
      </c>
      <c r="C1441" s="222" t="s">
        <v>3286</v>
      </c>
      <c r="D1441" s="221" t="s">
        <v>205</v>
      </c>
      <c r="E1441" s="221" t="s">
        <v>395</v>
      </c>
      <c r="F1441" s="223">
        <v>0</v>
      </c>
      <c r="G1441" s="221" t="s">
        <v>71</v>
      </c>
      <c r="H1441" s="221" t="s">
        <v>71</v>
      </c>
      <c r="I1441" s="222"/>
    </row>
    <row r="1442" ht="17.25" customHeight="1" spans="1:9" x14ac:dyDescent="0.25">
      <c r="A1442" s="220">
        <v>1485</v>
      </c>
      <c r="B1442" s="221" t="s">
        <v>3287</v>
      </c>
      <c r="C1442" s="222" t="s">
        <v>3288</v>
      </c>
      <c r="D1442" s="221" t="s">
        <v>205</v>
      </c>
      <c r="E1442" s="221" t="s">
        <v>395</v>
      </c>
      <c r="F1442" s="223">
        <v>0</v>
      </c>
      <c r="G1442" s="221" t="s">
        <v>71</v>
      </c>
      <c r="H1442" s="221" t="s">
        <v>71</v>
      </c>
      <c r="I1442" s="222"/>
    </row>
    <row r="1443" ht="17.25" customHeight="1" spans="1:9" x14ac:dyDescent="0.25">
      <c r="A1443" s="220">
        <v>1486</v>
      </c>
      <c r="B1443" s="221" t="s">
        <v>3289</v>
      </c>
      <c r="C1443" s="222" t="s">
        <v>3290</v>
      </c>
      <c r="D1443" s="221" t="s">
        <v>205</v>
      </c>
      <c r="E1443" s="221" t="s">
        <v>395</v>
      </c>
      <c r="F1443" s="223">
        <v>12500</v>
      </c>
      <c r="G1443" s="221" t="s">
        <v>71</v>
      </c>
      <c r="H1443" s="221" t="s">
        <v>71</v>
      </c>
      <c r="I1443" s="222"/>
    </row>
    <row r="1444" ht="17.25" customHeight="1" spans="1:9" x14ac:dyDescent="0.25">
      <c r="A1444" s="220">
        <v>1487</v>
      </c>
      <c r="B1444" s="221" t="s">
        <v>3291</v>
      </c>
      <c r="C1444" s="222" t="s">
        <v>3292</v>
      </c>
      <c r="D1444" s="221" t="s">
        <v>205</v>
      </c>
      <c r="E1444" s="221" t="s">
        <v>31</v>
      </c>
      <c r="F1444" s="223">
        <v>2000</v>
      </c>
      <c r="G1444" s="221" t="s">
        <v>48</v>
      </c>
      <c r="H1444" s="221" t="s">
        <v>48</v>
      </c>
      <c r="I1444" s="224"/>
    </row>
    <row r="1445" ht="17.25" customHeight="1" spans="1:9" x14ac:dyDescent="0.25">
      <c r="A1445" s="220">
        <v>1488</v>
      </c>
      <c r="B1445" s="221" t="s">
        <v>3293</v>
      </c>
      <c r="C1445" s="222" t="s">
        <v>3294</v>
      </c>
      <c r="D1445" s="221" t="s">
        <v>205</v>
      </c>
      <c r="E1445" s="221" t="s">
        <v>31</v>
      </c>
      <c r="F1445" s="223">
        <v>2000</v>
      </c>
      <c r="G1445" s="221" t="s">
        <v>48</v>
      </c>
      <c r="H1445" s="221" t="s">
        <v>48</v>
      </c>
      <c r="I1445" s="224"/>
    </row>
    <row r="1446" ht="17.25" customHeight="1" spans="1:9" x14ac:dyDescent="0.25">
      <c r="A1446" s="220">
        <v>1489</v>
      </c>
      <c r="B1446" s="221" t="s">
        <v>3295</v>
      </c>
      <c r="C1446" s="222" t="s">
        <v>3296</v>
      </c>
      <c r="D1446" s="221" t="s">
        <v>205</v>
      </c>
      <c r="E1446" s="221" t="s">
        <v>31</v>
      </c>
      <c r="F1446" s="223">
        <v>2000</v>
      </c>
      <c r="G1446" s="221" t="s">
        <v>48</v>
      </c>
      <c r="H1446" s="221" t="s">
        <v>48</v>
      </c>
      <c r="I1446" s="224"/>
    </row>
    <row r="1447" ht="17.25" customHeight="1" spans="1:9" x14ac:dyDescent="0.25">
      <c r="A1447" s="220">
        <v>1490</v>
      </c>
      <c r="B1447" s="221" t="s">
        <v>3297</v>
      </c>
      <c r="C1447" s="222" t="s">
        <v>3298</v>
      </c>
      <c r="D1447" s="221" t="s">
        <v>205</v>
      </c>
      <c r="E1447" s="221" t="s">
        <v>31</v>
      </c>
      <c r="F1447" s="223">
        <v>2000</v>
      </c>
      <c r="G1447" s="221" t="s">
        <v>48</v>
      </c>
      <c r="H1447" s="221" t="s">
        <v>48</v>
      </c>
      <c r="I1447" s="224"/>
    </row>
    <row r="1448" ht="17.25" customHeight="1" spans="1:9" x14ac:dyDescent="0.25">
      <c r="A1448" s="220">
        <v>1491</v>
      </c>
      <c r="B1448" s="221" t="s">
        <v>3299</v>
      </c>
      <c r="C1448" s="222" t="s">
        <v>3300</v>
      </c>
      <c r="D1448" s="221" t="s">
        <v>205</v>
      </c>
      <c r="E1448" s="221" t="s">
        <v>31</v>
      </c>
      <c r="F1448" s="223">
        <v>2000</v>
      </c>
      <c r="G1448" s="221" t="s">
        <v>48</v>
      </c>
      <c r="H1448" s="221" t="s">
        <v>48</v>
      </c>
      <c r="I1448" s="224"/>
    </row>
    <row r="1449" ht="17.25" customHeight="1" spans="1:9" x14ac:dyDescent="0.25">
      <c r="A1449" s="220">
        <v>1492</v>
      </c>
      <c r="B1449" s="221" t="s">
        <v>3301</v>
      </c>
      <c r="C1449" s="222" t="s">
        <v>3302</v>
      </c>
      <c r="D1449" s="221" t="s">
        <v>205</v>
      </c>
      <c r="E1449" s="221" t="s">
        <v>31</v>
      </c>
      <c r="F1449" s="223">
        <v>2300</v>
      </c>
      <c r="G1449" s="221" t="s">
        <v>48</v>
      </c>
      <c r="H1449" s="221" t="s">
        <v>48</v>
      </c>
      <c r="I1449" s="224"/>
    </row>
    <row r="1450" ht="17.25" customHeight="1" spans="1:9" x14ac:dyDescent="0.25">
      <c r="A1450" s="220">
        <v>1493</v>
      </c>
      <c r="B1450" s="221" t="s">
        <v>3303</v>
      </c>
      <c r="C1450" s="222" t="s">
        <v>3304</v>
      </c>
      <c r="D1450" s="221" t="s">
        <v>205</v>
      </c>
      <c r="E1450" s="221" t="s">
        <v>31</v>
      </c>
      <c r="F1450" s="223">
        <v>2300</v>
      </c>
      <c r="G1450" s="221" t="s">
        <v>48</v>
      </c>
      <c r="H1450" s="221" t="s">
        <v>48</v>
      </c>
      <c r="I1450" s="224"/>
    </row>
    <row r="1451" ht="17.25" customHeight="1" spans="1:9" x14ac:dyDescent="0.25">
      <c r="A1451" s="220">
        <v>1494</v>
      </c>
      <c r="B1451" s="221" t="s">
        <v>3305</v>
      </c>
      <c r="C1451" s="222" t="s">
        <v>137</v>
      </c>
      <c r="D1451" s="221" t="s">
        <v>205</v>
      </c>
      <c r="E1451" s="221" t="s">
        <v>31</v>
      </c>
      <c r="F1451" s="223">
        <v>2300</v>
      </c>
      <c r="G1451" s="221" t="s">
        <v>48</v>
      </c>
      <c r="H1451" s="221" t="s">
        <v>48</v>
      </c>
      <c r="I1451" s="222"/>
    </row>
    <row r="1452" ht="17.25" customHeight="1" spans="1:9" x14ac:dyDescent="0.25">
      <c r="A1452" s="220">
        <v>1495</v>
      </c>
      <c r="B1452" s="221" t="s">
        <v>3306</v>
      </c>
      <c r="C1452" s="222" t="s">
        <v>3307</v>
      </c>
      <c r="D1452" s="221" t="s">
        <v>205</v>
      </c>
      <c r="E1452" s="221" t="s">
        <v>31</v>
      </c>
      <c r="F1452" s="223">
        <v>2300</v>
      </c>
      <c r="G1452" s="221" t="s">
        <v>48</v>
      </c>
      <c r="H1452" s="221" t="s">
        <v>48</v>
      </c>
      <c r="I1452" s="224"/>
    </row>
    <row r="1453" ht="17.25" customHeight="1" spans="1:9" x14ac:dyDescent="0.25">
      <c r="A1453" s="220">
        <v>1496</v>
      </c>
      <c r="B1453" s="221" t="s">
        <v>3308</v>
      </c>
      <c r="C1453" s="222" t="s">
        <v>3309</v>
      </c>
      <c r="D1453" s="221" t="s">
        <v>205</v>
      </c>
      <c r="E1453" s="221" t="s">
        <v>31</v>
      </c>
      <c r="F1453" s="223">
        <v>2500</v>
      </c>
      <c r="G1453" s="221" t="s">
        <v>48</v>
      </c>
      <c r="H1453" s="221" t="s">
        <v>48</v>
      </c>
      <c r="I1453" s="222"/>
    </row>
    <row r="1454" ht="17.25" customHeight="1" spans="1:9" x14ac:dyDescent="0.25">
      <c r="A1454" s="220">
        <v>1497</v>
      </c>
      <c r="B1454" s="221" t="s">
        <v>3310</v>
      </c>
      <c r="C1454" s="222" t="s">
        <v>3311</v>
      </c>
      <c r="D1454" s="221" t="s">
        <v>205</v>
      </c>
      <c r="E1454" s="221" t="s">
        <v>31</v>
      </c>
      <c r="F1454" s="223">
        <v>2500</v>
      </c>
      <c r="G1454" s="221" t="s">
        <v>48</v>
      </c>
      <c r="H1454" s="221" t="s">
        <v>48</v>
      </c>
      <c r="I1454" s="224"/>
    </row>
    <row r="1455" ht="17.25" customHeight="1" spans="1:9" x14ac:dyDescent="0.25">
      <c r="A1455" s="220">
        <v>1498</v>
      </c>
      <c r="B1455" s="221" t="s">
        <v>3312</v>
      </c>
      <c r="C1455" s="222" t="s">
        <v>3313</v>
      </c>
      <c r="D1455" s="221" t="s">
        <v>205</v>
      </c>
      <c r="E1455" s="221" t="s">
        <v>31</v>
      </c>
      <c r="F1455" s="223">
        <v>1600</v>
      </c>
      <c r="G1455" s="221" t="s">
        <v>48</v>
      </c>
      <c r="H1455" s="221" t="s">
        <v>48</v>
      </c>
      <c r="I1455" s="224"/>
    </row>
    <row r="1456" ht="17.25" customHeight="1" spans="1:9" x14ac:dyDescent="0.25">
      <c r="A1456" s="220">
        <v>1499</v>
      </c>
      <c r="B1456" s="221" t="s">
        <v>3314</v>
      </c>
      <c r="C1456" s="222" t="s">
        <v>3315</v>
      </c>
      <c r="D1456" s="221" t="s">
        <v>205</v>
      </c>
      <c r="E1456" s="221" t="s">
        <v>31</v>
      </c>
      <c r="F1456" s="223">
        <v>1600</v>
      </c>
      <c r="G1456" s="221" t="s">
        <v>48</v>
      </c>
      <c r="H1456" s="221" t="s">
        <v>48</v>
      </c>
      <c r="I1456" s="224"/>
    </row>
    <row r="1457" ht="17.25" customHeight="1" spans="1:9" x14ac:dyDescent="0.25">
      <c r="A1457" s="220">
        <v>1500</v>
      </c>
      <c r="B1457" s="221" t="s">
        <v>3316</v>
      </c>
      <c r="C1457" s="222" t="s">
        <v>3317</v>
      </c>
      <c r="D1457" s="221" t="s">
        <v>205</v>
      </c>
      <c r="E1457" s="221" t="s">
        <v>31</v>
      </c>
      <c r="F1457" s="223">
        <v>2400</v>
      </c>
      <c r="G1457" s="221" t="s">
        <v>48</v>
      </c>
      <c r="H1457" s="221" t="s">
        <v>48</v>
      </c>
      <c r="I1457" s="224"/>
    </row>
    <row r="1458" ht="17.25" customHeight="1" spans="1:9" x14ac:dyDescent="0.25">
      <c r="A1458" s="220">
        <v>1501</v>
      </c>
      <c r="B1458" s="221" t="s">
        <v>3318</v>
      </c>
      <c r="C1458" s="222" t="s">
        <v>3319</v>
      </c>
      <c r="D1458" s="221" t="s">
        <v>205</v>
      </c>
      <c r="E1458" s="221" t="s">
        <v>31</v>
      </c>
      <c r="F1458" s="223">
        <v>2400</v>
      </c>
      <c r="G1458" s="221" t="s">
        <v>48</v>
      </c>
      <c r="H1458" s="221" t="s">
        <v>48</v>
      </c>
      <c r="I1458" s="224"/>
    </row>
    <row r="1459" ht="17.25" customHeight="1" spans="1:9" x14ac:dyDescent="0.25">
      <c r="A1459" s="220">
        <v>1502</v>
      </c>
      <c r="B1459" s="221" t="s">
        <v>3320</v>
      </c>
      <c r="C1459" s="222" t="s">
        <v>3321</v>
      </c>
      <c r="D1459" s="221" t="s">
        <v>205</v>
      </c>
      <c r="E1459" s="221" t="s">
        <v>31</v>
      </c>
      <c r="F1459" s="223">
        <v>2400</v>
      </c>
      <c r="G1459" s="221" t="s">
        <v>48</v>
      </c>
      <c r="H1459" s="221" t="s">
        <v>48</v>
      </c>
      <c r="I1459" s="224"/>
    </row>
    <row r="1460" ht="17.25" customHeight="1" spans="1:9" x14ac:dyDescent="0.25">
      <c r="A1460" s="220">
        <v>1503</v>
      </c>
      <c r="B1460" s="221" t="s">
        <v>3322</v>
      </c>
      <c r="C1460" s="222" t="s">
        <v>3323</v>
      </c>
      <c r="D1460" s="221" t="s">
        <v>205</v>
      </c>
      <c r="E1460" s="221" t="s">
        <v>31</v>
      </c>
      <c r="F1460" s="223">
        <v>2400</v>
      </c>
      <c r="G1460" s="221" t="s">
        <v>48</v>
      </c>
      <c r="H1460" s="221" t="s">
        <v>48</v>
      </c>
      <c r="I1460" s="224"/>
    </row>
    <row r="1461" ht="17.25" customHeight="1" spans="1:9" x14ac:dyDescent="0.25">
      <c r="A1461" s="220">
        <v>1504</v>
      </c>
      <c r="B1461" s="221" t="s">
        <v>3324</v>
      </c>
      <c r="C1461" s="222" t="s">
        <v>3325</v>
      </c>
      <c r="D1461" s="221" t="s">
        <v>205</v>
      </c>
      <c r="E1461" s="221" t="s">
        <v>31</v>
      </c>
      <c r="F1461" s="223">
        <v>2400</v>
      </c>
      <c r="G1461" s="221" t="s">
        <v>48</v>
      </c>
      <c r="H1461" s="221" t="s">
        <v>48</v>
      </c>
      <c r="I1461" s="224"/>
    </row>
    <row r="1462" ht="17.25" customHeight="1" spans="1:9" x14ac:dyDescent="0.25">
      <c r="A1462" s="220">
        <v>1505</v>
      </c>
      <c r="B1462" s="221" t="s">
        <v>3326</v>
      </c>
      <c r="C1462" s="222" t="s">
        <v>3327</v>
      </c>
      <c r="D1462" s="221" t="s">
        <v>205</v>
      </c>
      <c r="E1462" s="221" t="s">
        <v>31</v>
      </c>
      <c r="F1462" s="223">
        <v>2400</v>
      </c>
      <c r="G1462" s="221" t="s">
        <v>48</v>
      </c>
      <c r="H1462" s="221" t="s">
        <v>48</v>
      </c>
      <c r="I1462" s="224"/>
    </row>
    <row r="1463" ht="17.25" customHeight="1" spans="1:9" x14ac:dyDescent="0.25">
      <c r="A1463" s="220">
        <v>1506</v>
      </c>
      <c r="B1463" s="221" t="s">
        <v>3328</v>
      </c>
      <c r="C1463" s="222" t="s">
        <v>3329</v>
      </c>
      <c r="D1463" s="221" t="s">
        <v>205</v>
      </c>
      <c r="E1463" s="221" t="s">
        <v>31</v>
      </c>
      <c r="F1463" s="223">
        <v>2400</v>
      </c>
      <c r="G1463" s="221" t="s">
        <v>48</v>
      </c>
      <c r="H1463" s="221" t="s">
        <v>48</v>
      </c>
      <c r="I1463" s="224"/>
    </row>
    <row r="1464" ht="17.25" customHeight="1" spans="1:9" x14ac:dyDescent="0.25">
      <c r="A1464" s="220">
        <v>1507</v>
      </c>
      <c r="B1464" s="221" t="s">
        <v>3330</v>
      </c>
      <c r="C1464" s="222" t="s">
        <v>3331</v>
      </c>
      <c r="D1464" s="221" t="s">
        <v>205</v>
      </c>
      <c r="E1464" s="221" t="s">
        <v>31</v>
      </c>
      <c r="F1464" s="223">
        <v>2400</v>
      </c>
      <c r="G1464" s="221" t="s">
        <v>48</v>
      </c>
      <c r="H1464" s="221" t="s">
        <v>48</v>
      </c>
      <c r="I1464" s="224"/>
    </row>
    <row r="1465" ht="17.25" customHeight="1" spans="1:9" x14ac:dyDescent="0.25">
      <c r="A1465" s="220">
        <v>1508</v>
      </c>
      <c r="B1465" s="221" t="s">
        <v>3332</v>
      </c>
      <c r="C1465" s="222" t="s">
        <v>3333</v>
      </c>
      <c r="D1465" s="221" t="s">
        <v>205</v>
      </c>
      <c r="E1465" s="221" t="s">
        <v>31</v>
      </c>
      <c r="F1465" s="223">
        <v>2400</v>
      </c>
      <c r="G1465" s="221" t="s">
        <v>48</v>
      </c>
      <c r="H1465" s="221" t="s">
        <v>48</v>
      </c>
      <c r="I1465" s="224"/>
    </row>
    <row r="1466" ht="17.25" customHeight="1" spans="1:9" x14ac:dyDescent="0.25">
      <c r="A1466" s="220">
        <v>1509</v>
      </c>
      <c r="B1466" s="221" t="s">
        <v>3334</v>
      </c>
      <c r="C1466" s="222" t="s">
        <v>3335</v>
      </c>
      <c r="D1466" s="221" t="s">
        <v>205</v>
      </c>
      <c r="E1466" s="221" t="s">
        <v>31</v>
      </c>
      <c r="F1466" s="223">
        <v>2400</v>
      </c>
      <c r="G1466" s="221" t="s">
        <v>48</v>
      </c>
      <c r="H1466" s="221" t="s">
        <v>48</v>
      </c>
      <c r="I1466" s="224"/>
    </row>
    <row r="1467" ht="17.25" customHeight="1" spans="1:9" x14ac:dyDescent="0.25">
      <c r="A1467" s="220">
        <v>1510</v>
      </c>
      <c r="B1467" s="221" t="s">
        <v>3336</v>
      </c>
      <c r="C1467" s="222" t="s">
        <v>3337</v>
      </c>
      <c r="D1467" s="221" t="s">
        <v>205</v>
      </c>
      <c r="E1467" s="221" t="s">
        <v>31</v>
      </c>
      <c r="F1467" s="223">
        <v>2250</v>
      </c>
      <c r="G1467" s="221" t="s">
        <v>48</v>
      </c>
      <c r="H1467" s="221" t="s">
        <v>48</v>
      </c>
      <c r="I1467" s="224"/>
    </row>
    <row r="1468" ht="17.25" customHeight="1" spans="1:9" x14ac:dyDescent="0.25">
      <c r="A1468" s="220">
        <v>1511</v>
      </c>
      <c r="B1468" s="221" t="s">
        <v>3338</v>
      </c>
      <c r="C1468" s="222" t="s">
        <v>3339</v>
      </c>
      <c r="D1468" s="221" t="s">
        <v>205</v>
      </c>
      <c r="E1468" s="221" t="s">
        <v>31</v>
      </c>
      <c r="F1468" s="223">
        <v>2250</v>
      </c>
      <c r="G1468" s="221" t="s">
        <v>48</v>
      </c>
      <c r="H1468" s="221" t="s">
        <v>48</v>
      </c>
      <c r="I1468" s="224"/>
    </row>
    <row r="1469" ht="17.25" customHeight="1" spans="1:9" x14ac:dyDescent="0.25">
      <c r="A1469" s="220">
        <v>1512</v>
      </c>
      <c r="B1469" s="221" t="s">
        <v>3340</v>
      </c>
      <c r="C1469" s="222" t="s">
        <v>3341</v>
      </c>
      <c r="D1469" s="221" t="s">
        <v>205</v>
      </c>
      <c r="E1469" s="221" t="s">
        <v>31</v>
      </c>
      <c r="F1469" s="223">
        <v>1700</v>
      </c>
      <c r="G1469" s="221" t="s">
        <v>48</v>
      </c>
      <c r="H1469" s="221" t="s">
        <v>48</v>
      </c>
      <c r="I1469" s="224"/>
    </row>
    <row r="1470" ht="17.25" customHeight="1" spans="1:9" x14ac:dyDescent="0.25">
      <c r="A1470" s="220">
        <v>1513</v>
      </c>
      <c r="B1470" s="221" t="s">
        <v>3342</v>
      </c>
      <c r="C1470" s="222" t="s">
        <v>3343</v>
      </c>
      <c r="D1470" s="221" t="s">
        <v>205</v>
      </c>
      <c r="E1470" s="221" t="s">
        <v>31</v>
      </c>
      <c r="F1470" s="223">
        <v>1700</v>
      </c>
      <c r="G1470" s="221" t="s">
        <v>48</v>
      </c>
      <c r="H1470" s="221" t="s">
        <v>48</v>
      </c>
      <c r="I1470" s="224"/>
    </row>
    <row r="1471" ht="17.25" customHeight="1" spans="1:9" x14ac:dyDescent="0.25">
      <c r="A1471" s="220">
        <v>1514</v>
      </c>
      <c r="B1471" s="221" t="s">
        <v>3344</v>
      </c>
      <c r="C1471" s="222" t="s">
        <v>3345</v>
      </c>
      <c r="D1471" s="221" t="s">
        <v>205</v>
      </c>
      <c r="E1471" s="221" t="s">
        <v>31</v>
      </c>
      <c r="F1471" s="223">
        <v>1700</v>
      </c>
      <c r="G1471" s="221" t="s">
        <v>48</v>
      </c>
      <c r="H1471" s="221" t="s">
        <v>48</v>
      </c>
      <c r="I1471" s="224"/>
    </row>
    <row r="1472" ht="17.25" customHeight="1" spans="1:9" x14ac:dyDescent="0.25">
      <c r="A1472" s="220">
        <v>1515</v>
      </c>
      <c r="B1472" s="221" t="s">
        <v>3346</v>
      </c>
      <c r="C1472" s="222" t="s">
        <v>3347</v>
      </c>
      <c r="D1472" s="221" t="s">
        <v>205</v>
      </c>
      <c r="E1472" s="221" t="s">
        <v>31</v>
      </c>
      <c r="F1472" s="223">
        <v>1850</v>
      </c>
      <c r="G1472" s="221" t="s">
        <v>48</v>
      </c>
      <c r="H1472" s="221" t="s">
        <v>48</v>
      </c>
      <c r="I1472" s="224"/>
    </row>
    <row r="1473" ht="17.25" customHeight="1" spans="1:9" x14ac:dyDescent="0.25">
      <c r="A1473" s="220">
        <v>1516</v>
      </c>
      <c r="B1473" s="221" t="s">
        <v>3348</v>
      </c>
      <c r="C1473" s="222" t="s">
        <v>3349</v>
      </c>
      <c r="D1473" s="221" t="s">
        <v>205</v>
      </c>
      <c r="E1473" s="221" t="s">
        <v>31</v>
      </c>
      <c r="F1473" s="223">
        <v>1850</v>
      </c>
      <c r="G1473" s="221" t="s">
        <v>48</v>
      </c>
      <c r="H1473" s="221" t="s">
        <v>48</v>
      </c>
      <c r="I1473" s="224"/>
    </row>
    <row r="1474" ht="17.25" customHeight="1" spans="1:9" x14ac:dyDescent="0.25">
      <c r="A1474" s="220">
        <v>1517</v>
      </c>
      <c r="B1474" s="221" t="s">
        <v>3350</v>
      </c>
      <c r="C1474" s="222" t="s">
        <v>3351</v>
      </c>
      <c r="D1474" s="221" t="s">
        <v>205</v>
      </c>
      <c r="E1474" s="221" t="s">
        <v>31</v>
      </c>
      <c r="F1474" s="223">
        <v>1850</v>
      </c>
      <c r="G1474" s="221" t="s">
        <v>48</v>
      </c>
      <c r="H1474" s="221" t="s">
        <v>48</v>
      </c>
      <c r="I1474" s="224"/>
    </row>
    <row r="1475" ht="17.25" customHeight="1" spans="1:9" x14ac:dyDescent="0.25">
      <c r="A1475" s="220">
        <v>1518</v>
      </c>
      <c r="B1475" s="221" t="s">
        <v>3352</v>
      </c>
      <c r="C1475" s="222" t="s">
        <v>3353</v>
      </c>
      <c r="D1475" s="221" t="s">
        <v>205</v>
      </c>
      <c r="E1475" s="221" t="s">
        <v>31</v>
      </c>
      <c r="F1475" s="223">
        <v>1850</v>
      </c>
      <c r="G1475" s="221" t="s">
        <v>48</v>
      </c>
      <c r="H1475" s="221" t="s">
        <v>48</v>
      </c>
      <c r="I1475" s="224"/>
    </row>
    <row r="1476" ht="17.25" customHeight="1" spans="1:9" x14ac:dyDescent="0.25">
      <c r="A1476" s="220">
        <v>1519</v>
      </c>
      <c r="B1476" s="221" t="s">
        <v>3354</v>
      </c>
      <c r="C1476" s="222" t="s">
        <v>3355</v>
      </c>
      <c r="D1476" s="221" t="s">
        <v>205</v>
      </c>
      <c r="E1476" s="221" t="s">
        <v>31</v>
      </c>
      <c r="F1476" s="223">
        <v>1850</v>
      </c>
      <c r="G1476" s="221" t="s">
        <v>48</v>
      </c>
      <c r="H1476" s="221" t="s">
        <v>48</v>
      </c>
      <c r="I1476" s="224"/>
    </row>
    <row r="1477" ht="17.25" customHeight="1" spans="1:9" x14ac:dyDescent="0.25">
      <c r="A1477" s="220">
        <v>1520</v>
      </c>
      <c r="B1477" s="221" t="s">
        <v>3356</v>
      </c>
      <c r="C1477" s="222" t="s">
        <v>3357</v>
      </c>
      <c r="D1477" s="221" t="s">
        <v>205</v>
      </c>
      <c r="E1477" s="221" t="s">
        <v>31</v>
      </c>
      <c r="F1477" s="223">
        <v>2000</v>
      </c>
      <c r="G1477" s="221" t="s">
        <v>48</v>
      </c>
      <c r="H1477" s="221" t="s">
        <v>48</v>
      </c>
      <c r="I1477" s="224"/>
    </row>
    <row r="1478" ht="17.25" customHeight="1" spans="1:9" x14ac:dyDescent="0.25">
      <c r="A1478" s="220">
        <v>1521</v>
      </c>
      <c r="B1478" s="221" t="s">
        <v>3358</v>
      </c>
      <c r="C1478" s="222" t="s">
        <v>3359</v>
      </c>
      <c r="D1478" s="221" t="s">
        <v>205</v>
      </c>
      <c r="E1478" s="221" t="s">
        <v>31</v>
      </c>
      <c r="F1478" s="223">
        <v>2300</v>
      </c>
      <c r="G1478" s="221" t="s">
        <v>48</v>
      </c>
      <c r="H1478" s="221" t="s">
        <v>48</v>
      </c>
      <c r="I1478" s="224"/>
    </row>
    <row r="1479" ht="17.25" customHeight="1" spans="1:9" x14ac:dyDescent="0.25">
      <c r="A1479" s="220">
        <v>1522</v>
      </c>
      <c r="B1479" s="221" t="s">
        <v>3360</v>
      </c>
      <c r="C1479" s="222" t="s">
        <v>3361</v>
      </c>
      <c r="D1479" s="221" t="s">
        <v>205</v>
      </c>
      <c r="E1479" s="221" t="s">
        <v>31</v>
      </c>
      <c r="F1479" s="223">
        <v>2300</v>
      </c>
      <c r="G1479" s="221" t="s">
        <v>48</v>
      </c>
      <c r="H1479" s="221" t="s">
        <v>48</v>
      </c>
      <c r="I1479" s="222"/>
    </row>
    <row r="1480" ht="17.25" customHeight="1" spans="1:9" x14ac:dyDescent="0.25">
      <c r="A1480" s="220">
        <v>1523</v>
      </c>
      <c r="B1480" s="221" t="s">
        <v>3362</v>
      </c>
      <c r="C1480" s="222" t="s">
        <v>3363</v>
      </c>
      <c r="D1480" s="221" t="s">
        <v>205</v>
      </c>
      <c r="E1480" s="221" t="s">
        <v>31</v>
      </c>
      <c r="F1480" s="223">
        <v>2300</v>
      </c>
      <c r="G1480" s="221" t="s">
        <v>48</v>
      </c>
      <c r="H1480" s="221" t="s">
        <v>48</v>
      </c>
      <c r="I1480" s="224"/>
    </row>
    <row r="1481" ht="17.25" customHeight="1" spans="1:9" x14ac:dyDescent="0.25">
      <c r="A1481" s="220">
        <v>1524</v>
      </c>
      <c r="B1481" s="221" t="s">
        <v>3364</v>
      </c>
      <c r="C1481" s="222" t="s">
        <v>3365</v>
      </c>
      <c r="D1481" s="221" t="s">
        <v>205</v>
      </c>
      <c r="E1481" s="221" t="s">
        <v>31</v>
      </c>
      <c r="F1481" s="223">
        <v>2300</v>
      </c>
      <c r="G1481" s="221" t="s">
        <v>48</v>
      </c>
      <c r="H1481" s="221" t="s">
        <v>48</v>
      </c>
      <c r="I1481" s="222"/>
    </row>
    <row r="1482" ht="17.25" customHeight="1" spans="1:9" x14ac:dyDescent="0.25">
      <c r="A1482" s="220">
        <v>1525</v>
      </c>
      <c r="B1482" s="221" t="s">
        <v>3366</v>
      </c>
      <c r="C1482" s="222" t="s">
        <v>3367</v>
      </c>
      <c r="D1482" s="221" t="s">
        <v>205</v>
      </c>
      <c r="E1482" s="221" t="s">
        <v>31</v>
      </c>
      <c r="F1482" s="223">
        <v>2500</v>
      </c>
      <c r="G1482" s="221" t="s">
        <v>48</v>
      </c>
      <c r="H1482" s="221" t="s">
        <v>48</v>
      </c>
      <c r="I1482" s="222"/>
    </row>
    <row r="1483" ht="17.25" customHeight="1" spans="1:9" x14ac:dyDescent="0.25">
      <c r="A1483" s="220">
        <v>1526</v>
      </c>
      <c r="B1483" s="221" t="s">
        <v>3368</v>
      </c>
      <c r="C1483" s="222" t="s">
        <v>3369</v>
      </c>
      <c r="D1483" s="221" t="s">
        <v>205</v>
      </c>
      <c r="E1483" s="221" t="s">
        <v>31</v>
      </c>
      <c r="F1483" s="223">
        <v>2500</v>
      </c>
      <c r="G1483" s="221" t="s">
        <v>48</v>
      </c>
      <c r="H1483" s="221" t="s">
        <v>48</v>
      </c>
      <c r="I1483" s="222"/>
    </row>
    <row r="1484" ht="17.25" customHeight="1" spans="1:9" x14ac:dyDescent="0.25">
      <c r="A1484" s="220">
        <v>1527</v>
      </c>
      <c r="B1484" s="221" t="s">
        <v>3370</v>
      </c>
      <c r="C1484" s="222" t="s">
        <v>136</v>
      </c>
      <c r="D1484" s="221" t="s">
        <v>205</v>
      </c>
      <c r="E1484" s="221" t="s">
        <v>31</v>
      </c>
      <c r="F1484" s="223">
        <v>2500</v>
      </c>
      <c r="G1484" s="221" t="s">
        <v>48</v>
      </c>
      <c r="H1484" s="221" t="s">
        <v>48</v>
      </c>
      <c r="I1484" s="222"/>
    </row>
    <row r="1485" ht="17.25" customHeight="1" spans="1:9" x14ac:dyDescent="0.25">
      <c r="A1485" s="220">
        <v>1528</v>
      </c>
      <c r="B1485" s="221" t="s">
        <v>3371</v>
      </c>
      <c r="C1485" s="222" t="s">
        <v>3372</v>
      </c>
      <c r="D1485" s="221" t="s">
        <v>205</v>
      </c>
      <c r="E1485" s="221" t="s">
        <v>31</v>
      </c>
      <c r="F1485" s="223">
        <v>2300</v>
      </c>
      <c r="G1485" s="221" t="s">
        <v>48</v>
      </c>
      <c r="H1485" s="221" t="s">
        <v>48</v>
      </c>
      <c r="I1485" s="224"/>
    </row>
    <row r="1486" ht="17.25" customHeight="1" spans="1:9" x14ac:dyDescent="0.25">
      <c r="A1486" s="220">
        <v>1529</v>
      </c>
      <c r="B1486" s="221" t="s">
        <v>3373</v>
      </c>
      <c r="C1486" s="222" t="s">
        <v>3374</v>
      </c>
      <c r="D1486" s="221" t="s">
        <v>205</v>
      </c>
      <c r="E1486" s="221" t="s">
        <v>31</v>
      </c>
      <c r="F1486" s="223">
        <v>2500</v>
      </c>
      <c r="G1486" s="221" t="s">
        <v>48</v>
      </c>
      <c r="H1486" s="221" t="s">
        <v>48</v>
      </c>
      <c r="I1486" s="224"/>
    </row>
    <row r="1487" ht="17.25" customHeight="1" spans="1:9" x14ac:dyDescent="0.25">
      <c r="A1487" s="220">
        <v>1530</v>
      </c>
      <c r="B1487" s="221" t="s">
        <v>3375</v>
      </c>
      <c r="C1487" s="222" t="s">
        <v>3376</v>
      </c>
      <c r="D1487" s="221" t="s">
        <v>205</v>
      </c>
      <c r="E1487" s="221" t="s">
        <v>31</v>
      </c>
      <c r="F1487" s="223">
        <v>5450</v>
      </c>
      <c r="G1487" s="221" t="s">
        <v>48</v>
      </c>
      <c r="H1487" s="221" t="s">
        <v>48</v>
      </c>
      <c r="I1487" s="224"/>
    </row>
    <row r="1488" ht="17.25" customHeight="1" spans="1:9" x14ac:dyDescent="0.25">
      <c r="A1488" s="220">
        <v>1531</v>
      </c>
      <c r="B1488" s="221" t="s">
        <v>3377</v>
      </c>
      <c r="C1488" s="222" t="s">
        <v>3378</v>
      </c>
      <c r="D1488" s="221" t="s">
        <v>205</v>
      </c>
      <c r="E1488" s="221" t="s">
        <v>31</v>
      </c>
      <c r="F1488" s="223">
        <v>5450</v>
      </c>
      <c r="G1488" s="221" t="s">
        <v>48</v>
      </c>
      <c r="H1488" s="221" t="s">
        <v>48</v>
      </c>
      <c r="I1488" s="224"/>
    </row>
    <row r="1489" ht="17.25" customHeight="1" spans="1:9" x14ac:dyDescent="0.25">
      <c r="A1489" s="220">
        <v>1532</v>
      </c>
      <c r="B1489" s="221" t="s">
        <v>3379</v>
      </c>
      <c r="C1489" s="222" t="s">
        <v>3380</v>
      </c>
      <c r="D1489" s="221" t="s">
        <v>205</v>
      </c>
      <c r="E1489" s="221" t="s">
        <v>31</v>
      </c>
      <c r="F1489" s="223">
        <v>4400</v>
      </c>
      <c r="G1489" s="221" t="s">
        <v>48</v>
      </c>
      <c r="H1489" s="221" t="s">
        <v>48</v>
      </c>
      <c r="I1489" s="224"/>
    </row>
    <row r="1490" ht="17.25" customHeight="1" spans="1:9" x14ac:dyDescent="0.25">
      <c r="A1490" s="220">
        <v>1533</v>
      </c>
      <c r="B1490" s="221" t="s">
        <v>3381</v>
      </c>
      <c r="C1490" s="222" t="s">
        <v>3382</v>
      </c>
      <c r="D1490" s="221" t="s">
        <v>205</v>
      </c>
      <c r="E1490" s="221" t="s">
        <v>31</v>
      </c>
      <c r="F1490" s="223">
        <v>3250</v>
      </c>
      <c r="G1490" s="221" t="s">
        <v>48</v>
      </c>
      <c r="H1490" s="221" t="s">
        <v>48</v>
      </c>
      <c r="I1490" s="224"/>
    </row>
    <row r="1491" ht="17.25" customHeight="1" spans="1:9" x14ac:dyDescent="0.25">
      <c r="A1491" s="220">
        <v>1534</v>
      </c>
      <c r="B1491" s="221" t="s">
        <v>3383</v>
      </c>
      <c r="C1491" s="222" t="s">
        <v>3384</v>
      </c>
      <c r="D1491" s="221" t="s">
        <v>205</v>
      </c>
      <c r="E1491" s="221" t="s">
        <v>31</v>
      </c>
      <c r="F1491" s="223">
        <v>2100</v>
      </c>
      <c r="G1491" s="221" t="s">
        <v>48</v>
      </c>
      <c r="H1491" s="221" t="s">
        <v>48</v>
      </c>
      <c r="I1491" s="224"/>
    </row>
    <row r="1492" ht="17.25" customHeight="1" spans="1:9" x14ac:dyDescent="0.25">
      <c r="A1492" s="220">
        <v>1535</v>
      </c>
      <c r="B1492" s="221" t="s">
        <v>3385</v>
      </c>
      <c r="C1492" s="222" t="s">
        <v>3386</v>
      </c>
      <c r="D1492" s="221" t="s">
        <v>205</v>
      </c>
      <c r="E1492" s="221" t="s">
        <v>31</v>
      </c>
      <c r="F1492" s="223">
        <v>2500</v>
      </c>
      <c r="G1492" s="221" t="s">
        <v>48</v>
      </c>
      <c r="H1492" s="221" t="s">
        <v>48</v>
      </c>
      <c r="I1492" s="224"/>
    </row>
    <row r="1493" ht="17.25" customHeight="1" spans="1:9" x14ac:dyDescent="0.25">
      <c r="A1493" s="220">
        <v>1536</v>
      </c>
      <c r="B1493" s="221" t="s">
        <v>3387</v>
      </c>
      <c r="C1493" s="222" t="s">
        <v>3388</v>
      </c>
      <c r="D1493" s="221" t="s">
        <v>205</v>
      </c>
      <c r="E1493" s="221" t="s">
        <v>31</v>
      </c>
      <c r="F1493" s="223">
        <v>1850</v>
      </c>
      <c r="G1493" s="221" t="s">
        <v>48</v>
      </c>
      <c r="H1493" s="221" t="s">
        <v>48</v>
      </c>
      <c r="I1493" s="224"/>
    </row>
    <row r="1494" ht="17.25" customHeight="1" spans="1:9" x14ac:dyDescent="0.25">
      <c r="A1494" s="220">
        <v>1537</v>
      </c>
      <c r="B1494" s="221" t="s">
        <v>3389</v>
      </c>
      <c r="C1494" s="222" t="s">
        <v>3390</v>
      </c>
      <c r="D1494" s="221" t="s">
        <v>205</v>
      </c>
      <c r="E1494" s="221" t="s">
        <v>31</v>
      </c>
      <c r="F1494" s="223">
        <v>2000</v>
      </c>
      <c r="G1494" s="221" t="s">
        <v>48</v>
      </c>
      <c r="H1494" s="221" t="s">
        <v>48</v>
      </c>
      <c r="I1494" s="224"/>
    </row>
    <row r="1495" ht="17.25" customHeight="1" spans="1:9" x14ac:dyDescent="0.25">
      <c r="A1495" s="220">
        <v>1538</v>
      </c>
      <c r="B1495" s="221" t="s">
        <v>3391</v>
      </c>
      <c r="C1495" s="222" t="s">
        <v>3392</v>
      </c>
      <c r="D1495" s="221" t="s">
        <v>205</v>
      </c>
      <c r="E1495" s="221" t="s">
        <v>31</v>
      </c>
      <c r="F1495" s="223">
        <v>2000</v>
      </c>
      <c r="G1495" s="221" t="s">
        <v>48</v>
      </c>
      <c r="H1495" s="221" t="s">
        <v>48</v>
      </c>
      <c r="I1495" s="224"/>
    </row>
    <row r="1496" ht="17.25" customHeight="1" spans="1:9" x14ac:dyDescent="0.25">
      <c r="A1496" s="220">
        <v>1539</v>
      </c>
      <c r="B1496" s="221" t="s">
        <v>3393</v>
      </c>
      <c r="C1496" s="222" t="s">
        <v>3394</v>
      </c>
      <c r="D1496" s="221" t="s">
        <v>205</v>
      </c>
      <c r="E1496" s="221" t="s">
        <v>31</v>
      </c>
      <c r="F1496" s="223">
        <v>2600</v>
      </c>
      <c r="G1496" s="221" t="s">
        <v>48</v>
      </c>
      <c r="H1496" s="221" t="s">
        <v>48</v>
      </c>
      <c r="I1496" s="224"/>
    </row>
    <row r="1497" ht="17.25" customHeight="1" spans="1:9" x14ac:dyDescent="0.25">
      <c r="A1497" s="220">
        <v>1540</v>
      </c>
      <c r="B1497" s="221" t="s">
        <v>3395</v>
      </c>
      <c r="C1497" s="222" t="s">
        <v>3396</v>
      </c>
      <c r="D1497" s="221" t="s">
        <v>205</v>
      </c>
      <c r="E1497" s="221" t="s">
        <v>31</v>
      </c>
      <c r="F1497" s="223">
        <v>2500</v>
      </c>
      <c r="G1497" s="221" t="s">
        <v>48</v>
      </c>
      <c r="H1497" s="221" t="s">
        <v>48</v>
      </c>
      <c r="I1497" s="224"/>
    </row>
    <row r="1498" ht="17.25" customHeight="1" spans="1:9" x14ac:dyDescent="0.25">
      <c r="A1498" s="220">
        <v>1541</v>
      </c>
      <c r="B1498" s="221" t="s">
        <v>3397</v>
      </c>
      <c r="C1498" s="222" t="s">
        <v>3398</v>
      </c>
      <c r="D1498" s="221" t="s">
        <v>205</v>
      </c>
      <c r="E1498" s="221" t="s">
        <v>31</v>
      </c>
      <c r="F1498" s="223">
        <v>2500</v>
      </c>
      <c r="G1498" s="221" t="s">
        <v>48</v>
      </c>
      <c r="H1498" s="221" t="s">
        <v>48</v>
      </c>
      <c r="I1498" s="224"/>
    </row>
    <row r="1499" ht="17.25" customHeight="1" spans="1:9" x14ac:dyDescent="0.25">
      <c r="A1499" s="220">
        <v>1542</v>
      </c>
      <c r="B1499" s="221" t="s">
        <v>3399</v>
      </c>
      <c r="C1499" s="222" t="s">
        <v>3400</v>
      </c>
      <c r="D1499" s="221" t="s">
        <v>205</v>
      </c>
      <c r="E1499" s="221" t="s">
        <v>31</v>
      </c>
      <c r="F1499" s="223">
        <v>2500</v>
      </c>
      <c r="G1499" s="221" t="s">
        <v>48</v>
      </c>
      <c r="H1499" s="221" t="s">
        <v>48</v>
      </c>
      <c r="I1499" s="224"/>
    </row>
    <row r="1500" ht="17.25" customHeight="1" spans="1:9" x14ac:dyDescent="0.25">
      <c r="A1500" s="220">
        <v>1543</v>
      </c>
      <c r="B1500" s="221" t="s">
        <v>3401</v>
      </c>
      <c r="C1500" s="222" t="s">
        <v>3402</v>
      </c>
      <c r="D1500" s="221" t="s">
        <v>205</v>
      </c>
      <c r="E1500" s="221" t="s">
        <v>31</v>
      </c>
      <c r="F1500" s="223">
        <v>2500</v>
      </c>
      <c r="G1500" s="221" t="s">
        <v>48</v>
      </c>
      <c r="H1500" s="221" t="s">
        <v>48</v>
      </c>
      <c r="I1500" s="224"/>
    </row>
    <row r="1501" ht="17.25" customHeight="1" spans="1:9" x14ac:dyDescent="0.25">
      <c r="A1501" s="220">
        <v>1544</v>
      </c>
      <c r="B1501" s="221" t="s">
        <v>3403</v>
      </c>
      <c r="C1501" s="222" t="s">
        <v>3404</v>
      </c>
      <c r="D1501" s="221" t="s">
        <v>205</v>
      </c>
      <c r="E1501" s="221" t="s">
        <v>31</v>
      </c>
      <c r="F1501" s="223">
        <v>2000</v>
      </c>
      <c r="G1501" s="221" t="s">
        <v>48</v>
      </c>
      <c r="H1501" s="221" t="s">
        <v>48</v>
      </c>
      <c r="I1501" s="222"/>
    </row>
    <row r="1502" ht="17.25" customHeight="1" spans="1:9" x14ac:dyDescent="0.25">
      <c r="A1502" s="220">
        <v>1545</v>
      </c>
      <c r="B1502" s="221" t="s">
        <v>3405</v>
      </c>
      <c r="C1502" s="222" t="s">
        <v>3406</v>
      </c>
      <c r="D1502" s="221" t="s">
        <v>205</v>
      </c>
      <c r="E1502" s="221" t="s">
        <v>31</v>
      </c>
      <c r="F1502" s="223">
        <v>2000</v>
      </c>
      <c r="G1502" s="221" t="s">
        <v>48</v>
      </c>
      <c r="H1502" s="221" t="s">
        <v>48</v>
      </c>
      <c r="I1502" s="224"/>
    </row>
    <row r="1503" ht="17.25" customHeight="1" spans="1:9" x14ac:dyDescent="0.25">
      <c r="A1503" s="220">
        <v>1546</v>
      </c>
      <c r="B1503" s="221" t="s">
        <v>3407</v>
      </c>
      <c r="C1503" s="222" t="s">
        <v>3408</v>
      </c>
      <c r="D1503" s="221" t="s">
        <v>205</v>
      </c>
      <c r="E1503" s="221" t="s">
        <v>31</v>
      </c>
      <c r="F1503" s="223">
        <v>1850</v>
      </c>
      <c r="G1503" s="221" t="s">
        <v>48</v>
      </c>
      <c r="H1503" s="221" t="s">
        <v>48</v>
      </c>
      <c r="I1503" s="224"/>
    </row>
    <row r="1504" ht="17.25" customHeight="1" spans="1:9" x14ac:dyDescent="0.25">
      <c r="A1504" s="220">
        <v>1547</v>
      </c>
      <c r="B1504" s="221" t="s">
        <v>3409</v>
      </c>
      <c r="C1504" s="222" t="s">
        <v>3410</v>
      </c>
      <c r="D1504" s="221" t="s">
        <v>205</v>
      </c>
      <c r="E1504" s="221" t="s">
        <v>31</v>
      </c>
      <c r="F1504" s="223">
        <v>2300</v>
      </c>
      <c r="G1504" s="221" t="s">
        <v>48</v>
      </c>
      <c r="H1504" s="221" t="s">
        <v>48</v>
      </c>
      <c r="I1504" s="224"/>
    </row>
    <row r="1505" ht="17.25" customHeight="1" spans="1:9" x14ac:dyDescent="0.25">
      <c r="A1505" s="220">
        <v>1548</v>
      </c>
      <c r="B1505" s="221" t="s">
        <v>3411</v>
      </c>
      <c r="C1505" s="222" t="s">
        <v>3412</v>
      </c>
      <c r="D1505" s="221" t="s">
        <v>205</v>
      </c>
      <c r="E1505" s="221" t="s">
        <v>31</v>
      </c>
      <c r="F1505" s="223">
        <v>2000</v>
      </c>
      <c r="G1505" s="221" t="s">
        <v>48</v>
      </c>
      <c r="H1505" s="221" t="s">
        <v>48</v>
      </c>
      <c r="I1505" s="224"/>
    </row>
    <row r="1506" ht="17.25" customHeight="1" spans="1:9" x14ac:dyDescent="0.25">
      <c r="A1506" s="220">
        <v>1549</v>
      </c>
      <c r="B1506" s="221" t="s">
        <v>3413</v>
      </c>
      <c r="C1506" s="222" t="s">
        <v>3414</v>
      </c>
      <c r="D1506" s="221" t="s">
        <v>205</v>
      </c>
      <c r="E1506" s="221" t="s">
        <v>31</v>
      </c>
      <c r="F1506" s="223">
        <v>1800</v>
      </c>
      <c r="G1506" s="221" t="s">
        <v>48</v>
      </c>
      <c r="H1506" s="221" t="s">
        <v>48</v>
      </c>
      <c r="I1506" s="224"/>
    </row>
    <row r="1507" ht="17.25" customHeight="1" spans="1:9" x14ac:dyDescent="0.25">
      <c r="A1507" s="220">
        <v>1550</v>
      </c>
      <c r="B1507" s="221" t="s">
        <v>3415</v>
      </c>
      <c r="C1507" s="222" t="s">
        <v>3416</v>
      </c>
      <c r="D1507" s="221" t="s">
        <v>205</v>
      </c>
      <c r="E1507" s="221" t="s">
        <v>31</v>
      </c>
      <c r="F1507" s="223">
        <v>2500</v>
      </c>
      <c r="G1507" s="221" t="s">
        <v>48</v>
      </c>
      <c r="H1507" s="221" t="s">
        <v>48</v>
      </c>
      <c r="I1507" s="224"/>
    </row>
    <row r="1508" ht="17.25" customHeight="1" spans="1:9" x14ac:dyDescent="0.25">
      <c r="A1508" s="220">
        <v>1551</v>
      </c>
      <c r="B1508" s="221" t="s">
        <v>3417</v>
      </c>
      <c r="C1508" s="222" t="s">
        <v>3418</v>
      </c>
      <c r="D1508" s="221" t="s">
        <v>205</v>
      </c>
      <c r="E1508" s="221" t="s">
        <v>31</v>
      </c>
      <c r="F1508" s="223">
        <v>2500</v>
      </c>
      <c r="G1508" s="221" t="s">
        <v>48</v>
      </c>
      <c r="H1508" s="221" t="s">
        <v>48</v>
      </c>
      <c r="I1508" s="224"/>
    </row>
    <row r="1509" ht="17.25" customHeight="1" spans="1:9" x14ac:dyDescent="0.25">
      <c r="A1509" s="220">
        <v>1552</v>
      </c>
      <c r="B1509" s="221" t="s">
        <v>3419</v>
      </c>
      <c r="C1509" s="222" t="s">
        <v>3420</v>
      </c>
      <c r="D1509" s="221" t="s">
        <v>205</v>
      </c>
      <c r="E1509" s="221" t="s">
        <v>31</v>
      </c>
      <c r="F1509" s="223">
        <v>2300</v>
      </c>
      <c r="G1509" s="221" t="s">
        <v>48</v>
      </c>
      <c r="H1509" s="221" t="s">
        <v>48</v>
      </c>
      <c r="I1509" s="222"/>
    </row>
    <row r="1510" ht="17.25" customHeight="1" spans="1:9" x14ac:dyDescent="0.25">
      <c r="A1510" s="220">
        <v>1553</v>
      </c>
      <c r="B1510" s="221" t="s">
        <v>3421</v>
      </c>
      <c r="C1510" s="222" t="s">
        <v>3422</v>
      </c>
      <c r="D1510" s="221" t="s">
        <v>205</v>
      </c>
      <c r="E1510" s="221" t="s">
        <v>31</v>
      </c>
      <c r="F1510" s="223">
        <v>2300</v>
      </c>
      <c r="G1510" s="221" t="s">
        <v>48</v>
      </c>
      <c r="H1510" s="221" t="s">
        <v>48</v>
      </c>
      <c r="I1510" s="224"/>
    </row>
    <row r="1511" ht="17.25" customHeight="1" spans="1:9" x14ac:dyDescent="0.25">
      <c r="A1511" s="220">
        <v>1554</v>
      </c>
      <c r="B1511" s="221" t="s">
        <v>3423</v>
      </c>
      <c r="C1511" s="222" t="s">
        <v>3424</v>
      </c>
      <c r="D1511" s="221" t="s">
        <v>205</v>
      </c>
      <c r="E1511" s="221" t="s">
        <v>31</v>
      </c>
      <c r="F1511" s="223">
        <v>2500</v>
      </c>
      <c r="G1511" s="221" t="s">
        <v>48</v>
      </c>
      <c r="H1511" s="221" t="s">
        <v>48</v>
      </c>
      <c r="I1511" s="224"/>
    </row>
    <row r="1512" ht="17.25" customHeight="1" spans="1:9" x14ac:dyDescent="0.25">
      <c r="A1512" s="220">
        <v>1555</v>
      </c>
      <c r="B1512" s="221" t="s">
        <v>3425</v>
      </c>
      <c r="C1512" s="222" t="s">
        <v>3426</v>
      </c>
      <c r="D1512" s="221" t="s">
        <v>205</v>
      </c>
      <c r="E1512" s="221" t="s">
        <v>31</v>
      </c>
      <c r="F1512" s="223">
        <v>2500</v>
      </c>
      <c r="G1512" s="221" t="s">
        <v>48</v>
      </c>
      <c r="H1512" s="221" t="s">
        <v>48</v>
      </c>
      <c r="I1512" s="222"/>
    </row>
    <row r="1513" ht="17.25" customHeight="1" spans="1:9" x14ac:dyDescent="0.25">
      <c r="A1513" s="220">
        <v>1556</v>
      </c>
      <c r="B1513" s="221" t="s">
        <v>3427</v>
      </c>
      <c r="C1513" s="222" t="s">
        <v>3428</v>
      </c>
      <c r="D1513" s="221" t="s">
        <v>205</v>
      </c>
      <c r="E1513" s="221" t="s">
        <v>31</v>
      </c>
      <c r="F1513" s="223">
        <v>2300</v>
      </c>
      <c r="G1513" s="221" t="s">
        <v>48</v>
      </c>
      <c r="H1513" s="221" t="s">
        <v>48</v>
      </c>
      <c r="I1513" s="222"/>
    </row>
    <row r="1514" ht="17.25" customHeight="1" spans="1:9" x14ac:dyDescent="0.25">
      <c r="A1514" s="220">
        <v>1557</v>
      </c>
      <c r="B1514" s="221" t="s">
        <v>3429</v>
      </c>
      <c r="C1514" s="222" t="s">
        <v>3430</v>
      </c>
      <c r="D1514" s="221" t="s">
        <v>205</v>
      </c>
      <c r="E1514" s="221" t="s">
        <v>31</v>
      </c>
      <c r="F1514" s="223">
        <v>0</v>
      </c>
      <c r="G1514" s="221" t="s">
        <v>48</v>
      </c>
      <c r="H1514" s="221" t="s">
        <v>48</v>
      </c>
      <c r="I1514" s="224"/>
    </row>
    <row r="1515" ht="17.25" customHeight="1" spans="1:9" x14ac:dyDescent="0.25">
      <c r="A1515" s="220">
        <v>1558</v>
      </c>
      <c r="B1515" s="221" t="s">
        <v>3431</v>
      </c>
      <c r="C1515" s="222" t="s">
        <v>3432</v>
      </c>
      <c r="D1515" s="221" t="s">
        <v>205</v>
      </c>
      <c r="E1515" s="221" t="s">
        <v>3433</v>
      </c>
      <c r="F1515" s="223">
        <v>0</v>
      </c>
      <c r="G1515" s="221" t="s">
        <v>71</v>
      </c>
      <c r="H1515" s="221" t="s">
        <v>71</v>
      </c>
      <c r="I1515" s="224"/>
    </row>
    <row r="1516" ht="17.25" customHeight="1" spans="1:9" x14ac:dyDescent="0.25">
      <c r="A1516" s="220">
        <v>1559</v>
      </c>
      <c r="B1516" s="221" t="s">
        <v>3434</v>
      </c>
      <c r="C1516" s="222" t="s">
        <v>3435</v>
      </c>
      <c r="D1516" s="221" t="s">
        <v>205</v>
      </c>
      <c r="E1516" s="221" t="s">
        <v>3433</v>
      </c>
      <c r="F1516" s="223">
        <v>0</v>
      </c>
      <c r="G1516" s="221" t="s">
        <v>71</v>
      </c>
      <c r="H1516" s="221" t="s">
        <v>71</v>
      </c>
      <c r="I1516" s="224"/>
    </row>
    <row r="1517" ht="17.25" customHeight="1" spans="1:9" x14ac:dyDescent="0.25">
      <c r="A1517" s="220">
        <v>1560</v>
      </c>
      <c r="B1517" s="221" t="s">
        <v>3436</v>
      </c>
      <c r="C1517" s="222" t="s">
        <v>3437</v>
      </c>
      <c r="D1517" s="221" t="s">
        <v>205</v>
      </c>
      <c r="E1517" s="221" t="s">
        <v>3433</v>
      </c>
      <c r="F1517" s="223">
        <v>0</v>
      </c>
      <c r="G1517" s="221" t="s">
        <v>71</v>
      </c>
      <c r="H1517" s="221" t="s">
        <v>71</v>
      </c>
      <c r="I1517" s="224"/>
    </row>
    <row r="1518" ht="17.25" customHeight="1" spans="1:9" x14ac:dyDescent="0.25">
      <c r="A1518" s="220">
        <v>1561</v>
      </c>
      <c r="B1518" s="221" t="s">
        <v>3438</v>
      </c>
      <c r="C1518" s="222" t="s">
        <v>3439</v>
      </c>
      <c r="D1518" s="221" t="s">
        <v>205</v>
      </c>
      <c r="E1518" s="221" t="s">
        <v>3433</v>
      </c>
      <c r="F1518" s="223">
        <v>0</v>
      </c>
      <c r="G1518" s="221" t="s">
        <v>71</v>
      </c>
      <c r="H1518" s="221" t="s">
        <v>71</v>
      </c>
      <c r="I1518" s="224"/>
    </row>
    <row r="1519" ht="17.25" customHeight="1" spans="1:9" x14ac:dyDescent="0.25">
      <c r="A1519" s="220">
        <v>1562</v>
      </c>
      <c r="B1519" s="221" t="s">
        <v>3440</v>
      </c>
      <c r="C1519" s="222" t="s">
        <v>3441</v>
      </c>
      <c r="D1519" s="221" t="s">
        <v>205</v>
      </c>
      <c r="E1519" s="221" t="s">
        <v>3433</v>
      </c>
      <c r="F1519" s="223">
        <v>0</v>
      </c>
      <c r="G1519" s="221" t="s">
        <v>71</v>
      </c>
      <c r="H1519" s="221" t="s">
        <v>71</v>
      </c>
      <c r="I1519" s="224"/>
    </row>
    <row r="1520" ht="17.25" customHeight="1" spans="1:9" x14ac:dyDescent="0.25">
      <c r="A1520" s="220">
        <v>1563</v>
      </c>
      <c r="B1520" s="221" t="s">
        <v>3442</v>
      </c>
      <c r="C1520" s="222" t="s">
        <v>3443</v>
      </c>
      <c r="D1520" s="221" t="s">
        <v>205</v>
      </c>
      <c r="E1520" s="221" t="s">
        <v>3433</v>
      </c>
      <c r="F1520" s="223">
        <v>0</v>
      </c>
      <c r="G1520" s="221" t="s">
        <v>71</v>
      </c>
      <c r="H1520" s="221" t="s">
        <v>71</v>
      </c>
      <c r="I1520" s="224"/>
    </row>
    <row r="1521" ht="17.25" customHeight="1" spans="1:9" x14ac:dyDescent="0.25">
      <c r="A1521" s="220">
        <v>1564</v>
      </c>
      <c r="B1521" s="221" t="s">
        <v>3444</v>
      </c>
      <c r="C1521" s="222" t="s">
        <v>3445</v>
      </c>
      <c r="D1521" s="221" t="s">
        <v>205</v>
      </c>
      <c r="E1521" s="221" t="s">
        <v>3433</v>
      </c>
      <c r="F1521" s="223">
        <v>0</v>
      </c>
      <c r="G1521" s="221" t="s">
        <v>71</v>
      </c>
      <c r="H1521" s="221" t="s">
        <v>71</v>
      </c>
      <c r="I1521" s="224"/>
    </row>
    <row r="1522" ht="17.25" customHeight="1" spans="1:9" x14ac:dyDescent="0.25">
      <c r="A1522" s="220">
        <v>1565</v>
      </c>
      <c r="B1522" s="221" t="s">
        <v>3446</v>
      </c>
      <c r="C1522" s="222" t="s">
        <v>3447</v>
      </c>
      <c r="D1522" s="221" t="s">
        <v>205</v>
      </c>
      <c r="E1522" s="221" t="s">
        <v>3433</v>
      </c>
      <c r="F1522" s="223">
        <v>0</v>
      </c>
      <c r="G1522" s="221" t="s">
        <v>71</v>
      </c>
      <c r="H1522" s="221" t="s">
        <v>71</v>
      </c>
      <c r="I1522" s="224"/>
    </row>
    <row r="1523" ht="17.25" customHeight="1" spans="1:9" x14ac:dyDescent="0.25">
      <c r="A1523" s="220">
        <v>1567</v>
      </c>
      <c r="B1523" s="221" t="s">
        <v>3448</v>
      </c>
      <c r="C1523" s="222" t="s">
        <v>3449</v>
      </c>
      <c r="D1523" s="221" t="s">
        <v>205</v>
      </c>
      <c r="E1523" s="221" t="s">
        <v>3433</v>
      </c>
      <c r="F1523" s="223">
        <v>0</v>
      </c>
      <c r="G1523" s="221" t="s">
        <v>71</v>
      </c>
      <c r="H1523" s="221" t="s">
        <v>71</v>
      </c>
      <c r="I1523" s="222"/>
    </row>
    <row r="1524" ht="17.25" customHeight="1" spans="1:9" x14ac:dyDescent="0.25">
      <c r="A1524" s="220">
        <v>1568</v>
      </c>
      <c r="B1524" s="221" t="s">
        <v>3450</v>
      </c>
      <c r="C1524" s="222" t="s">
        <v>3451</v>
      </c>
      <c r="D1524" s="221" t="s">
        <v>205</v>
      </c>
      <c r="E1524" s="221" t="s">
        <v>3433</v>
      </c>
      <c r="F1524" s="223">
        <v>0</v>
      </c>
      <c r="G1524" s="221" t="s">
        <v>71</v>
      </c>
      <c r="H1524" s="221" t="s">
        <v>71</v>
      </c>
      <c r="I1524" s="224"/>
    </row>
    <row r="1525" ht="17.25" customHeight="1" spans="1:9" x14ac:dyDescent="0.25">
      <c r="A1525" s="220">
        <v>1569</v>
      </c>
      <c r="B1525" s="221" t="s">
        <v>3452</v>
      </c>
      <c r="C1525" s="222" t="s">
        <v>3453</v>
      </c>
      <c r="D1525" s="221" t="s">
        <v>205</v>
      </c>
      <c r="E1525" s="221" t="s">
        <v>3433</v>
      </c>
      <c r="F1525" s="223">
        <v>0</v>
      </c>
      <c r="G1525" s="221" t="s">
        <v>71</v>
      </c>
      <c r="H1525" s="221" t="s">
        <v>71</v>
      </c>
      <c r="I1525" s="224"/>
    </row>
    <row r="1526" ht="17.25" customHeight="1" spans="1:9" x14ac:dyDescent="0.25">
      <c r="A1526" s="220">
        <v>1570</v>
      </c>
      <c r="B1526" s="221" t="s">
        <v>3454</v>
      </c>
      <c r="C1526" s="222" t="s">
        <v>3455</v>
      </c>
      <c r="D1526" s="221" t="s">
        <v>205</v>
      </c>
      <c r="E1526" s="221" t="s">
        <v>3433</v>
      </c>
      <c r="F1526" s="223">
        <v>0</v>
      </c>
      <c r="G1526" s="221" t="s">
        <v>71</v>
      </c>
      <c r="H1526" s="221" t="s">
        <v>71</v>
      </c>
      <c r="I1526" s="224"/>
    </row>
    <row r="1527" ht="17.25" customHeight="1" spans="1:9" x14ac:dyDescent="0.25">
      <c r="A1527" s="220">
        <v>1571</v>
      </c>
      <c r="B1527" s="221" t="s">
        <v>3456</v>
      </c>
      <c r="C1527" s="222" t="s">
        <v>3457</v>
      </c>
      <c r="D1527" s="221" t="s">
        <v>205</v>
      </c>
      <c r="E1527" s="221" t="s">
        <v>3433</v>
      </c>
      <c r="F1527" s="223">
        <v>0</v>
      </c>
      <c r="G1527" s="221" t="s">
        <v>71</v>
      </c>
      <c r="H1527" s="221" t="s">
        <v>71</v>
      </c>
      <c r="I1527" s="224"/>
    </row>
    <row r="1528" ht="17.25" customHeight="1" spans="1:9" x14ac:dyDescent="0.25">
      <c r="A1528" s="220">
        <v>1572</v>
      </c>
      <c r="B1528" s="221" t="s">
        <v>3458</v>
      </c>
      <c r="C1528" s="222" t="s">
        <v>3459</v>
      </c>
      <c r="D1528" s="221" t="s">
        <v>205</v>
      </c>
      <c r="E1528" s="221" t="s">
        <v>3433</v>
      </c>
      <c r="F1528" s="223">
        <v>0</v>
      </c>
      <c r="G1528" s="221" t="s">
        <v>71</v>
      </c>
      <c r="H1528" s="221" t="s">
        <v>71</v>
      </c>
      <c r="I1528" s="224"/>
    </row>
    <row r="1529" ht="17.25" customHeight="1" spans="1:9" x14ac:dyDescent="0.25">
      <c r="A1529" s="220">
        <v>1573</v>
      </c>
      <c r="B1529" s="221" t="s">
        <v>3460</v>
      </c>
      <c r="C1529" s="222" t="s">
        <v>3461</v>
      </c>
      <c r="D1529" s="221" t="s">
        <v>205</v>
      </c>
      <c r="E1529" s="221" t="s">
        <v>3433</v>
      </c>
      <c r="F1529" s="223">
        <v>0</v>
      </c>
      <c r="G1529" s="221" t="s">
        <v>71</v>
      </c>
      <c r="H1529" s="221" t="s">
        <v>71</v>
      </c>
      <c r="I1529" s="224"/>
    </row>
    <row r="1530" ht="17.25" customHeight="1" spans="1:9" x14ac:dyDescent="0.25">
      <c r="A1530" s="220">
        <v>1574</v>
      </c>
      <c r="B1530" s="221" t="s">
        <v>3462</v>
      </c>
      <c r="C1530" s="222" t="s">
        <v>3463</v>
      </c>
      <c r="D1530" s="221" t="s">
        <v>205</v>
      </c>
      <c r="E1530" s="221" t="s">
        <v>3433</v>
      </c>
      <c r="F1530" s="223">
        <v>0</v>
      </c>
      <c r="G1530" s="221" t="s">
        <v>71</v>
      </c>
      <c r="H1530" s="221" t="s">
        <v>71</v>
      </c>
      <c r="I1530" s="224"/>
    </row>
    <row r="1531" ht="17.25" customHeight="1" spans="1:9" x14ac:dyDescent="0.25">
      <c r="A1531" s="220">
        <v>1575</v>
      </c>
      <c r="B1531" s="221" t="s">
        <v>3464</v>
      </c>
      <c r="C1531" s="222" t="s">
        <v>3465</v>
      </c>
      <c r="D1531" s="221" t="s">
        <v>205</v>
      </c>
      <c r="E1531" s="221" t="s">
        <v>3433</v>
      </c>
      <c r="F1531" s="223">
        <v>0</v>
      </c>
      <c r="G1531" s="221" t="s">
        <v>71</v>
      </c>
      <c r="H1531" s="221" t="s">
        <v>71</v>
      </c>
      <c r="I1531" s="224"/>
    </row>
    <row r="1532" ht="17.25" customHeight="1" spans="1:9" x14ac:dyDescent="0.25">
      <c r="A1532" s="220">
        <v>1576</v>
      </c>
      <c r="B1532" s="221" t="s">
        <v>3466</v>
      </c>
      <c r="C1532" s="222" t="s">
        <v>3467</v>
      </c>
      <c r="D1532" s="221" t="s">
        <v>205</v>
      </c>
      <c r="E1532" s="221" t="s">
        <v>3433</v>
      </c>
      <c r="F1532" s="223">
        <v>0</v>
      </c>
      <c r="G1532" s="221" t="s">
        <v>71</v>
      </c>
      <c r="H1532" s="221" t="s">
        <v>71</v>
      </c>
      <c r="I1532" s="224"/>
    </row>
    <row r="1533" ht="17.25" customHeight="1" spans="1:9" x14ac:dyDescent="0.25">
      <c r="A1533" s="220">
        <v>1577</v>
      </c>
      <c r="B1533" s="221" t="s">
        <v>3468</v>
      </c>
      <c r="C1533" s="222" t="s">
        <v>3469</v>
      </c>
      <c r="D1533" s="221" t="s">
        <v>205</v>
      </c>
      <c r="E1533" s="221" t="s">
        <v>3433</v>
      </c>
      <c r="F1533" s="223">
        <v>0</v>
      </c>
      <c r="G1533" s="221" t="s">
        <v>71</v>
      </c>
      <c r="H1533" s="221" t="s">
        <v>71</v>
      </c>
      <c r="I1533" s="224"/>
    </row>
    <row r="1534" ht="17.25" customHeight="1" spans="1:9" x14ac:dyDescent="0.25">
      <c r="A1534" s="220">
        <v>1578</v>
      </c>
      <c r="B1534" s="221" t="s">
        <v>3470</v>
      </c>
      <c r="C1534" s="222" t="s">
        <v>3471</v>
      </c>
      <c r="D1534" s="221" t="s">
        <v>205</v>
      </c>
      <c r="E1534" s="221" t="s">
        <v>3433</v>
      </c>
      <c r="F1534" s="223">
        <v>0</v>
      </c>
      <c r="G1534" s="221" t="s">
        <v>71</v>
      </c>
      <c r="H1534" s="221" t="s">
        <v>71</v>
      </c>
      <c r="I1534" s="224"/>
    </row>
    <row r="1535" ht="17.25" customHeight="1" spans="1:9" x14ac:dyDescent="0.25">
      <c r="A1535" s="220">
        <v>1579</v>
      </c>
      <c r="B1535" s="221" t="s">
        <v>3472</v>
      </c>
      <c r="C1535" s="222" t="s">
        <v>3473</v>
      </c>
      <c r="D1535" s="221" t="s">
        <v>205</v>
      </c>
      <c r="E1535" s="221" t="s">
        <v>3433</v>
      </c>
      <c r="F1535" s="223">
        <v>0</v>
      </c>
      <c r="G1535" s="221" t="s">
        <v>71</v>
      </c>
      <c r="H1535" s="221" t="s">
        <v>71</v>
      </c>
      <c r="I1535" s="224"/>
    </row>
    <row r="1536" ht="17.25" customHeight="1" spans="1:9" x14ac:dyDescent="0.25">
      <c r="A1536" s="220">
        <v>1580</v>
      </c>
      <c r="B1536" s="221" t="s">
        <v>3474</v>
      </c>
      <c r="C1536" s="222" t="s">
        <v>3475</v>
      </c>
      <c r="D1536" s="221" t="s">
        <v>205</v>
      </c>
      <c r="E1536" s="221" t="s">
        <v>3433</v>
      </c>
      <c r="F1536" s="223">
        <v>0</v>
      </c>
      <c r="G1536" s="221" t="s">
        <v>71</v>
      </c>
      <c r="H1536" s="221" t="s">
        <v>71</v>
      </c>
      <c r="I1536" s="224"/>
    </row>
    <row r="1537" ht="17.25" customHeight="1" spans="1:9" x14ac:dyDescent="0.25">
      <c r="A1537" s="220">
        <v>1581</v>
      </c>
      <c r="B1537" s="221" t="s">
        <v>3476</v>
      </c>
      <c r="C1537" s="222" t="s">
        <v>3477</v>
      </c>
      <c r="D1537" s="221" t="s">
        <v>205</v>
      </c>
      <c r="E1537" s="221" t="s">
        <v>3433</v>
      </c>
      <c r="F1537" s="223">
        <v>0</v>
      </c>
      <c r="G1537" s="221" t="s">
        <v>71</v>
      </c>
      <c r="H1537" s="221" t="s">
        <v>71</v>
      </c>
      <c r="I1537" s="224"/>
    </row>
    <row r="1538" ht="17.25" customHeight="1" spans="1:9" x14ac:dyDescent="0.25">
      <c r="A1538" s="220">
        <v>1582</v>
      </c>
      <c r="B1538" s="221" t="s">
        <v>3478</v>
      </c>
      <c r="C1538" s="222" t="s">
        <v>3479</v>
      </c>
      <c r="D1538" s="221" t="s">
        <v>205</v>
      </c>
      <c r="E1538" s="221" t="s">
        <v>3433</v>
      </c>
      <c r="F1538" s="223">
        <v>0</v>
      </c>
      <c r="G1538" s="221" t="s">
        <v>71</v>
      </c>
      <c r="H1538" s="221" t="s">
        <v>71</v>
      </c>
      <c r="I1538" s="224"/>
    </row>
    <row r="1539" ht="17.25" customHeight="1" spans="1:9" x14ac:dyDescent="0.25">
      <c r="A1539" s="220">
        <v>1583</v>
      </c>
      <c r="B1539" s="221" t="s">
        <v>3480</v>
      </c>
      <c r="C1539" s="222" t="s">
        <v>3481</v>
      </c>
      <c r="D1539" s="221" t="s">
        <v>205</v>
      </c>
      <c r="E1539" s="221" t="s">
        <v>3433</v>
      </c>
      <c r="F1539" s="223">
        <v>0</v>
      </c>
      <c r="G1539" s="221" t="s">
        <v>71</v>
      </c>
      <c r="H1539" s="221" t="s">
        <v>71</v>
      </c>
      <c r="I1539" s="224"/>
    </row>
    <row r="1540" ht="17.25" customHeight="1" spans="1:9" x14ac:dyDescent="0.25">
      <c r="A1540" s="220">
        <v>1584</v>
      </c>
      <c r="B1540" s="221" t="s">
        <v>3482</v>
      </c>
      <c r="C1540" s="222" t="s">
        <v>3483</v>
      </c>
      <c r="D1540" s="221" t="s">
        <v>205</v>
      </c>
      <c r="E1540" s="221" t="s">
        <v>3433</v>
      </c>
      <c r="F1540" s="223">
        <v>0</v>
      </c>
      <c r="G1540" s="221" t="s">
        <v>71</v>
      </c>
      <c r="H1540" s="221" t="s">
        <v>71</v>
      </c>
      <c r="I1540" s="224"/>
    </row>
    <row r="1541" ht="17.25" customHeight="1" spans="1:9" x14ac:dyDescent="0.25">
      <c r="A1541" s="220">
        <v>1585</v>
      </c>
      <c r="B1541" s="221" t="s">
        <v>3484</v>
      </c>
      <c r="C1541" s="222" t="s">
        <v>3485</v>
      </c>
      <c r="D1541" s="221" t="s">
        <v>205</v>
      </c>
      <c r="E1541" s="221" t="s">
        <v>3433</v>
      </c>
      <c r="F1541" s="223">
        <v>0</v>
      </c>
      <c r="G1541" s="221" t="s">
        <v>71</v>
      </c>
      <c r="H1541" s="221" t="s">
        <v>71</v>
      </c>
      <c r="I1541" s="224"/>
    </row>
    <row r="1542" ht="17.25" customHeight="1" spans="1:9" x14ac:dyDescent="0.25">
      <c r="A1542" s="220">
        <v>1586</v>
      </c>
      <c r="B1542" s="221" t="s">
        <v>3486</v>
      </c>
      <c r="C1542" s="222" t="s">
        <v>3487</v>
      </c>
      <c r="D1542" s="221" t="s">
        <v>205</v>
      </c>
      <c r="E1542" s="221" t="s">
        <v>3433</v>
      </c>
      <c r="F1542" s="223">
        <v>0</v>
      </c>
      <c r="G1542" s="221" t="s">
        <v>71</v>
      </c>
      <c r="H1542" s="221" t="s">
        <v>71</v>
      </c>
      <c r="I1542" s="224"/>
    </row>
    <row r="1543" ht="17.25" customHeight="1" spans="1:9" x14ac:dyDescent="0.25">
      <c r="A1543" s="220">
        <v>1587</v>
      </c>
      <c r="B1543" s="221" t="s">
        <v>3488</v>
      </c>
      <c r="C1543" s="222" t="s">
        <v>3489</v>
      </c>
      <c r="D1543" s="221" t="s">
        <v>205</v>
      </c>
      <c r="E1543" s="221" t="s">
        <v>3433</v>
      </c>
      <c r="F1543" s="223">
        <v>0</v>
      </c>
      <c r="G1543" s="221" t="s">
        <v>71</v>
      </c>
      <c r="H1543" s="221" t="s">
        <v>71</v>
      </c>
      <c r="I1543" s="224"/>
    </row>
    <row r="1544" ht="17.25" customHeight="1" spans="1:9" x14ac:dyDescent="0.25">
      <c r="A1544" s="220">
        <v>1588</v>
      </c>
      <c r="B1544" s="221" t="s">
        <v>3490</v>
      </c>
      <c r="C1544" s="222" t="s">
        <v>3491</v>
      </c>
      <c r="D1544" s="221" t="s">
        <v>205</v>
      </c>
      <c r="E1544" s="221" t="s">
        <v>3433</v>
      </c>
      <c r="F1544" s="223">
        <v>0</v>
      </c>
      <c r="G1544" s="221" t="s">
        <v>71</v>
      </c>
      <c r="H1544" s="221" t="s">
        <v>71</v>
      </c>
      <c r="I1544" s="224"/>
    </row>
    <row r="1545" ht="17.25" customHeight="1" spans="1:9" x14ac:dyDescent="0.25">
      <c r="A1545" s="220">
        <v>1589</v>
      </c>
      <c r="B1545" s="221" t="s">
        <v>3492</v>
      </c>
      <c r="C1545" s="222" t="s">
        <v>3493</v>
      </c>
      <c r="D1545" s="221" t="s">
        <v>205</v>
      </c>
      <c r="E1545" s="221" t="s">
        <v>3433</v>
      </c>
      <c r="F1545" s="223">
        <v>0</v>
      </c>
      <c r="G1545" s="221" t="s">
        <v>71</v>
      </c>
      <c r="H1545" s="221" t="s">
        <v>71</v>
      </c>
      <c r="I1545" s="224"/>
    </row>
    <row r="1546" ht="17.25" customHeight="1" spans="1:9" x14ac:dyDescent="0.25">
      <c r="A1546" s="220">
        <v>1590</v>
      </c>
      <c r="B1546" s="221" t="s">
        <v>3494</v>
      </c>
      <c r="C1546" s="222" t="s">
        <v>3495</v>
      </c>
      <c r="D1546" s="221" t="s">
        <v>205</v>
      </c>
      <c r="E1546" s="221" t="s">
        <v>3433</v>
      </c>
      <c r="F1546" s="223">
        <v>0</v>
      </c>
      <c r="G1546" s="221" t="s">
        <v>71</v>
      </c>
      <c r="H1546" s="221" t="s">
        <v>71</v>
      </c>
      <c r="I1546" s="224"/>
    </row>
    <row r="1547" ht="17.25" customHeight="1" spans="1:9" x14ac:dyDescent="0.25">
      <c r="A1547" s="220">
        <v>1591</v>
      </c>
      <c r="B1547" s="221" t="s">
        <v>3496</v>
      </c>
      <c r="C1547" s="222" t="s">
        <v>3497</v>
      </c>
      <c r="D1547" s="221" t="s">
        <v>205</v>
      </c>
      <c r="E1547" s="221" t="s">
        <v>3433</v>
      </c>
      <c r="F1547" s="223">
        <v>0</v>
      </c>
      <c r="G1547" s="221" t="s">
        <v>71</v>
      </c>
      <c r="H1547" s="221" t="s">
        <v>71</v>
      </c>
      <c r="I1547" s="224"/>
    </row>
    <row r="1548" ht="17.25" customHeight="1" spans="1:9" x14ac:dyDescent="0.25">
      <c r="A1548" s="220">
        <v>1592</v>
      </c>
      <c r="B1548" s="221" t="s">
        <v>3498</v>
      </c>
      <c r="C1548" s="222" t="s">
        <v>3499</v>
      </c>
      <c r="D1548" s="221" t="s">
        <v>205</v>
      </c>
      <c r="E1548" s="221" t="s">
        <v>3433</v>
      </c>
      <c r="F1548" s="223">
        <v>0</v>
      </c>
      <c r="G1548" s="221" t="s">
        <v>71</v>
      </c>
      <c r="H1548" s="221" t="s">
        <v>71</v>
      </c>
      <c r="I1548" s="224"/>
    </row>
    <row r="1549" ht="17.25" customHeight="1" spans="1:9" x14ac:dyDescent="0.25">
      <c r="A1549" s="220">
        <v>1593</v>
      </c>
      <c r="B1549" s="221" t="s">
        <v>3500</v>
      </c>
      <c r="C1549" s="222" t="s">
        <v>3501</v>
      </c>
      <c r="D1549" s="221" t="s">
        <v>205</v>
      </c>
      <c r="E1549" s="221" t="s">
        <v>3433</v>
      </c>
      <c r="F1549" s="223">
        <v>0</v>
      </c>
      <c r="G1549" s="221" t="s">
        <v>71</v>
      </c>
      <c r="H1549" s="221" t="s">
        <v>71</v>
      </c>
      <c r="I1549" s="224"/>
    </row>
    <row r="1550" ht="17.25" customHeight="1" spans="1:9" x14ac:dyDescent="0.25">
      <c r="A1550" s="220">
        <v>1594</v>
      </c>
      <c r="B1550" s="221" t="s">
        <v>3502</v>
      </c>
      <c r="C1550" s="222" t="s">
        <v>3503</v>
      </c>
      <c r="D1550" s="221" t="s">
        <v>205</v>
      </c>
      <c r="E1550" s="221" t="s">
        <v>3433</v>
      </c>
      <c r="F1550" s="223">
        <v>0</v>
      </c>
      <c r="G1550" s="221" t="s">
        <v>71</v>
      </c>
      <c r="H1550" s="221" t="s">
        <v>71</v>
      </c>
      <c r="I1550" s="224"/>
    </row>
    <row r="1551" ht="17.25" customHeight="1" spans="1:9" x14ac:dyDescent="0.25">
      <c r="A1551" s="220">
        <v>1595</v>
      </c>
      <c r="B1551" s="221" t="s">
        <v>3504</v>
      </c>
      <c r="C1551" s="222" t="s">
        <v>3505</v>
      </c>
      <c r="D1551" s="221" t="s">
        <v>205</v>
      </c>
      <c r="E1551" s="221" t="s">
        <v>3433</v>
      </c>
      <c r="F1551" s="223">
        <v>0</v>
      </c>
      <c r="G1551" s="221" t="s">
        <v>71</v>
      </c>
      <c r="H1551" s="221" t="s">
        <v>71</v>
      </c>
      <c r="I1551" s="224"/>
    </row>
    <row r="1552" ht="17.25" customHeight="1" spans="1:9" x14ac:dyDescent="0.25">
      <c r="A1552" s="220">
        <v>1596</v>
      </c>
      <c r="B1552" s="221" t="s">
        <v>3506</v>
      </c>
      <c r="C1552" s="222" t="s">
        <v>3507</v>
      </c>
      <c r="D1552" s="221" t="s">
        <v>205</v>
      </c>
      <c r="E1552" s="221" t="s">
        <v>3433</v>
      </c>
      <c r="F1552" s="223">
        <v>0</v>
      </c>
      <c r="G1552" s="221" t="s">
        <v>71</v>
      </c>
      <c r="H1552" s="221" t="s">
        <v>71</v>
      </c>
      <c r="I1552" s="224"/>
    </row>
    <row r="1553" ht="17.25" customHeight="1" spans="1:9" x14ac:dyDescent="0.25">
      <c r="A1553" s="220">
        <v>1597</v>
      </c>
      <c r="B1553" s="221" t="s">
        <v>3508</v>
      </c>
      <c r="C1553" s="222" t="s">
        <v>3509</v>
      </c>
      <c r="D1553" s="221" t="s">
        <v>205</v>
      </c>
      <c r="E1553" s="221" t="s">
        <v>3433</v>
      </c>
      <c r="F1553" s="223">
        <v>0</v>
      </c>
      <c r="G1553" s="221" t="s">
        <v>71</v>
      </c>
      <c r="H1553" s="221" t="s">
        <v>71</v>
      </c>
      <c r="I1553" s="224"/>
    </row>
    <row r="1554" ht="17.25" customHeight="1" spans="1:9" x14ac:dyDescent="0.25">
      <c r="A1554" s="220">
        <v>1598</v>
      </c>
      <c r="B1554" s="221" t="s">
        <v>3510</v>
      </c>
      <c r="C1554" s="222" t="s">
        <v>3511</v>
      </c>
      <c r="D1554" s="221" t="s">
        <v>205</v>
      </c>
      <c r="E1554" s="221" t="s">
        <v>3433</v>
      </c>
      <c r="F1554" s="223">
        <v>0</v>
      </c>
      <c r="G1554" s="221" t="s">
        <v>71</v>
      </c>
      <c r="H1554" s="221" t="s">
        <v>71</v>
      </c>
      <c r="I1554" s="224"/>
    </row>
    <row r="1555" ht="17.25" customHeight="1" spans="1:9" x14ac:dyDescent="0.25">
      <c r="A1555" s="220">
        <v>1599</v>
      </c>
      <c r="B1555" s="221" t="s">
        <v>3512</v>
      </c>
      <c r="C1555" s="222" t="s">
        <v>3513</v>
      </c>
      <c r="D1555" s="221" t="s">
        <v>205</v>
      </c>
      <c r="E1555" s="221" t="s">
        <v>3433</v>
      </c>
      <c r="F1555" s="223">
        <v>0</v>
      </c>
      <c r="G1555" s="221" t="s">
        <v>71</v>
      </c>
      <c r="H1555" s="221" t="s">
        <v>71</v>
      </c>
      <c r="I1555" s="224"/>
    </row>
    <row r="1556" ht="17.25" customHeight="1" spans="1:9" x14ac:dyDescent="0.25">
      <c r="A1556" s="220">
        <v>1600</v>
      </c>
      <c r="B1556" s="221" t="s">
        <v>3514</v>
      </c>
      <c r="C1556" s="222" t="s">
        <v>3515</v>
      </c>
      <c r="D1556" s="221" t="s">
        <v>205</v>
      </c>
      <c r="E1556" s="221" t="s">
        <v>3433</v>
      </c>
      <c r="F1556" s="223">
        <v>0</v>
      </c>
      <c r="G1556" s="221" t="s">
        <v>71</v>
      </c>
      <c r="H1556" s="221" t="s">
        <v>71</v>
      </c>
      <c r="I1556" s="224"/>
    </row>
    <row r="1557" ht="17.25" customHeight="1" spans="1:9" x14ac:dyDescent="0.25">
      <c r="A1557" s="220">
        <v>1601</v>
      </c>
      <c r="B1557" s="221" t="s">
        <v>3516</v>
      </c>
      <c r="C1557" s="222" t="s">
        <v>3517</v>
      </c>
      <c r="D1557" s="221" t="s">
        <v>205</v>
      </c>
      <c r="E1557" s="221" t="s">
        <v>3433</v>
      </c>
      <c r="F1557" s="223">
        <v>0</v>
      </c>
      <c r="G1557" s="221" t="s">
        <v>71</v>
      </c>
      <c r="H1557" s="221" t="s">
        <v>71</v>
      </c>
      <c r="I1557" s="224"/>
    </row>
    <row r="1558" ht="17.25" customHeight="1" spans="1:9" x14ac:dyDescent="0.25">
      <c r="A1558" s="220">
        <v>1602</v>
      </c>
      <c r="B1558" s="221" t="s">
        <v>3518</v>
      </c>
      <c r="C1558" s="222" t="s">
        <v>3519</v>
      </c>
      <c r="D1558" s="221" t="s">
        <v>205</v>
      </c>
      <c r="E1558" s="221" t="s">
        <v>3433</v>
      </c>
      <c r="F1558" s="223">
        <v>0</v>
      </c>
      <c r="G1558" s="221" t="s">
        <v>71</v>
      </c>
      <c r="H1558" s="221" t="s">
        <v>71</v>
      </c>
      <c r="I1558" s="224"/>
    </row>
    <row r="1559" ht="17.25" customHeight="1" spans="1:9" x14ac:dyDescent="0.25">
      <c r="A1559" s="220">
        <v>1603</v>
      </c>
      <c r="B1559" s="221" t="s">
        <v>3520</v>
      </c>
      <c r="C1559" s="222" t="s">
        <v>3521</v>
      </c>
      <c r="D1559" s="221" t="s">
        <v>205</v>
      </c>
      <c r="E1559" s="221" t="s">
        <v>3433</v>
      </c>
      <c r="F1559" s="223">
        <v>0</v>
      </c>
      <c r="G1559" s="221" t="s">
        <v>71</v>
      </c>
      <c r="H1559" s="221" t="s">
        <v>71</v>
      </c>
      <c r="I1559" s="224"/>
    </row>
    <row r="1560" ht="17.25" customHeight="1" spans="1:9" x14ac:dyDescent="0.25">
      <c r="A1560" s="220">
        <v>1604</v>
      </c>
      <c r="B1560" s="221" t="s">
        <v>3522</v>
      </c>
      <c r="C1560" s="222" t="s">
        <v>3523</v>
      </c>
      <c r="D1560" s="221" t="s">
        <v>205</v>
      </c>
      <c r="E1560" s="221" t="s">
        <v>3433</v>
      </c>
      <c r="F1560" s="223">
        <v>0</v>
      </c>
      <c r="G1560" s="221" t="s">
        <v>71</v>
      </c>
      <c r="H1560" s="221" t="s">
        <v>71</v>
      </c>
      <c r="I1560" s="224"/>
    </row>
    <row r="1561" ht="17.25" customHeight="1" spans="1:9" x14ac:dyDescent="0.25">
      <c r="A1561" s="220">
        <v>1605</v>
      </c>
      <c r="B1561" s="221" t="s">
        <v>3524</v>
      </c>
      <c r="C1561" s="222" t="s">
        <v>3525</v>
      </c>
      <c r="D1561" s="221" t="s">
        <v>205</v>
      </c>
      <c r="E1561" s="221" t="s">
        <v>3433</v>
      </c>
      <c r="F1561" s="223">
        <v>0</v>
      </c>
      <c r="G1561" s="221" t="s">
        <v>71</v>
      </c>
      <c r="H1561" s="221" t="s">
        <v>71</v>
      </c>
      <c r="I1561" s="224"/>
    </row>
    <row r="1562" ht="17.25" customHeight="1" spans="1:9" x14ac:dyDescent="0.25">
      <c r="A1562" s="220">
        <v>1606</v>
      </c>
      <c r="B1562" s="221" t="s">
        <v>3526</v>
      </c>
      <c r="C1562" s="222" t="s">
        <v>3527</v>
      </c>
      <c r="D1562" s="221" t="s">
        <v>205</v>
      </c>
      <c r="E1562" s="221" t="s">
        <v>3433</v>
      </c>
      <c r="F1562" s="223">
        <v>0</v>
      </c>
      <c r="G1562" s="221" t="s">
        <v>71</v>
      </c>
      <c r="H1562" s="221" t="s">
        <v>71</v>
      </c>
      <c r="I1562" s="224"/>
    </row>
    <row r="1563" ht="17.25" customHeight="1" spans="1:9" x14ac:dyDescent="0.25">
      <c r="A1563" s="220">
        <v>1607</v>
      </c>
      <c r="B1563" s="221" t="s">
        <v>3528</v>
      </c>
      <c r="C1563" s="222" t="s">
        <v>3529</v>
      </c>
      <c r="D1563" s="221" t="s">
        <v>205</v>
      </c>
      <c r="E1563" s="221" t="s">
        <v>3433</v>
      </c>
      <c r="F1563" s="223">
        <v>0</v>
      </c>
      <c r="G1563" s="221" t="s">
        <v>71</v>
      </c>
      <c r="H1563" s="221" t="s">
        <v>71</v>
      </c>
      <c r="I1563" s="224"/>
    </row>
    <row r="1564" ht="17.25" customHeight="1" spans="1:9" x14ac:dyDescent="0.25">
      <c r="A1564" s="220">
        <v>1608</v>
      </c>
      <c r="B1564" s="221" t="s">
        <v>3530</v>
      </c>
      <c r="C1564" s="222" t="s">
        <v>3531</v>
      </c>
      <c r="D1564" s="221" t="s">
        <v>205</v>
      </c>
      <c r="E1564" s="221" t="s">
        <v>3433</v>
      </c>
      <c r="F1564" s="223">
        <v>0</v>
      </c>
      <c r="G1564" s="221" t="s">
        <v>71</v>
      </c>
      <c r="H1564" s="221" t="s">
        <v>71</v>
      </c>
      <c r="I1564" s="224"/>
    </row>
    <row r="1565" ht="17.25" customHeight="1" spans="1:9" x14ac:dyDescent="0.25">
      <c r="A1565" s="220">
        <v>1610</v>
      </c>
      <c r="B1565" s="221" t="s">
        <v>3532</v>
      </c>
      <c r="C1565" s="222" t="s">
        <v>3533</v>
      </c>
      <c r="D1565" s="221" t="s">
        <v>205</v>
      </c>
      <c r="E1565" s="221" t="s">
        <v>3433</v>
      </c>
      <c r="F1565" s="223">
        <v>0</v>
      </c>
      <c r="G1565" s="221" t="s">
        <v>71</v>
      </c>
      <c r="H1565" s="221" t="s">
        <v>71</v>
      </c>
      <c r="I1565" s="224"/>
    </row>
    <row r="1566" ht="17.25" customHeight="1" spans="1:9" x14ac:dyDescent="0.25">
      <c r="A1566" s="220">
        <v>1611</v>
      </c>
      <c r="B1566" s="221" t="s">
        <v>3534</v>
      </c>
      <c r="C1566" s="222" t="s">
        <v>3535</v>
      </c>
      <c r="D1566" s="221" t="s">
        <v>205</v>
      </c>
      <c r="E1566" s="221" t="s">
        <v>3433</v>
      </c>
      <c r="F1566" s="223">
        <v>0</v>
      </c>
      <c r="G1566" s="221" t="s">
        <v>71</v>
      </c>
      <c r="H1566" s="221" t="s">
        <v>71</v>
      </c>
      <c r="I1566" s="224"/>
    </row>
    <row r="1567" ht="17.25" customHeight="1" spans="1:9" x14ac:dyDescent="0.25">
      <c r="A1567" s="220">
        <v>1612</v>
      </c>
      <c r="B1567" s="221" t="s">
        <v>3536</v>
      </c>
      <c r="C1567" s="222" t="s">
        <v>3537</v>
      </c>
      <c r="D1567" s="221" t="s">
        <v>205</v>
      </c>
      <c r="E1567" s="221" t="s">
        <v>3433</v>
      </c>
      <c r="F1567" s="223">
        <v>0</v>
      </c>
      <c r="G1567" s="221" t="s">
        <v>71</v>
      </c>
      <c r="H1567" s="221" t="s">
        <v>71</v>
      </c>
      <c r="I1567" s="224"/>
    </row>
    <row r="1568" ht="17.25" customHeight="1" spans="1:9" x14ac:dyDescent="0.25">
      <c r="A1568" s="220">
        <v>1613</v>
      </c>
      <c r="B1568" s="221" t="s">
        <v>3538</v>
      </c>
      <c r="C1568" s="222" t="s">
        <v>3539</v>
      </c>
      <c r="D1568" s="221" t="s">
        <v>205</v>
      </c>
      <c r="E1568" s="221" t="s">
        <v>3433</v>
      </c>
      <c r="F1568" s="223">
        <v>0</v>
      </c>
      <c r="G1568" s="221" t="s">
        <v>71</v>
      </c>
      <c r="H1568" s="221" t="s">
        <v>71</v>
      </c>
      <c r="I1568" s="224"/>
    </row>
    <row r="1569" ht="17.25" customHeight="1" spans="1:9" x14ac:dyDescent="0.25">
      <c r="A1569" s="220">
        <v>1614</v>
      </c>
      <c r="B1569" s="221" t="s">
        <v>3540</v>
      </c>
      <c r="C1569" s="222" t="s">
        <v>3541</v>
      </c>
      <c r="D1569" s="221" t="s">
        <v>205</v>
      </c>
      <c r="E1569" s="221" t="s">
        <v>3433</v>
      </c>
      <c r="F1569" s="223">
        <v>0</v>
      </c>
      <c r="G1569" s="221" t="s">
        <v>71</v>
      </c>
      <c r="H1569" s="221" t="s">
        <v>71</v>
      </c>
      <c r="I1569" s="224"/>
    </row>
    <row r="1570" ht="17.25" customHeight="1" spans="1:9" x14ac:dyDescent="0.25">
      <c r="A1570" s="220">
        <v>1615</v>
      </c>
      <c r="B1570" s="221" t="s">
        <v>3542</v>
      </c>
      <c r="C1570" s="222" t="s">
        <v>3543</v>
      </c>
      <c r="D1570" s="221" t="s">
        <v>205</v>
      </c>
      <c r="E1570" s="221" t="s">
        <v>3433</v>
      </c>
      <c r="F1570" s="223">
        <v>0</v>
      </c>
      <c r="G1570" s="221" t="s">
        <v>71</v>
      </c>
      <c r="H1570" s="221" t="s">
        <v>71</v>
      </c>
      <c r="I1570" s="224"/>
    </row>
    <row r="1571" ht="17.25" customHeight="1" spans="1:9" x14ac:dyDescent="0.25">
      <c r="A1571" s="220">
        <v>1616</v>
      </c>
      <c r="B1571" s="221" t="s">
        <v>3544</v>
      </c>
      <c r="C1571" s="222" t="s">
        <v>3545</v>
      </c>
      <c r="D1571" s="221" t="s">
        <v>205</v>
      </c>
      <c r="E1571" s="221" t="s">
        <v>3433</v>
      </c>
      <c r="F1571" s="223">
        <v>0</v>
      </c>
      <c r="G1571" s="221" t="s">
        <v>71</v>
      </c>
      <c r="H1571" s="221" t="s">
        <v>71</v>
      </c>
      <c r="I1571" s="224"/>
    </row>
    <row r="1572" ht="17.25" customHeight="1" spans="1:9" x14ac:dyDescent="0.25">
      <c r="A1572" s="220">
        <v>1617</v>
      </c>
      <c r="B1572" s="221" t="s">
        <v>3546</v>
      </c>
      <c r="C1572" s="222" t="s">
        <v>3547</v>
      </c>
      <c r="D1572" s="221" t="s">
        <v>205</v>
      </c>
      <c r="E1572" s="221" t="s">
        <v>3433</v>
      </c>
      <c r="F1572" s="223">
        <v>0</v>
      </c>
      <c r="G1572" s="221" t="s">
        <v>71</v>
      </c>
      <c r="H1572" s="221" t="s">
        <v>71</v>
      </c>
      <c r="I1572" s="224"/>
    </row>
    <row r="1573" ht="17.25" customHeight="1" spans="1:9" x14ac:dyDescent="0.25">
      <c r="A1573" s="220">
        <v>1618</v>
      </c>
      <c r="B1573" s="221" t="s">
        <v>3548</v>
      </c>
      <c r="C1573" s="222" t="s">
        <v>3549</v>
      </c>
      <c r="D1573" s="221" t="s">
        <v>205</v>
      </c>
      <c r="E1573" s="221" t="s">
        <v>3433</v>
      </c>
      <c r="F1573" s="223">
        <v>0</v>
      </c>
      <c r="G1573" s="221" t="s">
        <v>71</v>
      </c>
      <c r="H1573" s="221" t="s">
        <v>71</v>
      </c>
      <c r="I1573" s="224"/>
    </row>
    <row r="1574" ht="17.25" customHeight="1" spans="1:9" x14ac:dyDescent="0.25">
      <c r="A1574" s="220">
        <v>1619</v>
      </c>
      <c r="B1574" s="221" t="s">
        <v>3550</v>
      </c>
      <c r="C1574" s="222" t="s">
        <v>3551</v>
      </c>
      <c r="D1574" s="221" t="s">
        <v>205</v>
      </c>
      <c r="E1574" s="221" t="s">
        <v>3433</v>
      </c>
      <c r="F1574" s="223">
        <v>0</v>
      </c>
      <c r="G1574" s="221" t="s">
        <v>71</v>
      </c>
      <c r="H1574" s="221" t="s">
        <v>71</v>
      </c>
      <c r="I1574" s="224"/>
    </row>
    <row r="1575" ht="17.25" customHeight="1" spans="1:9" x14ac:dyDescent="0.25">
      <c r="A1575" s="220">
        <v>1620</v>
      </c>
      <c r="B1575" s="221" t="s">
        <v>3552</v>
      </c>
      <c r="C1575" s="222" t="s">
        <v>3553</v>
      </c>
      <c r="D1575" s="221" t="s">
        <v>205</v>
      </c>
      <c r="E1575" s="221" t="s">
        <v>3433</v>
      </c>
      <c r="F1575" s="223">
        <v>0</v>
      </c>
      <c r="G1575" s="221" t="s">
        <v>71</v>
      </c>
      <c r="H1575" s="221" t="s">
        <v>71</v>
      </c>
      <c r="I1575" s="224"/>
    </row>
    <row r="1576" ht="17.25" customHeight="1" spans="1:9" x14ac:dyDescent="0.25">
      <c r="A1576" s="220">
        <v>1621</v>
      </c>
      <c r="B1576" s="221" t="s">
        <v>3554</v>
      </c>
      <c r="C1576" s="222" t="s">
        <v>3555</v>
      </c>
      <c r="D1576" s="221" t="s">
        <v>205</v>
      </c>
      <c r="E1576" s="221" t="s">
        <v>3433</v>
      </c>
      <c r="F1576" s="223">
        <v>0</v>
      </c>
      <c r="G1576" s="221" t="s">
        <v>71</v>
      </c>
      <c r="H1576" s="221" t="s">
        <v>71</v>
      </c>
      <c r="I1576" s="224"/>
    </row>
    <row r="1577" ht="17.25" customHeight="1" spans="1:9" x14ac:dyDescent="0.25">
      <c r="A1577" s="220">
        <v>1622</v>
      </c>
      <c r="B1577" s="221" t="s">
        <v>3556</v>
      </c>
      <c r="C1577" s="222" t="s">
        <v>3557</v>
      </c>
      <c r="D1577" s="221" t="s">
        <v>205</v>
      </c>
      <c r="E1577" s="221" t="s">
        <v>3433</v>
      </c>
      <c r="F1577" s="223">
        <v>0</v>
      </c>
      <c r="G1577" s="221" t="s">
        <v>71</v>
      </c>
      <c r="H1577" s="221" t="s">
        <v>71</v>
      </c>
      <c r="I1577" s="224"/>
    </row>
    <row r="1578" ht="17.25" customHeight="1" spans="1:9" x14ac:dyDescent="0.25">
      <c r="A1578" s="220">
        <v>1623</v>
      </c>
      <c r="B1578" s="221" t="s">
        <v>3558</v>
      </c>
      <c r="C1578" s="222" t="s">
        <v>3559</v>
      </c>
      <c r="D1578" s="221" t="s">
        <v>205</v>
      </c>
      <c r="E1578" s="221" t="s">
        <v>3433</v>
      </c>
      <c r="F1578" s="223">
        <v>0</v>
      </c>
      <c r="G1578" s="221" t="s">
        <v>71</v>
      </c>
      <c r="H1578" s="221" t="s">
        <v>71</v>
      </c>
      <c r="I1578" s="224"/>
    </row>
    <row r="1579" ht="17.25" customHeight="1" spans="1:9" x14ac:dyDescent="0.25">
      <c r="A1579" s="220">
        <v>1624</v>
      </c>
      <c r="B1579" s="221" t="s">
        <v>3560</v>
      </c>
      <c r="C1579" s="222" t="s">
        <v>3561</v>
      </c>
      <c r="D1579" s="221" t="s">
        <v>205</v>
      </c>
      <c r="E1579" s="221" t="s">
        <v>3433</v>
      </c>
      <c r="F1579" s="223">
        <v>0</v>
      </c>
      <c r="G1579" s="221" t="s">
        <v>71</v>
      </c>
      <c r="H1579" s="221" t="s">
        <v>71</v>
      </c>
      <c r="I1579" s="224"/>
    </row>
    <row r="1580" ht="17.25" customHeight="1" spans="1:9" x14ac:dyDescent="0.25">
      <c r="A1580" s="220">
        <v>1625</v>
      </c>
      <c r="B1580" s="221" t="s">
        <v>3562</v>
      </c>
      <c r="C1580" s="222" t="s">
        <v>3563</v>
      </c>
      <c r="D1580" s="221" t="s">
        <v>205</v>
      </c>
      <c r="E1580" s="221" t="s">
        <v>3433</v>
      </c>
      <c r="F1580" s="223">
        <v>0</v>
      </c>
      <c r="G1580" s="221" t="s">
        <v>71</v>
      </c>
      <c r="H1580" s="221" t="s">
        <v>71</v>
      </c>
      <c r="I1580" s="224"/>
    </row>
    <row r="1581" ht="17.25" customHeight="1" spans="1:9" x14ac:dyDescent="0.25">
      <c r="A1581" s="220">
        <v>1626</v>
      </c>
      <c r="B1581" s="221" t="s">
        <v>3564</v>
      </c>
      <c r="C1581" s="222" t="s">
        <v>3565</v>
      </c>
      <c r="D1581" s="221" t="s">
        <v>205</v>
      </c>
      <c r="E1581" s="221" t="s">
        <v>3433</v>
      </c>
      <c r="F1581" s="223">
        <v>0</v>
      </c>
      <c r="G1581" s="221" t="s">
        <v>71</v>
      </c>
      <c r="H1581" s="221" t="s">
        <v>71</v>
      </c>
      <c r="I1581" s="224"/>
    </row>
    <row r="1582" ht="17.25" customHeight="1" spans="1:9" x14ac:dyDescent="0.25">
      <c r="A1582" s="220">
        <v>1627</v>
      </c>
      <c r="B1582" s="221" t="s">
        <v>3566</v>
      </c>
      <c r="C1582" s="222" t="s">
        <v>3567</v>
      </c>
      <c r="D1582" s="221" t="s">
        <v>205</v>
      </c>
      <c r="E1582" s="221" t="s">
        <v>3433</v>
      </c>
      <c r="F1582" s="223">
        <v>0</v>
      </c>
      <c r="G1582" s="221" t="s">
        <v>71</v>
      </c>
      <c r="H1582" s="221" t="s">
        <v>71</v>
      </c>
      <c r="I1582" s="224"/>
    </row>
    <row r="1583" ht="17.25" customHeight="1" spans="1:9" x14ac:dyDescent="0.25">
      <c r="A1583" s="220">
        <v>1628</v>
      </c>
      <c r="B1583" s="221" t="s">
        <v>3568</v>
      </c>
      <c r="C1583" s="222" t="s">
        <v>3569</v>
      </c>
      <c r="D1583" s="221" t="s">
        <v>205</v>
      </c>
      <c r="E1583" s="221" t="s">
        <v>3433</v>
      </c>
      <c r="F1583" s="223">
        <v>0</v>
      </c>
      <c r="G1583" s="221" t="s">
        <v>71</v>
      </c>
      <c r="H1583" s="221" t="s">
        <v>71</v>
      </c>
      <c r="I1583" s="224"/>
    </row>
    <row r="1584" ht="17.25" customHeight="1" spans="1:9" x14ac:dyDescent="0.25">
      <c r="A1584" s="220">
        <v>1629</v>
      </c>
      <c r="B1584" s="221" t="s">
        <v>3570</v>
      </c>
      <c r="C1584" s="222" t="s">
        <v>3571</v>
      </c>
      <c r="D1584" s="221" t="s">
        <v>205</v>
      </c>
      <c r="E1584" s="221" t="s">
        <v>3433</v>
      </c>
      <c r="F1584" s="223">
        <v>0</v>
      </c>
      <c r="G1584" s="221" t="s">
        <v>71</v>
      </c>
      <c r="H1584" s="221" t="s">
        <v>71</v>
      </c>
      <c r="I1584" s="224"/>
    </row>
    <row r="1585" ht="17.25" customHeight="1" spans="1:9" x14ac:dyDescent="0.25">
      <c r="A1585" s="220">
        <v>1630</v>
      </c>
      <c r="B1585" s="221" t="s">
        <v>3572</v>
      </c>
      <c r="C1585" s="222" t="s">
        <v>3573</v>
      </c>
      <c r="D1585" s="221" t="s">
        <v>205</v>
      </c>
      <c r="E1585" s="221" t="s">
        <v>3433</v>
      </c>
      <c r="F1585" s="223">
        <v>0</v>
      </c>
      <c r="G1585" s="221" t="s">
        <v>71</v>
      </c>
      <c r="H1585" s="221" t="s">
        <v>71</v>
      </c>
      <c r="I1585" s="224"/>
    </row>
    <row r="1586" ht="17.25" customHeight="1" spans="1:9" x14ac:dyDescent="0.25">
      <c r="A1586" s="220">
        <v>1631</v>
      </c>
      <c r="B1586" s="221" t="s">
        <v>3574</v>
      </c>
      <c r="C1586" s="222" t="s">
        <v>3575</v>
      </c>
      <c r="D1586" s="221" t="s">
        <v>205</v>
      </c>
      <c r="E1586" s="221" t="s">
        <v>3433</v>
      </c>
      <c r="F1586" s="223">
        <v>0</v>
      </c>
      <c r="G1586" s="221" t="s">
        <v>71</v>
      </c>
      <c r="H1586" s="221" t="s">
        <v>71</v>
      </c>
      <c r="I1586" s="224"/>
    </row>
    <row r="1587" ht="17.25" customHeight="1" spans="1:9" x14ac:dyDescent="0.25">
      <c r="A1587" s="220">
        <v>1632</v>
      </c>
      <c r="B1587" s="221" t="s">
        <v>3576</v>
      </c>
      <c r="C1587" s="222" t="s">
        <v>3577</v>
      </c>
      <c r="D1587" s="221" t="s">
        <v>205</v>
      </c>
      <c r="E1587" s="221" t="s">
        <v>3433</v>
      </c>
      <c r="F1587" s="223">
        <v>0</v>
      </c>
      <c r="G1587" s="221" t="s">
        <v>71</v>
      </c>
      <c r="H1587" s="221" t="s">
        <v>71</v>
      </c>
      <c r="I1587" s="224"/>
    </row>
    <row r="1588" ht="17.25" customHeight="1" spans="1:9" x14ac:dyDescent="0.25">
      <c r="A1588" s="220">
        <v>1633</v>
      </c>
      <c r="B1588" s="221" t="s">
        <v>3578</v>
      </c>
      <c r="C1588" s="222" t="s">
        <v>3579</v>
      </c>
      <c r="D1588" s="221" t="s">
        <v>205</v>
      </c>
      <c r="E1588" s="221" t="s">
        <v>3433</v>
      </c>
      <c r="F1588" s="223">
        <v>0</v>
      </c>
      <c r="G1588" s="221" t="s">
        <v>71</v>
      </c>
      <c r="H1588" s="221" t="s">
        <v>71</v>
      </c>
      <c r="I1588" s="224"/>
    </row>
    <row r="1589" ht="17.25" customHeight="1" spans="1:9" x14ac:dyDescent="0.25">
      <c r="A1589" s="220">
        <v>1634</v>
      </c>
      <c r="B1589" s="221" t="s">
        <v>3580</v>
      </c>
      <c r="C1589" s="222" t="s">
        <v>3581</v>
      </c>
      <c r="D1589" s="221" t="s">
        <v>205</v>
      </c>
      <c r="E1589" s="221" t="s">
        <v>3433</v>
      </c>
      <c r="F1589" s="223">
        <v>0</v>
      </c>
      <c r="G1589" s="221" t="s">
        <v>71</v>
      </c>
      <c r="H1589" s="221" t="s">
        <v>71</v>
      </c>
      <c r="I1589" s="224"/>
    </row>
    <row r="1590" ht="17.25" customHeight="1" spans="1:9" x14ac:dyDescent="0.25">
      <c r="A1590" s="220">
        <v>1635</v>
      </c>
      <c r="B1590" s="221" t="s">
        <v>3582</v>
      </c>
      <c r="C1590" s="222" t="s">
        <v>3583</v>
      </c>
      <c r="D1590" s="221" t="s">
        <v>205</v>
      </c>
      <c r="E1590" s="221" t="s">
        <v>3433</v>
      </c>
      <c r="F1590" s="223">
        <v>0</v>
      </c>
      <c r="G1590" s="221" t="s">
        <v>71</v>
      </c>
      <c r="H1590" s="221" t="s">
        <v>71</v>
      </c>
      <c r="I1590" s="224"/>
    </row>
    <row r="1591" ht="17.25" customHeight="1" spans="1:9" x14ac:dyDescent="0.25">
      <c r="A1591" s="220">
        <v>1636</v>
      </c>
      <c r="B1591" s="221" t="s">
        <v>3584</v>
      </c>
      <c r="C1591" s="222" t="s">
        <v>3585</v>
      </c>
      <c r="D1591" s="221" t="s">
        <v>205</v>
      </c>
      <c r="E1591" s="221" t="s">
        <v>3433</v>
      </c>
      <c r="F1591" s="223">
        <v>0</v>
      </c>
      <c r="G1591" s="221" t="s">
        <v>71</v>
      </c>
      <c r="H1591" s="221" t="s">
        <v>71</v>
      </c>
      <c r="I1591" s="224"/>
    </row>
    <row r="1592" ht="17.25" customHeight="1" spans="1:9" x14ac:dyDescent="0.25">
      <c r="A1592" s="220">
        <v>1637</v>
      </c>
      <c r="B1592" s="221" t="s">
        <v>3586</v>
      </c>
      <c r="C1592" s="222" t="s">
        <v>3587</v>
      </c>
      <c r="D1592" s="221" t="s">
        <v>205</v>
      </c>
      <c r="E1592" s="221" t="s">
        <v>3433</v>
      </c>
      <c r="F1592" s="223">
        <v>0</v>
      </c>
      <c r="G1592" s="221" t="s">
        <v>71</v>
      </c>
      <c r="H1592" s="221" t="s">
        <v>71</v>
      </c>
      <c r="I1592" s="224"/>
    </row>
    <row r="1593" ht="17.25" customHeight="1" spans="1:9" x14ac:dyDescent="0.25">
      <c r="A1593" s="220">
        <v>1638</v>
      </c>
      <c r="B1593" s="221" t="s">
        <v>3588</v>
      </c>
      <c r="C1593" s="222" t="s">
        <v>3589</v>
      </c>
      <c r="D1593" s="221" t="s">
        <v>205</v>
      </c>
      <c r="E1593" s="221" t="s">
        <v>3433</v>
      </c>
      <c r="F1593" s="223">
        <v>0</v>
      </c>
      <c r="G1593" s="221" t="s">
        <v>71</v>
      </c>
      <c r="H1593" s="221" t="s">
        <v>71</v>
      </c>
      <c r="I1593" s="224"/>
    </row>
    <row r="1594" ht="17.25" customHeight="1" spans="1:9" x14ac:dyDescent="0.25">
      <c r="A1594" s="220">
        <v>1639</v>
      </c>
      <c r="B1594" s="221" t="s">
        <v>3590</v>
      </c>
      <c r="C1594" s="222" t="s">
        <v>3591</v>
      </c>
      <c r="D1594" s="221" t="s">
        <v>205</v>
      </c>
      <c r="E1594" s="221" t="s">
        <v>3433</v>
      </c>
      <c r="F1594" s="223">
        <v>0</v>
      </c>
      <c r="G1594" s="221" t="s">
        <v>71</v>
      </c>
      <c r="H1594" s="221" t="s">
        <v>71</v>
      </c>
      <c r="I1594" s="224"/>
    </row>
    <row r="1595" ht="17.25" customHeight="1" spans="1:9" x14ac:dyDescent="0.25">
      <c r="A1595" s="220">
        <v>1640</v>
      </c>
      <c r="B1595" s="221" t="s">
        <v>3592</v>
      </c>
      <c r="C1595" s="222" t="s">
        <v>3593</v>
      </c>
      <c r="D1595" s="221" t="s">
        <v>205</v>
      </c>
      <c r="E1595" s="221" t="s">
        <v>3433</v>
      </c>
      <c r="F1595" s="223">
        <v>0</v>
      </c>
      <c r="G1595" s="221" t="s">
        <v>71</v>
      </c>
      <c r="H1595" s="221" t="s">
        <v>71</v>
      </c>
      <c r="I1595" s="224"/>
    </row>
    <row r="1596" ht="17.25" customHeight="1" spans="1:9" x14ac:dyDescent="0.25">
      <c r="A1596" s="220">
        <v>1641</v>
      </c>
      <c r="B1596" s="221" t="s">
        <v>3594</v>
      </c>
      <c r="C1596" s="222" t="s">
        <v>3595</v>
      </c>
      <c r="D1596" s="221" t="s">
        <v>205</v>
      </c>
      <c r="E1596" s="221" t="s">
        <v>3433</v>
      </c>
      <c r="F1596" s="223">
        <v>0</v>
      </c>
      <c r="G1596" s="221" t="s">
        <v>71</v>
      </c>
      <c r="H1596" s="221" t="s">
        <v>71</v>
      </c>
      <c r="I1596" s="224"/>
    </row>
    <row r="1597" ht="17.25" customHeight="1" spans="1:9" x14ac:dyDescent="0.25">
      <c r="A1597" s="220">
        <v>1642</v>
      </c>
      <c r="B1597" s="221" t="s">
        <v>3596</v>
      </c>
      <c r="C1597" s="222" t="s">
        <v>3597</v>
      </c>
      <c r="D1597" s="221" t="s">
        <v>205</v>
      </c>
      <c r="E1597" s="221" t="s">
        <v>3433</v>
      </c>
      <c r="F1597" s="223">
        <v>0</v>
      </c>
      <c r="G1597" s="221" t="s">
        <v>71</v>
      </c>
      <c r="H1597" s="221" t="s">
        <v>71</v>
      </c>
      <c r="I1597" s="224"/>
    </row>
    <row r="1598" ht="17.25" customHeight="1" spans="1:9" x14ac:dyDescent="0.25">
      <c r="A1598" s="220">
        <v>1643</v>
      </c>
      <c r="B1598" s="221" t="s">
        <v>3598</v>
      </c>
      <c r="C1598" s="222" t="s">
        <v>3599</v>
      </c>
      <c r="D1598" s="221" t="s">
        <v>205</v>
      </c>
      <c r="E1598" s="221" t="s">
        <v>3433</v>
      </c>
      <c r="F1598" s="223">
        <v>0</v>
      </c>
      <c r="G1598" s="221" t="s">
        <v>71</v>
      </c>
      <c r="H1598" s="221" t="s">
        <v>71</v>
      </c>
      <c r="I1598" s="224"/>
    </row>
    <row r="1599" ht="17.25" customHeight="1" spans="1:9" x14ac:dyDescent="0.25">
      <c r="A1599" s="220">
        <v>1644</v>
      </c>
      <c r="B1599" s="221" t="s">
        <v>3600</v>
      </c>
      <c r="C1599" s="222" t="s">
        <v>3601</v>
      </c>
      <c r="D1599" s="221" t="s">
        <v>205</v>
      </c>
      <c r="E1599" s="221" t="s">
        <v>3433</v>
      </c>
      <c r="F1599" s="223">
        <v>0</v>
      </c>
      <c r="G1599" s="221" t="s">
        <v>71</v>
      </c>
      <c r="H1599" s="221" t="s">
        <v>71</v>
      </c>
      <c r="I1599" s="224"/>
    </row>
    <row r="1600" ht="17.25" customHeight="1" spans="1:9" x14ac:dyDescent="0.25">
      <c r="A1600" s="220">
        <v>1645</v>
      </c>
      <c r="B1600" s="221" t="s">
        <v>3602</v>
      </c>
      <c r="C1600" s="222" t="s">
        <v>3603</v>
      </c>
      <c r="D1600" s="221" t="s">
        <v>205</v>
      </c>
      <c r="E1600" s="221" t="s">
        <v>3433</v>
      </c>
      <c r="F1600" s="223">
        <v>0</v>
      </c>
      <c r="G1600" s="221" t="s">
        <v>71</v>
      </c>
      <c r="H1600" s="221" t="s">
        <v>71</v>
      </c>
      <c r="I1600" s="224"/>
    </row>
    <row r="1601" ht="17.25" customHeight="1" spans="1:9" x14ac:dyDescent="0.25">
      <c r="A1601" s="220">
        <v>1646</v>
      </c>
      <c r="B1601" s="221" t="s">
        <v>3604</v>
      </c>
      <c r="C1601" s="222" t="s">
        <v>3605</v>
      </c>
      <c r="D1601" s="221" t="s">
        <v>205</v>
      </c>
      <c r="E1601" s="221" t="s">
        <v>3433</v>
      </c>
      <c r="F1601" s="223">
        <v>0</v>
      </c>
      <c r="G1601" s="221" t="s">
        <v>71</v>
      </c>
      <c r="H1601" s="221" t="s">
        <v>71</v>
      </c>
      <c r="I1601" s="222"/>
    </row>
    <row r="1602" ht="17.25" customHeight="1" spans="1:9" x14ac:dyDescent="0.25">
      <c r="A1602" s="220">
        <v>1647</v>
      </c>
      <c r="B1602" s="221" t="s">
        <v>3606</v>
      </c>
      <c r="C1602" s="222" t="s">
        <v>3607</v>
      </c>
      <c r="D1602" s="221" t="s">
        <v>205</v>
      </c>
      <c r="E1602" s="221" t="s">
        <v>3433</v>
      </c>
      <c r="F1602" s="223">
        <v>0</v>
      </c>
      <c r="G1602" s="221" t="s">
        <v>71</v>
      </c>
      <c r="H1602" s="221" t="s">
        <v>71</v>
      </c>
      <c r="I1602" s="224"/>
    </row>
    <row r="1603" ht="17.25" customHeight="1" spans="1:9" x14ac:dyDescent="0.25">
      <c r="A1603" s="220">
        <v>1648</v>
      </c>
      <c r="B1603" s="221" t="s">
        <v>3608</v>
      </c>
      <c r="C1603" s="222" t="s">
        <v>3609</v>
      </c>
      <c r="D1603" s="221" t="s">
        <v>205</v>
      </c>
      <c r="E1603" s="221" t="s">
        <v>3433</v>
      </c>
      <c r="F1603" s="223">
        <v>0</v>
      </c>
      <c r="G1603" s="221" t="s">
        <v>71</v>
      </c>
      <c r="H1603" s="221" t="s">
        <v>71</v>
      </c>
      <c r="I1603" s="224"/>
    </row>
    <row r="1604" ht="17.25" customHeight="1" spans="1:9" x14ac:dyDescent="0.25">
      <c r="A1604" s="220">
        <v>1649</v>
      </c>
      <c r="B1604" s="221" t="s">
        <v>3610</v>
      </c>
      <c r="C1604" s="222" t="s">
        <v>3611</v>
      </c>
      <c r="D1604" s="221" t="s">
        <v>205</v>
      </c>
      <c r="E1604" s="221" t="s">
        <v>3433</v>
      </c>
      <c r="F1604" s="223">
        <v>0</v>
      </c>
      <c r="G1604" s="221" t="s">
        <v>71</v>
      </c>
      <c r="H1604" s="221" t="s">
        <v>71</v>
      </c>
      <c r="I1604" s="224"/>
    </row>
    <row r="1605" ht="17.25" customHeight="1" spans="1:9" x14ac:dyDescent="0.25">
      <c r="A1605" s="220">
        <v>1650</v>
      </c>
      <c r="B1605" s="221" t="s">
        <v>3612</v>
      </c>
      <c r="C1605" s="222" t="s">
        <v>3613</v>
      </c>
      <c r="D1605" s="221" t="s">
        <v>205</v>
      </c>
      <c r="E1605" s="221" t="s">
        <v>3433</v>
      </c>
      <c r="F1605" s="223">
        <v>0</v>
      </c>
      <c r="G1605" s="221" t="s">
        <v>71</v>
      </c>
      <c r="H1605" s="221" t="s">
        <v>71</v>
      </c>
      <c r="I1605" s="224"/>
    </row>
    <row r="1606" ht="17.25" customHeight="1" spans="1:9" x14ac:dyDescent="0.25">
      <c r="A1606" s="220">
        <v>1651</v>
      </c>
      <c r="B1606" s="221" t="s">
        <v>3614</v>
      </c>
      <c r="C1606" s="222" t="s">
        <v>3615</v>
      </c>
      <c r="D1606" s="221" t="s">
        <v>205</v>
      </c>
      <c r="E1606" s="221" t="s">
        <v>3433</v>
      </c>
      <c r="F1606" s="223">
        <v>0</v>
      </c>
      <c r="G1606" s="221" t="s">
        <v>71</v>
      </c>
      <c r="H1606" s="221" t="s">
        <v>71</v>
      </c>
      <c r="I1606" s="224"/>
    </row>
    <row r="1607" ht="17.25" customHeight="1" spans="1:9" x14ac:dyDescent="0.25">
      <c r="A1607" s="220">
        <v>1652</v>
      </c>
      <c r="B1607" s="221" t="s">
        <v>3616</v>
      </c>
      <c r="C1607" s="222" t="s">
        <v>3617</v>
      </c>
      <c r="D1607" s="221" t="s">
        <v>205</v>
      </c>
      <c r="E1607" s="221" t="s">
        <v>3433</v>
      </c>
      <c r="F1607" s="223">
        <v>0</v>
      </c>
      <c r="G1607" s="221" t="s">
        <v>71</v>
      </c>
      <c r="H1607" s="221" t="s">
        <v>71</v>
      </c>
      <c r="I1607" s="224"/>
    </row>
    <row r="1608" ht="17.25" customHeight="1" spans="1:9" x14ac:dyDescent="0.25">
      <c r="A1608" s="220">
        <v>1653</v>
      </c>
      <c r="B1608" s="221" t="s">
        <v>3618</v>
      </c>
      <c r="C1608" s="222" t="s">
        <v>3619</v>
      </c>
      <c r="D1608" s="221" t="s">
        <v>205</v>
      </c>
      <c r="E1608" s="221" t="s">
        <v>3433</v>
      </c>
      <c r="F1608" s="223">
        <v>0</v>
      </c>
      <c r="G1608" s="221" t="s">
        <v>71</v>
      </c>
      <c r="H1608" s="221" t="s">
        <v>71</v>
      </c>
      <c r="I1608" s="224"/>
    </row>
    <row r="1609" ht="17.25" customHeight="1" spans="1:9" x14ac:dyDescent="0.25">
      <c r="A1609" s="220">
        <v>1654</v>
      </c>
      <c r="B1609" s="221" t="s">
        <v>3620</v>
      </c>
      <c r="C1609" s="222" t="s">
        <v>3621</v>
      </c>
      <c r="D1609" s="221" t="s">
        <v>205</v>
      </c>
      <c r="E1609" s="221" t="s">
        <v>3433</v>
      </c>
      <c r="F1609" s="223">
        <v>0</v>
      </c>
      <c r="G1609" s="221" t="s">
        <v>71</v>
      </c>
      <c r="H1609" s="221" t="s">
        <v>71</v>
      </c>
      <c r="I1609" s="224"/>
    </row>
    <row r="1610" ht="17.25" customHeight="1" spans="1:9" x14ac:dyDescent="0.25">
      <c r="A1610" s="220">
        <v>1655</v>
      </c>
      <c r="B1610" s="221" t="s">
        <v>3622</v>
      </c>
      <c r="C1610" s="222" t="s">
        <v>3623</v>
      </c>
      <c r="D1610" s="221" t="s">
        <v>205</v>
      </c>
      <c r="E1610" s="221" t="s">
        <v>3433</v>
      </c>
      <c r="F1610" s="223">
        <v>0</v>
      </c>
      <c r="G1610" s="221" t="s">
        <v>71</v>
      </c>
      <c r="H1610" s="221" t="s">
        <v>71</v>
      </c>
      <c r="I1610" s="224"/>
    </row>
    <row r="1611" ht="17.25" customHeight="1" spans="1:9" x14ac:dyDescent="0.25">
      <c r="A1611" s="220">
        <v>1656</v>
      </c>
      <c r="B1611" s="221" t="s">
        <v>3624</v>
      </c>
      <c r="C1611" s="222" t="s">
        <v>3625</v>
      </c>
      <c r="D1611" s="221" t="s">
        <v>205</v>
      </c>
      <c r="E1611" s="221" t="s">
        <v>3433</v>
      </c>
      <c r="F1611" s="223">
        <v>0</v>
      </c>
      <c r="G1611" s="221" t="s">
        <v>71</v>
      </c>
      <c r="H1611" s="221" t="s">
        <v>71</v>
      </c>
      <c r="I1611" s="224"/>
    </row>
    <row r="1612" ht="17.25" customHeight="1" spans="1:9" x14ac:dyDescent="0.25">
      <c r="A1612" s="220">
        <v>1657</v>
      </c>
      <c r="B1612" s="221" t="s">
        <v>3626</v>
      </c>
      <c r="C1612" s="222" t="s">
        <v>3627</v>
      </c>
      <c r="D1612" s="221" t="s">
        <v>205</v>
      </c>
      <c r="E1612" s="221" t="s">
        <v>3433</v>
      </c>
      <c r="F1612" s="223">
        <v>0</v>
      </c>
      <c r="G1612" s="221" t="s">
        <v>71</v>
      </c>
      <c r="H1612" s="221" t="s">
        <v>71</v>
      </c>
      <c r="I1612" s="224"/>
    </row>
    <row r="1613" ht="17.25" customHeight="1" spans="1:9" x14ac:dyDescent="0.25">
      <c r="A1613" s="220">
        <v>1658</v>
      </c>
      <c r="B1613" s="221" t="s">
        <v>3628</v>
      </c>
      <c r="C1613" s="222" t="s">
        <v>3629</v>
      </c>
      <c r="D1613" s="221" t="s">
        <v>205</v>
      </c>
      <c r="E1613" s="221" t="s">
        <v>3433</v>
      </c>
      <c r="F1613" s="223">
        <v>0</v>
      </c>
      <c r="G1613" s="221" t="s">
        <v>71</v>
      </c>
      <c r="H1613" s="221" t="s">
        <v>71</v>
      </c>
      <c r="I1613" s="224"/>
    </row>
    <row r="1614" ht="17.25" customHeight="1" spans="1:9" x14ac:dyDescent="0.25">
      <c r="A1614" s="220">
        <v>1659</v>
      </c>
      <c r="B1614" s="221" t="s">
        <v>3630</v>
      </c>
      <c r="C1614" s="222" t="s">
        <v>3631</v>
      </c>
      <c r="D1614" s="221" t="s">
        <v>205</v>
      </c>
      <c r="E1614" s="221" t="s">
        <v>3433</v>
      </c>
      <c r="F1614" s="223">
        <v>0</v>
      </c>
      <c r="G1614" s="221" t="s">
        <v>71</v>
      </c>
      <c r="H1614" s="221" t="s">
        <v>71</v>
      </c>
      <c r="I1614" s="224"/>
    </row>
    <row r="1615" ht="17.25" customHeight="1" spans="1:9" x14ac:dyDescent="0.25">
      <c r="A1615" s="220">
        <v>1660</v>
      </c>
      <c r="B1615" s="221" t="s">
        <v>3632</v>
      </c>
      <c r="C1615" s="222" t="s">
        <v>3633</v>
      </c>
      <c r="D1615" s="221" t="s">
        <v>205</v>
      </c>
      <c r="E1615" s="221" t="s">
        <v>3433</v>
      </c>
      <c r="F1615" s="223">
        <v>0</v>
      </c>
      <c r="G1615" s="221" t="s">
        <v>71</v>
      </c>
      <c r="H1615" s="221" t="s">
        <v>71</v>
      </c>
      <c r="I1615" s="224"/>
    </row>
    <row r="1616" ht="17.25" customHeight="1" spans="1:9" x14ac:dyDescent="0.25">
      <c r="A1616" s="220">
        <v>1661</v>
      </c>
      <c r="B1616" s="221" t="s">
        <v>3634</v>
      </c>
      <c r="C1616" s="222" t="s">
        <v>3635</v>
      </c>
      <c r="D1616" s="221" t="s">
        <v>205</v>
      </c>
      <c r="E1616" s="221" t="s">
        <v>3433</v>
      </c>
      <c r="F1616" s="223">
        <v>0</v>
      </c>
      <c r="G1616" s="221" t="s">
        <v>71</v>
      </c>
      <c r="H1616" s="221" t="s">
        <v>71</v>
      </c>
      <c r="I1616" s="224"/>
    </row>
    <row r="1617" ht="17.25" customHeight="1" spans="1:9" x14ac:dyDescent="0.25">
      <c r="A1617" s="220">
        <v>1662</v>
      </c>
      <c r="B1617" s="221" t="s">
        <v>3636</v>
      </c>
      <c r="C1617" s="222" t="s">
        <v>3637</v>
      </c>
      <c r="D1617" s="221" t="s">
        <v>205</v>
      </c>
      <c r="E1617" s="221" t="s">
        <v>3433</v>
      </c>
      <c r="F1617" s="223">
        <v>0</v>
      </c>
      <c r="G1617" s="221" t="s">
        <v>71</v>
      </c>
      <c r="H1617" s="221" t="s">
        <v>71</v>
      </c>
      <c r="I1617" s="224"/>
    </row>
    <row r="1618" ht="17.25" customHeight="1" spans="1:9" x14ac:dyDescent="0.25">
      <c r="A1618" s="220">
        <v>1663</v>
      </c>
      <c r="B1618" s="221" t="s">
        <v>3638</v>
      </c>
      <c r="C1618" s="222" t="s">
        <v>3639</v>
      </c>
      <c r="D1618" s="221" t="s">
        <v>205</v>
      </c>
      <c r="E1618" s="221" t="s">
        <v>3433</v>
      </c>
      <c r="F1618" s="223">
        <v>0</v>
      </c>
      <c r="G1618" s="221" t="s">
        <v>71</v>
      </c>
      <c r="H1618" s="221" t="s">
        <v>71</v>
      </c>
      <c r="I1618" s="224"/>
    </row>
    <row r="1619" ht="17.25" customHeight="1" spans="1:9" x14ac:dyDescent="0.25">
      <c r="A1619" s="220">
        <v>1664</v>
      </c>
      <c r="B1619" s="221" t="s">
        <v>3640</v>
      </c>
      <c r="C1619" s="222" t="s">
        <v>3641</v>
      </c>
      <c r="D1619" s="221" t="s">
        <v>205</v>
      </c>
      <c r="E1619" s="221" t="s">
        <v>3433</v>
      </c>
      <c r="F1619" s="223">
        <v>0</v>
      </c>
      <c r="G1619" s="221" t="s">
        <v>71</v>
      </c>
      <c r="H1619" s="221" t="s">
        <v>71</v>
      </c>
      <c r="I1619" s="224"/>
    </row>
    <row r="1620" ht="17.25" customHeight="1" spans="1:9" x14ac:dyDescent="0.25">
      <c r="A1620" s="220">
        <v>1665</v>
      </c>
      <c r="B1620" s="221" t="s">
        <v>3642</v>
      </c>
      <c r="C1620" s="222" t="s">
        <v>3643</v>
      </c>
      <c r="D1620" s="221" t="s">
        <v>205</v>
      </c>
      <c r="E1620" s="221" t="s">
        <v>3433</v>
      </c>
      <c r="F1620" s="223">
        <v>0</v>
      </c>
      <c r="G1620" s="221" t="s">
        <v>71</v>
      </c>
      <c r="H1620" s="221" t="s">
        <v>71</v>
      </c>
      <c r="I1620" s="224"/>
    </row>
    <row r="1621" ht="17.25" customHeight="1" spans="1:9" x14ac:dyDescent="0.25">
      <c r="A1621" s="220">
        <v>1666</v>
      </c>
      <c r="B1621" s="221" t="s">
        <v>3644</v>
      </c>
      <c r="C1621" s="222" t="s">
        <v>3645</v>
      </c>
      <c r="D1621" s="221" t="s">
        <v>205</v>
      </c>
      <c r="E1621" s="221" t="s">
        <v>3433</v>
      </c>
      <c r="F1621" s="223">
        <v>0</v>
      </c>
      <c r="G1621" s="221" t="s">
        <v>71</v>
      </c>
      <c r="H1621" s="221" t="s">
        <v>71</v>
      </c>
      <c r="I1621" s="224"/>
    </row>
    <row r="1622" ht="17.25" customHeight="1" spans="1:9" x14ac:dyDescent="0.25">
      <c r="A1622" s="220">
        <v>1667</v>
      </c>
      <c r="B1622" s="221" t="s">
        <v>3646</v>
      </c>
      <c r="C1622" s="222" t="s">
        <v>3647</v>
      </c>
      <c r="D1622" s="221" t="s">
        <v>205</v>
      </c>
      <c r="E1622" s="221" t="s">
        <v>3433</v>
      </c>
      <c r="F1622" s="223">
        <v>0</v>
      </c>
      <c r="G1622" s="221" t="s">
        <v>71</v>
      </c>
      <c r="H1622" s="221" t="s">
        <v>71</v>
      </c>
      <c r="I1622" s="224"/>
    </row>
    <row r="1623" ht="17.25" customHeight="1" spans="1:9" x14ac:dyDescent="0.25">
      <c r="A1623" s="220">
        <v>1668</v>
      </c>
      <c r="B1623" s="221" t="s">
        <v>3648</v>
      </c>
      <c r="C1623" s="222" t="s">
        <v>3649</v>
      </c>
      <c r="D1623" s="221" t="s">
        <v>205</v>
      </c>
      <c r="E1623" s="221" t="s">
        <v>3433</v>
      </c>
      <c r="F1623" s="223">
        <v>0</v>
      </c>
      <c r="G1623" s="221" t="s">
        <v>71</v>
      </c>
      <c r="H1623" s="221" t="s">
        <v>71</v>
      </c>
      <c r="I1623" s="224"/>
    </row>
    <row r="1624" ht="17.25" customHeight="1" spans="1:9" x14ac:dyDescent="0.25">
      <c r="A1624" s="220">
        <v>1669</v>
      </c>
      <c r="B1624" s="221" t="s">
        <v>3650</v>
      </c>
      <c r="C1624" s="222" t="s">
        <v>3651</v>
      </c>
      <c r="D1624" s="221" t="s">
        <v>205</v>
      </c>
      <c r="E1624" s="221" t="s">
        <v>3433</v>
      </c>
      <c r="F1624" s="223">
        <v>0</v>
      </c>
      <c r="G1624" s="221" t="s">
        <v>71</v>
      </c>
      <c r="H1624" s="221" t="s">
        <v>71</v>
      </c>
      <c r="I1624" s="224"/>
    </row>
    <row r="1625" ht="17.25" customHeight="1" spans="1:9" x14ac:dyDescent="0.25">
      <c r="A1625" s="220">
        <v>1670</v>
      </c>
      <c r="B1625" s="221" t="s">
        <v>3652</v>
      </c>
      <c r="C1625" s="222" t="s">
        <v>3653</v>
      </c>
      <c r="D1625" s="221" t="s">
        <v>205</v>
      </c>
      <c r="E1625" s="221" t="s">
        <v>3433</v>
      </c>
      <c r="F1625" s="223">
        <v>0</v>
      </c>
      <c r="G1625" s="221" t="s">
        <v>71</v>
      </c>
      <c r="H1625" s="221" t="s">
        <v>71</v>
      </c>
      <c r="I1625" s="224"/>
    </row>
    <row r="1626" ht="17.25" customHeight="1" spans="1:9" x14ac:dyDescent="0.25">
      <c r="A1626" s="220">
        <v>1671</v>
      </c>
      <c r="B1626" s="221" t="s">
        <v>3654</v>
      </c>
      <c r="C1626" s="222" t="s">
        <v>3655</v>
      </c>
      <c r="D1626" s="221" t="s">
        <v>205</v>
      </c>
      <c r="E1626" s="221" t="s">
        <v>3433</v>
      </c>
      <c r="F1626" s="223">
        <v>0</v>
      </c>
      <c r="G1626" s="221" t="s">
        <v>71</v>
      </c>
      <c r="H1626" s="221" t="s">
        <v>71</v>
      </c>
      <c r="I1626" s="224"/>
    </row>
    <row r="1627" ht="17.25" customHeight="1" spans="1:9" x14ac:dyDescent="0.25">
      <c r="A1627" s="220">
        <v>1673</v>
      </c>
      <c r="B1627" s="221" t="s">
        <v>3656</v>
      </c>
      <c r="C1627" s="222" t="s">
        <v>3657</v>
      </c>
      <c r="D1627" s="221" t="s">
        <v>205</v>
      </c>
      <c r="E1627" s="221" t="s">
        <v>3433</v>
      </c>
      <c r="F1627" s="223">
        <v>0</v>
      </c>
      <c r="G1627" s="221" t="s">
        <v>71</v>
      </c>
      <c r="H1627" s="221" t="s">
        <v>71</v>
      </c>
      <c r="I1627" s="224"/>
    </row>
    <row r="1628" ht="17.25" customHeight="1" spans="1:9" x14ac:dyDescent="0.25">
      <c r="A1628" s="220">
        <v>1674</v>
      </c>
      <c r="B1628" s="221" t="s">
        <v>3658</v>
      </c>
      <c r="C1628" s="222" t="s">
        <v>3659</v>
      </c>
      <c r="D1628" s="221" t="s">
        <v>205</v>
      </c>
      <c r="E1628" s="221" t="s">
        <v>3433</v>
      </c>
      <c r="F1628" s="223">
        <v>0</v>
      </c>
      <c r="G1628" s="221" t="s">
        <v>71</v>
      </c>
      <c r="H1628" s="221" t="s">
        <v>71</v>
      </c>
      <c r="I1628" s="224"/>
    </row>
    <row r="1629" ht="17.25" customHeight="1" spans="1:9" x14ac:dyDescent="0.25">
      <c r="A1629" s="220">
        <v>1675</v>
      </c>
      <c r="B1629" s="221" t="s">
        <v>3660</v>
      </c>
      <c r="C1629" s="222" t="s">
        <v>3661</v>
      </c>
      <c r="D1629" s="221" t="s">
        <v>205</v>
      </c>
      <c r="E1629" s="221" t="s">
        <v>3433</v>
      </c>
      <c r="F1629" s="223">
        <v>0</v>
      </c>
      <c r="G1629" s="221" t="s">
        <v>71</v>
      </c>
      <c r="H1629" s="221" t="s">
        <v>71</v>
      </c>
      <c r="I1629" s="224"/>
    </row>
    <row r="1630" ht="17.25" customHeight="1" spans="1:9" x14ac:dyDescent="0.25">
      <c r="A1630" s="220">
        <v>1676</v>
      </c>
      <c r="B1630" s="221" t="s">
        <v>3662</v>
      </c>
      <c r="C1630" s="222" t="s">
        <v>3663</v>
      </c>
      <c r="D1630" s="221" t="s">
        <v>205</v>
      </c>
      <c r="E1630" s="221" t="s">
        <v>3433</v>
      </c>
      <c r="F1630" s="223">
        <v>0</v>
      </c>
      <c r="G1630" s="221" t="s">
        <v>71</v>
      </c>
      <c r="H1630" s="221" t="s">
        <v>71</v>
      </c>
      <c r="I1630" s="224"/>
    </row>
    <row r="1631" ht="17.25" customHeight="1" spans="1:9" x14ac:dyDescent="0.25">
      <c r="A1631" s="220">
        <v>1677</v>
      </c>
      <c r="B1631" s="221" t="s">
        <v>3664</v>
      </c>
      <c r="C1631" s="222" t="s">
        <v>3665</v>
      </c>
      <c r="D1631" s="221" t="s">
        <v>205</v>
      </c>
      <c r="E1631" s="221" t="s">
        <v>3433</v>
      </c>
      <c r="F1631" s="223">
        <v>0</v>
      </c>
      <c r="G1631" s="221" t="s">
        <v>71</v>
      </c>
      <c r="H1631" s="221" t="s">
        <v>71</v>
      </c>
      <c r="I1631" s="224"/>
    </row>
    <row r="1632" ht="17.25" customHeight="1" spans="1:9" x14ac:dyDescent="0.25">
      <c r="A1632" s="220">
        <v>1678</v>
      </c>
      <c r="B1632" s="221" t="s">
        <v>3666</v>
      </c>
      <c r="C1632" s="222" t="s">
        <v>3667</v>
      </c>
      <c r="D1632" s="221" t="s">
        <v>205</v>
      </c>
      <c r="E1632" s="221" t="s">
        <v>3433</v>
      </c>
      <c r="F1632" s="223">
        <v>0</v>
      </c>
      <c r="G1632" s="221" t="s">
        <v>71</v>
      </c>
      <c r="H1632" s="221" t="s">
        <v>71</v>
      </c>
      <c r="I1632" s="224"/>
    </row>
    <row r="1633" ht="17.25" customHeight="1" spans="1:9" x14ac:dyDescent="0.25">
      <c r="A1633" s="220">
        <v>1680</v>
      </c>
      <c r="B1633" s="221" t="s">
        <v>3668</v>
      </c>
      <c r="C1633" s="222" t="s">
        <v>3669</v>
      </c>
      <c r="D1633" s="221" t="s">
        <v>205</v>
      </c>
      <c r="E1633" s="221" t="s">
        <v>3433</v>
      </c>
      <c r="F1633" s="223">
        <v>0</v>
      </c>
      <c r="G1633" s="221" t="s">
        <v>71</v>
      </c>
      <c r="H1633" s="221" t="s">
        <v>71</v>
      </c>
      <c r="I1633" s="224"/>
    </row>
    <row r="1634" ht="17.25" customHeight="1" spans="1:9" x14ac:dyDescent="0.25">
      <c r="A1634" s="220">
        <v>1681</v>
      </c>
      <c r="B1634" s="221" t="s">
        <v>3670</v>
      </c>
      <c r="C1634" s="222" t="s">
        <v>3671</v>
      </c>
      <c r="D1634" s="221" t="s">
        <v>205</v>
      </c>
      <c r="E1634" s="221" t="s">
        <v>3433</v>
      </c>
      <c r="F1634" s="223">
        <v>0</v>
      </c>
      <c r="G1634" s="221" t="s">
        <v>71</v>
      </c>
      <c r="H1634" s="221" t="s">
        <v>71</v>
      </c>
      <c r="I1634" s="224"/>
    </row>
    <row r="1635" ht="17.25" customHeight="1" spans="1:9" x14ac:dyDescent="0.25">
      <c r="A1635" s="220">
        <v>1682</v>
      </c>
      <c r="B1635" s="221" t="s">
        <v>3672</v>
      </c>
      <c r="C1635" s="222" t="s">
        <v>3673</v>
      </c>
      <c r="D1635" s="221" t="s">
        <v>205</v>
      </c>
      <c r="E1635" s="221" t="s">
        <v>3433</v>
      </c>
      <c r="F1635" s="223">
        <v>0</v>
      </c>
      <c r="G1635" s="221" t="s">
        <v>71</v>
      </c>
      <c r="H1635" s="221" t="s">
        <v>71</v>
      </c>
      <c r="I1635" s="224"/>
    </row>
    <row r="1636" ht="17.25" customHeight="1" spans="1:9" x14ac:dyDescent="0.25">
      <c r="A1636" s="220">
        <v>1683</v>
      </c>
      <c r="B1636" s="221" t="s">
        <v>3674</v>
      </c>
      <c r="C1636" s="222" t="s">
        <v>3675</v>
      </c>
      <c r="D1636" s="221" t="s">
        <v>205</v>
      </c>
      <c r="E1636" s="221" t="s">
        <v>3433</v>
      </c>
      <c r="F1636" s="223">
        <v>0</v>
      </c>
      <c r="G1636" s="221" t="s">
        <v>71</v>
      </c>
      <c r="H1636" s="221" t="s">
        <v>71</v>
      </c>
      <c r="I1636" s="224"/>
    </row>
    <row r="1637" ht="17.25" customHeight="1" spans="1:9" x14ac:dyDescent="0.25">
      <c r="A1637" s="220">
        <v>1684</v>
      </c>
      <c r="B1637" s="221" t="s">
        <v>3676</v>
      </c>
      <c r="C1637" s="222" t="s">
        <v>3677</v>
      </c>
      <c r="D1637" s="221" t="s">
        <v>205</v>
      </c>
      <c r="E1637" s="221" t="s">
        <v>3433</v>
      </c>
      <c r="F1637" s="223">
        <v>0</v>
      </c>
      <c r="G1637" s="221" t="s">
        <v>71</v>
      </c>
      <c r="H1637" s="221" t="s">
        <v>71</v>
      </c>
      <c r="I1637" s="224"/>
    </row>
    <row r="1638" ht="17.25" customHeight="1" spans="1:9" x14ac:dyDescent="0.25">
      <c r="A1638" s="220">
        <v>1685</v>
      </c>
      <c r="B1638" s="221" t="s">
        <v>3678</v>
      </c>
      <c r="C1638" s="222" t="s">
        <v>3679</v>
      </c>
      <c r="D1638" s="221" t="s">
        <v>205</v>
      </c>
      <c r="E1638" s="221" t="s">
        <v>3433</v>
      </c>
      <c r="F1638" s="223">
        <v>0</v>
      </c>
      <c r="G1638" s="221" t="s">
        <v>71</v>
      </c>
      <c r="H1638" s="221" t="s">
        <v>71</v>
      </c>
      <c r="I1638" s="224"/>
    </row>
    <row r="1639" ht="17.25" customHeight="1" spans="1:9" x14ac:dyDescent="0.25">
      <c r="A1639" s="220">
        <v>1686</v>
      </c>
      <c r="B1639" s="221" t="s">
        <v>3680</v>
      </c>
      <c r="C1639" s="222" t="s">
        <v>3681</v>
      </c>
      <c r="D1639" s="221" t="s">
        <v>205</v>
      </c>
      <c r="E1639" s="221" t="s">
        <v>3433</v>
      </c>
      <c r="F1639" s="223">
        <v>0</v>
      </c>
      <c r="G1639" s="221" t="s">
        <v>71</v>
      </c>
      <c r="H1639" s="221" t="s">
        <v>71</v>
      </c>
      <c r="I1639" s="224"/>
    </row>
    <row r="1640" ht="17.25" customHeight="1" spans="1:9" x14ac:dyDescent="0.25">
      <c r="A1640" s="220">
        <v>1687</v>
      </c>
      <c r="B1640" s="221" t="s">
        <v>3682</v>
      </c>
      <c r="C1640" s="222" t="s">
        <v>3683</v>
      </c>
      <c r="D1640" s="221" t="s">
        <v>205</v>
      </c>
      <c r="E1640" s="221" t="s">
        <v>3433</v>
      </c>
      <c r="F1640" s="223">
        <v>0</v>
      </c>
      <c r="G1640" s="221" t="s">
        <v>71</v>
      </c>
      <c r="H1640" s="221" t="s">
        <v>71</v>
      </c>
      <c r="I1640" s="224"/>
    </row>
    <row r="1641" ht="17.25" customHeight="1" spans="1:9" x14ac:dyDescent="0.25">
      <c r="A1641" s="220">
        <v>1688</v>
      </c>
      <c r="B1641" s="221" t="s">
        <v>3684</v>
      </c>
      <c r="C1641" s="222" t="s">
        <v>3685</v>
      </c>
      <c r="D1641" s="221" t="s">
        <v>205</v>
      </c>
      <c r="E1641" s="221" t="s">
        <v>3433</v>
      </c>
      <c r="F1641" s="223">
        <v>0</v>
      </c>
      <c r="G1641" s="221" t="s">
        <v>71</v>
      </c>
      <c r="H1641" s="221" t="s">
        <v>71</v>
      </c>
      <c r="I1641" s="224"/>
    </row>
    <row r="1642" ht="17.25" customHeight="1" spans="1:9" x14ac:dyDescent="0.25">
      <c r="A1642" s="220">
        <v>1689</v>
      </c>
      <c r="B1642" s="221" t="s">
        <v>3686</v>
      </c>
      <c r="C1642" s="222" t="s">
        <v>3687</v>
      </c>
      <c r="D1642" s="221" t="s">
        <v>205</v>
      </c>
      <c r="E1642" s="221" t="s">
        <v>3433</v>
      </c>
      <c r="F1642" s="223">
        <v>0</v>
      </c>
      <c r="G1642" s="221" t="s">
        <v>71</v>
      </c>
      <c r="H1642" s="221" t="s">
        <v>71</v>
      </c>
      <c r="I1642" s="224"/>
    </row>
    <row r="1643" ht="17.25" customHeight="1" spans="1:9" x14ac:dyDescent="0.25">
      <c r="A1643" s="220">
        <v>1690</v>
      </c>
      <c r="B1643" s="221" t="s">
        <v>3688</v>
      </c>
      <c r="C1643" s="222" t="s">
        <v>3689</v>
      </c>
      <c r="D1643" s="221" t="s">
        <v>205</v>
      </c>
      <c r="E1643" s="221" t="s">
        <v>3433</v>
      </c>
      <c r="F1643" s="223">
        <v>0</v>
      </c>
      <c r="G1643" s="221" t="s">
        <v>71</v>
      </c>
      <c r="H1643" s="221" t="s">
        <v>71</v>
      </c>
      <c r="I1643" s="224"/>
    </row>
    <row r="1644" ht="17.25" customHeight="1" spans="1:9" x14ac:dyDescent="0.25">
      <c r="A1644" s="220">
        <v>1691</v>
      </c>
      <c r="B1644" s="221" t="s">
        <v>3690</v>
      </c>
      <c r="C1644" s="222" t="s">
        <v>3691</v>
      </c>
      <c r="D1644" s="221" t="s">
        <v>205</v>
      </c>
      <c r="E1644" s="221" t="s">
        <v>3433</v>
      </c>
      <c r="F1644" s="223">
        <v>0</v>
      </c>
      <c r="G1644" s="221" t="s">
        <v>71</v>
      </c>
      <c r="H1644" s="221" t="s">
        <v>71</v>
      </c>
      <c r="I1644" s="224"/>
    </row>
    <row r="1645" ht="17.25" customHeight="1" spans="1:9" x14ac:dyDescent="0.25">
      <c r="A1645" s="220">
        <v>1692</v>
      </c>
      <c r="B1645" s="221" t="s">
        <v>3692</v>
      </c>
      <c r="C1645" s="222" t="s">
        <v>3693</v>
      </c>
      <c r="D1645" s="221" t="s">
        <v>205</v>
      </c>
      <c r="E1645" s="221" t="s">
        <v>3433</v>
      </c>
      <c r="F1645" s="223">
        <v>0</v>
      </c>
      <c r="G1645" s="221" t="s">
        <v>71</v>
      </c>
      <c r="H1645" s="221" t="s">
        <v>71</v>
      </c>
      <c r="I1645" s="224"/>
    </row>
    <row r="1646" ht="17.25" customHeight="1" spans="1:9" x14ac:dyDescent="0.25">
      <c r="A1646" s="220">
        <v>1693</v>
      </c>
      <c r="B1646" s="221" t="s">
        <v>3694</v>
      </c>
      <c r="C1646" s="222" t="s">
        <v>3695</v>
      </c>
      <c r="D1646" s="221" t="s">
        <v>205</v>
      </c>
      <c r="E1646" s="221" t="s">
        <v>3433</v>
      </c>
      <c r="F1646" s="223">
        <v>0</v>
      </c>
      <c r="G1646" s="221" t="s">
        <v>71</v>
      </c>
      <c r="H1646" s="221" t="s">
        <v>71</v>
      </c>
      <c r="I1646" s="224"/>
    </row>
    <row r="1647" ht="17.25" customHeight="1" spans="1:9" x14ac:dyDescent="0.25">
      <c r="A1647" s="220">
        <v>1694</v>
      </c>
      <c r="B1647" s="221" t="s">
        <v>3696</v>
      </c>
      <c r="C1647" s="222" t="s">
        <v>3697</v>
      </c>
      <c r="D1647" s="221" t="s">
        <v>205</v>
      </c>
      <c r="E1647" s="221" t="s">
        <v>3433</v>
      </c>
      <c r="F1647" s="223">
        <v>0</v>
      </c>
      <c r="G1647" s="221" t="s">
        <v>71</v>
      </c>
      <c r="H1647" s="221" t="s">
        <v>71</v>
      </c>
      <c r="I1647" s="224"/>
    </row>
    <row r="1648" ht="17.25" customHeight="1" spans="1:9" x14ac:dyDescent="0.25">
      <c r="A1648" s="220">
        <v>1695</v>
      </c>
      <c r="B1648" s="221" t="s">
        <v>3698</v>
      </c>
      <c r="C1648" s="222" t="s">
        <v>3699</v>
      </c>
      <c r="D1648" s="221" t="s">
        <v>205</v>
      </c>
      <c r="E1648" s="221" t="s">
        <v>3433</v>
      </c>
      <c r="F1648" s="223">
        <v>0</v>
      </c>
      <c r="G1648" s="221" t="s">
        <v>71</v>
      </c>
      <c r="H1648" s="221" t="s">
        <v>71</v>
      </c>
      <c r="I1648" s="224"/>
    </row>
    <row r="1649" ht="17.25" customHeight="1" spans="1:9" x14ac:dyDescent="0.25">
      <c r="A1649" s="220">
        <v>1696</v>
      </c>
      <c r="B1649" s="221" t="s">
        <v>3700</v>
      </c>
      <c r="C1649" s="222" t="s">
        <v>3701</v>
      </c>
      <c r="D1649" s="221" t="s">
        <v>205</v>
      </c>
      <c r="E1649" s="221" t="s">
        <v>3433</v>
      </c>
      <c r="F1649" s="223">
        <v>0</v>
      </c>
      <c r="G1649" s="221" t="s">
        <v>71</v>
      </c>
      <c r="H1649" s="221" t="s">
        <v>71</v>
      </c>
      <c r="I1649" s="224"/>
    </row>
    <row r="1650" ht="17.25" customHeight="1" spans="1:9" x14ac:dyDescent="0.25">
      <c r="A1650" s="220">
        <v>1697</v>
      </c>
      <c r="B1650" s="221" t="s">
        <v>3702</v>
      </c>
      <c r="C1650" s="222" t="s">
        <v>3703</v>
      </c>
      <c r="D1650" s="221" t="s">
        <v>205</v>
      </c>
      <c r="E1650" s="221" t="s">
        <v>3433</v>
      </c>
      <c r="F1650" s="223">
        <v>0</v>
      </c>
      <c r="G1650" s="221" t="s">
        <v>71</v>
      </c>
      <c r="H1650" s="221" t="s">
        <v>71</v>
      </c>
      <c r="I1650" s="224"/>
    </row>
    <row r="1651" ht="17.25" customHeight="1" spans="1:9" x14ac:dyDescent="0.25">
      <c r="A1651" s="220">
        <v>1698</v>
      </c>
      <c r="B1651" s="221" t="s">
        <v>3704</v>
      </c>
      <c r="C1651" s="222" t="s">
        <v>3705</v>
      </c>
      <c r="D1651" s="221" t="s">
        <v>205</v>
      </c>
      <c r="E1651" s="221" t="s">
        <v>3433</v>
      </c>
      <c r="F1651" s="223">
        <v>0</v>
      </c>
      <c r="G1651" s="221" t="s">
        <v>71</v>
      </c>
      <c r="H1651" s="221" t="s">
        <v>71</v>
      </c>
      <c r="I1651" s="224"/>
    </row>
    <row r="1652" ht="17.25" customHeight="1" spans="1:9" x14ac:dyDescent="0.25">
      <c r="A1652" s="220">
        <v>1699</v>
      </c>
      <c r="B1652" s="221" t="s">
        <v>3706</v>
      </c>
      <c r="C1652" s="222" t="s">
        <v>3707</v>
      </c>
      <c r="D1652" s="221" t="s">
        <v>205</v>
      </c>
      <c r="E1652" s="221" t="s">
        <v>3433</v>
      </c>
      <c r="F1652" s="223">
        <v>0</v>
      </c>
      <c r="G1652" s="221" t="s">
        <v>71</v>
      </c>
      <c r="H1652" s="221" t="s">
        <v>71</v>
      </c>
      <c r="I1652" s="224"/>
    </row>
    <row r="1653" ht="17.25" customHeight="1" spans="1:9" x14ac:dyDescent="0.25">
      <c r="A1653" s="220">
        <v>1700</v>
      </c>
      <c r="B1653" s="221" t="s">
        <v>3708</v>
      </c>
      <c r="C1653" s="222" t="s">
        <v>3709</v>
      </c>
      <c r="D1653" s="221" t="s">
        <v>205</v>
      </c>
      <c r="E1653" s="221" t="s">
        <v>3433</v>
      </c>
      <c r="F1653" s="223">
        <v>0</v>
      </c>
      <c r="G1653" s="221" t="s">
        <v>71</v>
      </c>
      <c r="H1653" s="221" t="s">
        <v>71</v>
      </c>
      <c r="I1653" s="224"/>
    </row>
    <row r="1654" ht="17.25" customHeight="1" spans="1:9" x14ac:dyDescent="0.25">
      <c r="A1654" s="220">
        <v>1701</v>
      </c>
      <c r="B1654" s="221" t="s">
        <v>3710</v>
      </c>
      <c r="C1654" s="222" t="s">
        <v>3711</v>
      </c>
      <c r="D1654" s="221" t="s">
        <v>205</v>
      </c>
      <c r="E1654" s="221" t="s">
        <v>3433</v>
      </c>
      <c r="F1654" s="223">
        <v>0</v>
      </c>
      <c r="G1654" s="221" t="s">
        <v>71</v>
      </c>
      <c r="H1654" s="221" t="s">
        <v>71</v>
      </c>
      <c r="I1654" s="224"/>
    </row>
    <row r="1655" ht="17.25" customHeight="1" spans="1:9" x14ac:dyDescent="0.25">
      <c r="A1655" s="220">
        <v>1702</v>
      </c>
      <c r="B1655" s="221" t="s">
        <v>3712</v>
      </c>
      <c r="C1655" s="222" t="s">
        <v>3713</v>
      </c>
      <c r="D1655" s="221" t="s">
        <v>205</v>
      </c>
      <c r="E1655" s="221" t="s">
        <v>3433</v>
      </c>
      <c r="F1655" s="223">
        <v>0</v>
      </c>
      <c r="G1655" s="221" t="s">
        <v>71</v>
      </c>
      <c r="H1655" s="221" t="s">
        <v>71</v>
      </c>
      <c r="I1655" s="224"/>
    </row>
    <row r="1656" ht="17.25" customHeight="1" spans="1:9" x14ac:dyDescent="0.25">
      <c r="A1656" s="220">
        <v>1703</v>
      </c>
      <c r="B1656" s="221" t="s">
        <v>3714</v>
      </c>
      <c r="C1656" s="222" t="s">
        <v>3715</v>
      </c>
      <c r="D1656" s="221" t="s">
        <v>205</v>
      </c>
      <c r="E1656" s="221" t="s">
        <v>3433</v>
      </c>
      <c r="F1656" s="223">
        <v>0</v>
      </c>
      <c r="G1656" s="221" t="s">
        <v>71</v>
      </c>
      <c r="H1656" s="221" t="s">
        <v>71</v>
      </c>
      <c r="I1656" s="224"/>
    </row>
    <row r="1657" ht="17.25" customHeight="1" spans="1:9" x14ac:dyDescent="0.25">
      <c r="A1657" s="220">
        <v>1704</v>
      </c>
      <c r="B1657" s="221" t="s">
        <v>3716</v>
      </c>
      <c r="C1657" s="222" t="s">
        <v>3717</v>
      </c>
      <c r="D1657" s="221" t="s">
        <v>205</v>
      </c>
      <c r="E1657" s="221" t="s">
        <v>27</v>
      </c>
      <c r="F1657" s="223">
        <v>0</v>
      </c>
      <c r="G1657" s="221" t="s">
        <v>71</v>
      </c>
      <c r="H1657" s="221" t="s">
        <v>71</v>
      </c>
      <c r="I1657" s="224"/>
    </row>
    <row r="1658" ht="17.25" customHeight="1" spans="1:9" x14ac:dyDescent="0.25">
      <c r="A1658" s="220">
        <v>1705</v>
      </c>
      <c r="B1658" s="221" t="s">
        <v>3718</v>
      </c>
      <c r="C1658" s="222" t="s">
        <v>3719</v>
      </c>
      <c r="D1658" s="221" t="s">
        <v>205</v>
      </c>
      <c r="E1658" s="221" t="s">
        <v>27</v>
      </c>
      <c r="F1658" s="223">
        <v>0</v>
      </c>
      <c r="G1658" s="221" t="s">
        <v>71</v>
      </c>
      <c r="H1658" s="221" t="s">
        <v>71</v>
      </c>
      <c r="I1658" s="224"/>
    </row>
    <row r="1659" ht="17.25" customHeight="1" spans="1:9" x14ac:dyDescent="0.25">
      <c r="A1659" s="220">
        <v>1706</v>
      </c>
      <c r="B1659" s="221" t="s">
        <v>3720</v>
      </c>
      <c r="C1659" s="222" t="s">
        <v>3721</v>
      </c>
      <c r="D1659" s="221" t="s">
        <v>205</v>
      </c>
      <c r="E1659" s="221" t="s">
        <v>27</v>
      </c>
      <c r="F1659" s="223">
        <v>0</v>
      </c>
      <c r="G1659" s="221" t="s">
        <v>48</v>
      </c>
      <c r="H1659" s="221" t="s">
        <v>48</v>
      </c>
      <c r="I1659" s="222"/>
    </row>
    <row r="1660" ht="17.25" customHeight="1" spans="1:9" x14ac:dyDescent="0.25">
      <c r="A1660" s="220">
        <v>1707</v>
      </c>
      <c r="B1660" s="221" t="s">
        <v>3722</v>
      </c>
      <c r="C1660" s="222" t="s">
        <v>3723</v>
      </c>
      <c r="D1660" s="221" t="s">
        <v>205</v>
      </c>
      <c r="E1660" s="221" t="s">
        <v>27</v>
      </c>
      <c r="F1660" s="223">
        <v>0</v>
      </c>
      <c r="G1660" s="221" t="s">
        <v>71</v>
      </c>
      <c r="H1660" s="221" t="s">
        <v>71</v>
      </c>
      <c r="I1660" s="224"/>
    </row>
    <row r="1661" ht="17.25" customHeight="1" spans="1:9" x14ac:dyDescent="0.25">
      <c r="A1661" s="220">
        <v>1708</v>
      </c>
      <c r="B1661" s="221" t="s">
        <v>3724</v>
      </c>
      <c r="C1661" s="222" t="s">
        <v>3725</v>
      </c>
      <c r="D1661" s="221" t="s">
        <v>205</v>
      </c>
      <c r="E1661" s="221" t="s">
        <v>27</v>
      </c>
      <c r="F1661" s="223">
        <v>0</v>
      </c>
      <c r="G1661" s="221" t="s">
        <v>71</v>
      </c>
      <c r="H1661" s="221" t="s">
        <v>71</v>
      </c>
      <c r="I1661" s="224"/>
    </row>
    <row r="1662" ht="17.25" customHeight="1" spans="1:9" x14ac:dyDescent="0.25">
      <c r="A1662" s="220">
        <v>1709</v>
      </c>
      <c r="B1662" s="221" t="s">
        <v>3726</v>
      </c>
      <c r="C1662" s="222" t="s">
        <v>3727</v>
      </c>
      <c r="D1662" s="221" t="s">
        <v>205</v>
      </c>
      <c r="E1662" s="221" t="s">
        <v>27</v>
      </c>
      <c r="F1662" s="223">
        <v>0</v>
      </c>
      <c r="G1662" s="221" t="s">
        <v>71</v>
      </c>
      <c r="H1662" s="221" t="s">
        <v>71</v>
      </c>
      <c r="I1662" s="224"/>
    </row>
    <row r="1663" ht="17.25" customHeight="1" spans="1:9" x14ac:dyDescent="0.25">
      <c r="A1663" s="220">
        <v>1710</v>
      </c>
      <c r="B1663" s="221" t="s">
        <v>3728</v>
      </c>
      <c r="C1663" s="222" t="s">
        <v>3729</v>
      </c>
      <c r="D1663" s="221" t="s">
        <v>205</v>
      </c>
      <c r="E1663" s="221" t="s">
        <v>27</v>
      </c>
      <c r="F1663" s="223">
        <v>0</v>
      </c>
      <c r="G1663" s="221" t="s">
        <v>71</v>
      </c>
      <c r="H1663" s="221" t="s">
        <v>71</v>
      </c>
      <c r="I1663" s="224"/>
    </row>
    <row r="1664" ht="17.25" customHeight="1" spans="1:9" x14ac:dyDescent="0.25">
      <c r="A1664" s="220">
        <v>1711</v>
      </c>
      <c r="B1664" s="221" t="s">
        <v>3730</v>
      </c>
      <c r="C1664" s="222" t="s">
        <v>3731</v>
      </c>
      <c r="D1664" s="221" t="s">
        <v>205</v>
      </c>
      <c r="E1664" s="221" t="s">
        <v>27</v>
      </c>
      <c r="F1664" s="223">
        <v>0</v>
      </c>
      <c r="G1664" s="221" t="s">
        <v>71</v>
      </c>
      <c r="H1664" s="221" t="s">
        <v>71</v>
      </c>
      <c r="I1664" s="224"/>
    </row>
    <row r="1665" ht="17.25" customHeight="1" spans="1:9" x14ac:dyDescent="0.25">
      <c r="A1665" s="220">
        <v>1712</v>
      </c>
      <c r="B1665" s="221" t="s">
        <v>3732</v>
      </c>
      <c r="C1665" s="222" t="s">
        <v>3733</v>
      </c>
      <c r="D1665" s="221" t="s">
        <v>205</v>
      </c>
      <c r="E1665" s="221" t="s">
        <v>27</v>
      </c>
      <c r="F1665" s="223">
        <v>0</v>
      </c>
      <c r="G1665" s="221" t="s">
        <v>71</v>
      </c>
      <c r="H1665" s="221" t="s">
        <v>71</v>
      </c>
      <c r="I1665" s="224"/>
    </row>
    <row r="1666" ht="17.25" customHeight="1" spans="1:9" x14ac:dyDescent="0.25">
      <c r="A1666" s="220">
        <v>1713</v>
      </c>
      <c r="B1666" s="221" t="s">
        <v>3734</v>
      </c>
      <c r="C1666" s="222" t="s">
        <v>3735</v>
      </c>
      <c r="D1666" s="221" t="s">
        <v>205</v>
      </c>
      <c r="E1666" s="221" t="s">
        <v>27</v>
      </c>
      <c r="F1666" s="223">
        <v>0</v>
      </c>
      <c r="G1666" s="221" t="s">
        <v>71</v>
      </c>
      <c r="H1666" s="221" t="s">
        <v>71</v>
      </c>
      <c r="I1666" s="224"/>
    </row>
    <row r="1667" ht="17.25" customHeight="1" spans="1:9" x14ac:dyDescent="0.25">
      <c r="A1667" s="220">
        <v>1714</v>
      </c>
      <c r="B1667" s="221" t="s">
        <v>3736</v>
      </c>
      <c r="C1667" s="222" t="s">
        <v>3737</v>
      </c>
      <c r="D1667" s="221" t="s">
        <v>205</v>
      </c>
      <c r="E1667" s="221" t="s">
        <v>27</v>
      </c>
      <c r="F1667" s="223">
        <v>0</v>
      </c>
      <c r="G1667" s="221" t="s">
        <v>71</v>
      </c>
      <c r="H1667" s="221" t="s">
        <v>71</v>
      </c>
      <c r="I1667" s="224"/>
    </row>
    <row r="1668" ht="17.25" customHeight="1" spans="1:9" x14ac:dyDescent="0.25">
      <c r="A1668" s="220">
        <v>1715</v>
      </c>
      <c r="B1668" s="221" t="s">
        <v>3738</v>
      </c>
      <c r="C1668" s="222" t="s">
        <v>3739</v>
      </c>
      <c r="D1668" s="221" t="s">
        <v>205</v>
      </c>
      <c r="E1668" s="221" t="s">
        <v>27</v>
      </c>
      <c r="F1668" s="223">
        <v>0</v>
      </c>
      <c r="G1668" s="221" t="s">
        <v>71</v>
      </c>
      <c r="H1668" s="221" t="s">
        <v>71</v>
      </c>
      <c r="I1668" s="224"/>
    </row>
    <row r="1669" ht="17.25" customHeight="1" spans="1:9" x14ac:dyDescent="0.25">
      <c r="A1669" s="220">
        <v>1716</v>
      </c>
      <c r="B1669" s="221" t="s">
        <v>3740</v>
      </c>
      <c r="C1669" s="222" t="s">
        <v>3741</v>
      </c>
      <c r="D1669" s="221" t="s">
        <v>205</v>
      </c>
      <c r="E1669" s="221" t="s">
        <v>27</v>
      </c>
      <c r="F1669" s="223">
        <v>0</v>
      </c>
      <c r="G1669" s="221" t="s">
        <v>71</v>
      </c>
      <c r="H1669" s="221" t="s">
        <v>71</v>
      </c>
      <c r="I1669" s="224"/>
    </row>
    <row r="1670" ht="17.25" customHeight="1" spans="1:9" x14ac:dyDescent="0.25">
      <c r="A1670" s="220">
        <v>1717</v>
      </c>
      <c r="B1670" s="221" t="s">
        <v>3742</v>
      </c>
      <c r="C1670" s="222" t="s">
        <v>3743</v>
      </c>
      <c r="D1670" s="221" t="s">
        <v>91</v>
      </c>
      <c r="E1670" s="221" t="s">
        <v>395</v>
      </c>
      <c r="F1670" s="223">
        <v>7900</v>
      </c>
      <c r="G1670" s="221" t="s">
        <v>46</v>
      </c>
      <c r="H1670" s="221" t="s">
        <v>71</v>
      </c>
      <c r="I1670" s="222"/>
    </row>
    <row r="1671" ht="17.25" customHeight="1" spans="1:9" x14ac:dyDescent="0.25">
      <c r="A1671" s="220">
        <v>1718</v>
      </c>
      <c r="B1671" s="221" t="s">
        <v>3744</v>
      </c>
      <c r="C1671" s="222" t="s">
        <v>3745</v>
      </c>
      <c r="D1671" s="221" t="s">
        <v>89</v>
      </c>
      <c r="E1671" s="221" t="s">
        <v>32</v>
      </c>
      <c r="F1671" s="223">
        <v>5500</v>
      </c>
      <c r="G1671" s="221" t="s">
        <v>46</v>
      </c>
      <c r="H1671" s="221" t="s">
        <v>71</v>
      </c>
      <c r="I1671" s="222"/>
    </row>
    <row r="1672" ht="17.25" customHeight="1" spans="1:9" x14ac:dyDescent="0.25">
      <c r="A1672" s="220">
        <v>1719</v>
      </c>
      <c r="B1672" s="221" t="s">
        <v>3746</v>
      </c>
      <c r="C1672" s="222" t="s">
        <v>3747</v>
      </c>
      <c r="D1672" s="221" t="s">
        <v>3748</v>
      </c>
      <c r="E1672" s="221" t="s">
        <v>27</v>
      </c>
      <c r="F1672" s="223">
        <v>0</v>
      </c>
      <c r="G1672" s="221" t="s">
        <v>48</v>
      </c>
      <c r="H1672" s="221" t="s">
        <v>48</v>
      </c>
      <c r="I1672" s="224"/>
    </row>
    <row r="1673" ht="17.25" customHeight="1" spans="1:9" x14ac:dyDescent="0.25">
      <c r="A1673" s="220">
        <v>1720</v>
      </c>
      <c r="B1673" s="221" t="s">
        <v>3749</v>
      </c>
      <c r="C1673" s="222" t="s">
        <v>3750</v>
      </c>
      <c r="D1673" s="221" t="s">
        <v>3751</v>
      </c>
      <c r="E1673" s="221" t="s">
        <v>27</v>
      </c>
      <c r="F1673" s="223">
        <v>0</v>
      </c>
      <c r="G1673" s="221" t="s">
        <v>48</v>
      </c>
      <c r="H1673" s="221" t="s">
        <v>48</v>
      </c>
      <c r="I1673" s="224"/>
    </row>
    <row r="1674" ht="17.25" customHeight="1" spans="1:9" x14ac:dyDescent="0.25">
      <c r="A1674" s="220">
        <v>1721</v>
      </c>
      <c r="B1674" s="221" t="s">
        <v>3752</v>
      </c>
      <c r="C1674" s="222" t="s">
        <v>3753</v>
      </c>
      <c r="D1674" s="221" t="s">
        <v>3751</v>
      </c>
      <c r="E1674" s="221" t="s">
        <v>27</v>
      </c>
      <c r="F1674" s="223">
        <v>0</v>
      </c>
      <c r="G1674" s="221" t="s">
        <v>48</v>
      </c>
      <c r="H1674" s="221" t="s">
        <v>48</v>
      </c>
      <c r="I1674" s="222"/>
    </row>
    <row r="1675" ht="17.25" customHeight="1" spans="1:9" x14ac:dyDescent="0.25">
      <c r="A1675" s="220">
        <v>1722</v>
      </c>
      <c r="B1675" s="221" t="s">
        <v>3754</v>
      </c>
      <c r="C1675" s="222" t="s">
        <v>3755</v>
      </c>
      <c r="D1675" s="221" t="s">
        <v>3756</v>
      </c>
      <c r="E1675" s="221" t="s">
        <v>27</v>
      </c>
      <c r="F1675" s="223">
        <v>0</v>
      </c>
      <c r="G1675" s="221"/>
      <c r="H1675" s="221"/>
      <c r="I1675" s="224"/>
    </row>
    <row r="1676" ht="17.25" customHeight="1" spans="1:9" x14ac:dyDescent="0.25">
      <c r="A1676" s="220">
        <v>1723</v>
      </c>
      <c r="B1676" s="221" t="s">
        <v>3757</v>
      </c>
      <c r="C1676" s="222" t="s">
        <v>3758</v>
      </c>
      <c r="D1676" s="221" t="s">
        <v>3756</v>
      </c>
      <c r="E1676" s="221" t="s">
        <v>27</v>
      </c>
      <c r="F1676" s="223">
        <v>0</v>
      </c>
      <c r="G1676" s="221"/>
      <c r="H1676" s="221"/>
      <c r="I1676" s="224"/>
    </row>
    <row r="1677" ht="17.25" customHeight="1" spans="1:9" x14ac:dyDescent="0.25">
      <c r="A1677" s="220">
        <v>1724</v>
      </c>
      <c r="B1677" s="221" t="s">
        <v>3759</v>
      </c>
      <c r="C1677" s="222" t="s">
        <v>3760</v>
      </c>
      <c r="D1677" s="221" t="s">
        <v>3756</v>
      </c>
      <c r="E1677" s="221" t="s">
        <v>27</v>
      </c>
      <c r="F1677" s="223">
        <v>0</v>
      </c>
      <c r="G1677" s="221"/>
      <c r="H1677" s="221"/>
      <c r="I1677" s="224"/>
    </row>
    <row r="1678" ht="17.25" customHeight="1" spans="1:9" x14ac:dyDescent="0.25">
      <c r="A1678" s="220">
        <v>1725</v>
      </c>
      <c r="B1678" s="221" t="s">
        <v>3761</v>
      </c>
      <c r="C1678" s="222" t="s">
        <v>3762</v>
      </c>
      <c r="D1678" s="221" t="s">
        <v>3756</v>
      </c>
      <c r="E1678" s="221" t="s">
        <v>27</v>
      </c>
      <c r="F1678" s="223">
        <v>0</v>
      </c>
      <c r="G1678" s="221"/>
      <c r="H1678" s="221"/>
      <c r="I1678" s="224"/>
    </row>
    <row r="1679" ht="17.25" customHeight="1" spans="1:9" x14ac:dyDescent="0.25">
      <c r="A1679" s="220">
        <v>1727</v>
      </c>
      <c r="B1679" s="221" t="s">
        <v>3763</v>
      </c>
      <c r="C1679" s="222" t="s">
        <v>3764</v>
      </c>
      <c r="D1679" s="221" t="s">
        <v>3756</v>
      </c>
      <c r="E1679" s="221" t="s">
        <v>27</v>
      </c>
      <c r="F1679" s="223">
        <v>0</v>
      </c>
      <c r="G1679" s="221"/>
      <c r="H1679" s="221"/>
      <c r="I1679" s="224"/>
    </row>
    <row r="1680" ht="17.25" customHeight="1" spans="1:9" x14ac:dyDescent="0.25">
      <c r="A1680" s="220">
        <v>1728</v>
      </c>
      <c r="B1680" s="221" t="s">
        <v>3765</v>
      </c>
      <c r="C1680" s="222" t="s">
        <v>3766</v>
      </c>
      <c r="D1680" s="221" t="s">
        <v>3756</v>
      </c>
      <c r="E1680" s="221" t="s">
        <v>27</v>
      </c>
      <c r="F1680" s="223">
        <v>0</v>
      </c>
      <c r="G1680" s="221"/>
      <c r="H1680" s="221"/>
      <c r="I1680" s="224"/>
    </row>
    <row r="1681" ht="17.25" customHeight="1" spans="1:9" x14ac:dyDescent="0.25">
      <c r="A1681" s="220">
        <v>1730</v>
      </c>
      <c r="B1681" s="221" t="s">
        <v>3767</v>
      </c>
      <c r="C1681" s="222" t="s">
        <v>3768</v>
      </c>
      <c r="D1681" s="221" t="s">
        <v>3769</v>
      </c>
      <c r="E1681" s="221" t="s">
        <v>28</v>
      </c>
      <c r="F1681" s="223">
        <v>0</v>
      </c>
      <c r="G1681" s="221"/>
      <c r="H1681" s="221"/>
      <c r="I1681" s="224"/>
    </row>
    <row r="1682" ht="17.25" customHeight="1" spans="1:9" x14ac:dyDescent="0.25">
      <c r="A1682" s="220">
        <v>1731</v>
      </c>
      <c r="B1682" s="221" t="s">
        <v>3770</v>
      </c>
      <c r="C1682" s="222" t="s">
        <v>3771</v>
      </c>
      <c r="D1682" s="221" t="s">
        <v>3769</v>
      </c>
      <c r="E1682" s="221" t="s">
        <v>28</v>
      </c>
      <c r="F1682" s="223">
        <v>0</v>
      </c>
      <c r="G1682" s="221"/>
      <c r="H1682" s="221"/>
      <c r="I1682" s="224"/>
    </row>
    <row r="1683" ht="17.25" customHeight="1" spans="1:9" x14ac:dyDescent="0.25">
      <c r="A1683" s="220">
        <v>1732</v>
      </c>
      <c r="B1683" s="221" t="s">
        <v>3772</v>
      </c>
      <c r="C1683" s="222" t="s">
        <v>3773</v>
      </c>
      <c r="D1683" s="221" t="s">
        <v>3774</v>
      </c>
      <c r="E1683" s="221" t="s">
        <v>27</v>
      </c>
      <c r="F1683" s="223">
        <v>0</v>
      </c>
      <c r="G1683" s="221" t="s">
        <v>71</v>
      </c>
      <c r="H1683" s="221" t="s">
        <v>71</v>
      </c>
      <c r="I1683" s="224"/>
    </row>
    <row r="1684" ht="17.25" customHeight="1" spans="1:9" x14ac:dyDescent="0.25">
      <c r="A1684" s="220">
        <v>1733</v>
      </c>
      <c r="B1684" s="221" t="s">
        <v>3775</v>
      </c>
      <c r="C1684" s="222" t="s">
        <v>3776</v>
      </c>
      <c r="D1684" s="221" t="s">
        <v>3774</v>
      </c>
      <c r="E1684" s="221" t="s">
        <v>27</v>
      </c>
      <c r="F1684" s="223">
        <v>0</v>
      </c>
      <c r="G1684" s="221" t="s">
        <v>71</v>
      </c>
      <c r="H1684" s="221" t="s">
        <v>71</v>
      </c>
      <c r="I1684" s="222" t="s">
        <v>3777</v>
      </c>
    </row>
    <row r="1685" ht="17.25" customHeight="1" spans="1:9" x14ac:dyDescent="0.25">
      <c r="A1685" s="220">
        <v>1734</v>
      </c>
      <c r="B1685" s="221" t="s">
        <v>3778</v>
      </c>
      <c r="C1685" s="222" t="s">
        <v>3779</v>
      </c>
      <c r="D1685" s="221" t="s">
        <v>3774</v>
      </c>
      <c r="E1685" s="221" t="s">
        <v>27</v>
      </c>
      <c r="F1685" s="223">
        <v>0</v>
      </c>
      <c r="G1685" s="221" t="s">
        <v>71</v>
      </c>
      <c r="H1685" s="221" t="s">
        <v>71</v>
      </c>
      <c r="I1685" s="224"/>
    </row>
    <row r="1686" ht="17.25" customHeight="1" spans="1:9" x14ac:dyDescent="0.25">
      <c r="A1686" s="220">
        <v>1735</v>
      </c>
      <c r="B1686" s="221" t="s">
        <v>3780</v>
      </c>
      <c r="C1686" s="222" t="s">
        <v>3781</v>
      </c>
      <c r="D1686" s="221" t="s">
        <v>3774</v>
      </c>
      <c r="E1686" s="221" t="s">
        <v>27</v>
      </c>
      <c r="F1686" s="223">
        <v>0</v>
      </c>
      <c r="G1686" s="221" t="s">
        <v>71</v>
      </c>
      <c r="H1686" s="221" t="s">
        <v>71</v>
      </c>
      <c r="I1686" s="224"/>
    </row>
    <row r="1687" ht="17.25" customHeight="1" spans="1:9" x14ac:dyDescent="0.25">
      <c r="A1687" s="220">
        <v>1736</v>
      </c>
      <c r="B1687" s="221" t="s">
        <v>3782</v>
      </c>
      <c r="C1687" s="222" t="s">
        <v>3783</v>
      </c>
      <c r="D1687" s="221" t="s">
        <v>3774</v>
      </c>
      <c r="E1687" s="221" t="s">
        <v>27</v>
      </c>
      <c r="F1687" s="223">
        <v>0</v>
      </c>
      <c r="G1687" s="221" t="s">
        <v>71</v>
      </c>
      <c r="H1687" s="221" t="s">
        <v>71</v>
      </c>
      <c r="I1687" s="224"/>
    </row>
    <row r="1688" ht="17.25" customHeight="1" spans="1:9" x14ac:dyDescent="0.25">
      <c r="A1688" s="220">
        <v>1737</v>
      </c>
      <c r="B1688" s="221" t="s">
        <v>3784</v>
      </c>
      <c r="C1688" s="222" t="s">
        <v>3785</v>
      </c>
      <c r="D1688" s="221" t="s">
        <v>3774</v>
      </c>
      <c r="E1688" s="221" t="s">
        <v>27</v>
      </c>
      <c r="F1688" s="223">
        <v>0</v>
      </c>
      <c r="G1688" s="221" t="s">
        <v>71</v>
      </c>
      <c r="H1688" s="221" t="s">
        <v>71</v>
      </c>
      <c r="I1688" s="224"/>
    </row>
    <row r="1689" ht="17.25" customHeight="1" spans="1:9" x14ac:dyDescent="0.25">
      <c r="A1689" s="220">
        <v>1738</v>
      </c>
      <c r="B1689" s="221" t="s">
        <v>3786</v>
      </c>
      <c r="C1689" s="222" t="s">
        <v>3787</v>
      </c>
      <c r="D1689" s="221" t="s">
        <v>3774</v>
      </c>
      <c r="E1689" s="221" t="s">
        <v>27</v>
      </c>
      <c r="F1689" s="223">
        <v>0</v>
      </c>
      <c r="G1689" s="221" t="s">
        <v>71</v>
      </c>
      <c r="H1689" s="221" t="s">
        <v>71</v>
      </c>
      <c r="I1689" s="224"/>
    </row>
    <row r="1690" ht="17.25" customHeight="1" spans="1:9" x14ac:dyDescent="0.25">
      <c r="A1690" s="220">
        <v>1739</v>
      </c>
      <c r="B1690" s="221" t="s">
        <v>3788</v>
      </c>
      <c r="C1690" s="222" t="s">
        <v>3789</v>
      </c>
      <c r="D1690" s="221" t="s">
        <v>3774</v>
      </c>
      <c r="E1690" s="221" t="s">
        <v>27</v>
      </c>
      <c r="F1690" s="223">
        <v>0</v>
      </c>
      <c r="G1690" s="221" t="s">
        <v>71</v>
      </c>
      <c r="H1690" s="221" t="s">
        <v>71</v>
      </c>
      <c r="I1690" s="224"/>
    </row>
    <row r="1691" ht="17.25" customHeight="1" spans="1:9" x14ac:dyDescent="0.25">
      <c r="A1691" s="220">
        <v>1740</v>
      </c>
      <c r="B1691" s="221" t="s">
        <v>3790</v>
      </c>
      <c r="C1691" s="222" t="s">
        <v>3791</v>
      </c>
      <c r="D1691" s="221" t="s">
        <v>3774</v>
      </c>
      <c r="E1691" s="221" t="s">
        <v>27</v>
      </c>
      <c r="F1691" s="223">
        <v>0</v>
      </c>
      <c r="G1691" s="221" t="s">
        <v>71</v>
      </c>
      <c r="H1691" s="221" t="s">
        <v>71</v>
      </c>
      <c r="I1691" s="224"/>
    </row>
    <row r="1692" ht="17.25" customHeight="1" spans="1:9" x14ac:dyDescent="0.25">
      <c r="A1692" s="220">
        <v>1741</v>
      </c>
      <c r="B1692" s="221" t="s">
        <v>3792</v>
      </c>
      <c r="C1692" s="222" t="s">
        <v>3793</v>
      </c>
      <c r="D1692" s="221" t="s">
        <v>3774</v>
      </c>
      <c r="E1692" s="221" t="s">
        <v>27</v>
      </c>
      <c r="F1692" s="223">
        <v>0</v>
      </c>
      <c r="G1692" s="221" t="s">
        <v>71</v>
      </c>
      <c r="H1692" s="221" t="s">
        <v>71</v>
      </c>
      <c r="I1692" s="224"/>
    </row>
    <row r="1693" ht="17.25" customHeight="1" spans="1:9" x14ac:dyDescent="0.25">
      <c r="A1693" s="220">
        <v>1742</v>
      </c>
      <c r="B1693" s="221" t="s">
        <v>3794</v>
      </c>
      <c r="C1693" s="222" t="s">
        <v>3795</v>
      </c>
      <c r="D1693" s="221" t="s">
        <v>3796</v>
      </c>
      <c r="E1693" s="221" t="s">
        <v>28</v>
      </c>
      <c r="F1693" s="223">
        <v>14000</v>
      </c>
      <c r="G1693" s="221" t="s">
        <v>71</v>
      </c>
      <c r="H1693" s="221" t="s">
        <v>71</v>
      </c>
      <c r="I1693" s="222"/>
    </row>
    <row r="1694" ht="17.25" customHeight="1" spans="1:9" x14ac:dyDescent="0.25">
      <c r="A1694" s="220">
        <v>1743</v>
      </c>
      <c r="B1694" s="221" t="s">
        <v>3797</v>
      </c>
      <c r="C1694" s="222" t="s">
        <v>3798</v>
      </c>
      <c r="D1694" s="221" t="s">
        <v>3799</v>
      </c>
      <c r="E1694" s="221" t="s">
        <v>27</v>
      </c>
      <c r="F1694" s="223">
        <v>0</v>
      </c>
      <c r="G1694" s="221" t="s">
        <v>71</v>
      </c>
      <c r="H1694" s="221" t="s">
        <v>71</v>
      </c>
      <c r="I1694" s="224"/>
    </row>
    <row r="1695" ht="17.25" customHeight="1" spans="1:9" x14ac:dyDescent="0.25">
      <c r="A1695" s="220">
        <v>1744</v>
      </c>
      <c r="B1695" s="221" t="s">
        <v>3800</v>
      </c>
      <c r="C1695" s="222" t="s">
        <v>3801</v>
      </c>
      <c r="D1695" s="221" t="s">
        <v>3802</v>
      </c>
      <c r="E1695" s="221" t="s">
        <v>27</v>
      </c>
      <c r="F1695" s="223">
        <v>0</v>
      </c>
      <c r="G1695" s="221"/>
      <c r="H1695" s="221"/>
      <c r="I1695" s="224"/>
    </row>
    <row r="1696" ht="17.25" customHeight="1" spans="1:9" x14ac:dyDescent="0.25">
      <c r="A1696" s="220">
        <v>1745</v>
      </c>
      <c r="B1696" s="221" t="s">
        <v>3803</v>
      </c>
      <c r="C1696" s="222" t="s">
        <v>3804</v>
      </c>
      <c r="D1696" s="221" t="s">
        <v>3802</v>
      </c>
      <c r="E1696" s="221" t="s">
        <v>27</v>
      </c>
      <c r="F1696" s="223">
        <v>0</v>
      </c>
      <c r="G1696" s="221"/>
      <c r="H1696" s="221"/>
      <c r="I1696" s="224"/>
    </row>
    <row r="1697" ht="17.25" customHeight="1" spans="1:9" x14ac:dyDescent="0.25">
      <c r="A1697" s="220">
        <v>1746</v>
      </c>
      <c r="B1697" s="221" t="s">
        <v>3805</v>
      </c>
      <c r="C1697" s="222" t="s">
        <v>3806</v>
      </c>
      <c r="D1697" s="221" t="s">
        <v>3802</v>
      </c>
      <c r="E1697" s="221" t="s">
        <v>27</v>
      </c>
      <c r="F1697" s="223">
        <v>0</v>
      </c>
      <c r="G1697" s="221"/>
      <c r="H1697" s="221"/>
      <c r="I1697" s="224"/>
    </row>
    <row r="1698" ht="17.25" customHeight="1" spans="1:9" x14ac:dyDescent="0.25">
      <c r="A1698" s="220">
        <v>1747</v>
      </c>
      <c r="B1698" s="221" t="s">
        <v>3807</v>
      </c>
      <c r="C1698" s="222" t="s">
        <v>3808</v>
      </c>
      <c r="D1698" s="221" t="s">
        <v>3802</v>
      </c>
      <c r="E1698" s="221" t="s">
        <v>27</v>
      </c>
      <c r="F1698" s="223">
        <v>0</v>
      </c>
      <c r="G1698" s="221"/>
      <c r="H1698" s="221"/>
      <c r="I1698" s="224"/>
    </row>
    <row r="1699" ht="17.25" customHeight="1" spans="1:9" x14ac:dyDescent="0.25">
      <c r="A1699" s="220">
        <v>1748</v>
      </c>
      <c r="B1699" s="221" t="s">
        <v>3809</v>
      </c>
      <c r="C1699" s="222" t="s">
        <v>3810</v>
      </c>
      <c r="D1699" s="221" t="s">
        <v>3802</v>
      </c>
      <c r="E1699" s="221" t="s">
        <v>27</v>
      </c>
      <c r="F1699" s="223">
        <v>0</v>
      </c>
      <c r="G1699" s="221"/>
      <c r="H1699" s="221"/>
      <c r="I1699" s="224"/>
    </row>
    <row r="1700" ht="17.25" customHeight="1" spans="1:9" x14ac:dyDescent="0.25">
      <c r="A1700" s="220">
        <v>1749</v>
      </c>
      <c r="B1700" s="221" t="s">
        <v>3811</v>
      </c>
      <c r="C1700" s="222" t="s">
        <v>3812</v>
      </c>
      <c r="D1700" s="221" t="s">
        <v>3802</v>
      </c>
      <c r="E1700" s="221" t="s">
        <v>27</v>
      </c>
      <c r="F1700" s="223">
        <v>0</v>
      </c>
      <c r="G1700" s="221"/>
      <c r="H1700" s="221"/>
      <c r="I1700" s="224"/>
    </row>
    <row r="1701" ht="17.25" customHeight="1" spans="1:9" x14ac:dyDescent="0.25">
      <c r="A1701" s="220">
        <v>1750</v>
      </c>
      <c r="B1701" s="221" t="s">
        <v>3813</v>
      </c>
      <c r="C1701" s="222" t="s">
        <v>3814</v>
      </c>
      <c r="D1701" s="221" t="s">
        <v>3802</v>
      </c>
      <c r="E1701" s="221" t="s">
        <v>27</v>
      </c>
      <c r="F1701" s="223">
        <v>0</v>
      </c>
      <c r="G1701" s="221"/>
      <c r="H1701" s="221"/>
      <c r="I1701" s="224"/>
    </row>
    <row r="1702" ht="17.25" customHeight="1" spans="1:9" x14ac:dyDescent="0.25">
      <c r="A1702" s="220">
        <v>1751</v>
      </c>
      <c r="B1702" s="221" t="s">
        <v>3815</v>
      </c>
      <c r="C1702" s="222" t="s">
        <v>3816</v>
      </c>
      <c r="D1702" s="221" t="s">
        <v>3802</v>
      </c>
      <c r="E1702" s="221" t="s">
        <v>27</v>
      </c>
      <c r="F1702" s="223">
        <v>0</v>
      </c>
      <c r="G1702" s="221"/>
      <c r="H1702" s="221"/>
      <c r="I1702" s="224"/>
    </row>
    <row r="1703" ht="17.25" customHeight="1" spans="1:9" x14ac:dyDescent="0.25">
      <c r="A1703" s="220">
        <v>1752</v>
      </c>
      <c r="B1703" s="221" t="s">
        <v>3817</v>
      </c>
      <c r="C1703" s="222" t="s">
        <v>3818</v>
      </c>
      <c r="D1703" s="221" t="s">
        <v>3802</v>
      </c>
      <c r="E1703" s="221" t="s">
        <v>27</v>
      </c>
      <c r="F1703" s="223">
        <v>0</v>
      </c>
      <c r="G1703" s="221"/>
      <c r="H1703" s="221"/>
      <c r="I1703" s="224"/>
    </row>
    <row r="1704" ht="17.25" customHeight="1" spans="1:9" x14ac:dyDescent="0.25">
      <c r="A1704" s="220">
        <v>1753</v>
      </c>
      <c r="B1704" s="221" t="s">
        <v>3819</v>
      </c>
      <c r="C1704" s="222" t="s">
        <v>3820</v>
      </c>
      <c r="D1704" s="221" t="s">
        <v>3802</v>
      </c>
      <c r="E1704" s="221" t="s">
        <v>27</v>
      </c>
      <c r="F1704" s="223">
        <v>0</v>
      </c>
      <c r="G1704" s="221"/>
      <c r="H1704" s="221"/>
      <c r="I1704" s="224"/>
    </row>
    <row r="1705" ht="17.25" customHeight="1" spans="1:9" x14ac:dyDescent="0.25">
      <c r="A1705" s="220">
        <v>1754</v>
      </c>
      <c r="B1705" s="221" t="s">
        <v>3821</v>
      </c>
      <c r="C1705" s="222" t="s">
        <v>3822</v>
      </c>
      <c r="D1705" s="221" t="s">
        <v>3802</v>
      </c>
      <c r="E1705" s="221" t="s">
        <v>27</v>
      </c>
      <c r="F1705" s="223">
        <v>0</v>
      </c>
      <c r="G1705" s="221"/>
      <c r="H1705" s="221"/>
      <c r="I1705" s="224"/>
    </row>
    <row r="1706" ht="17.25" customHeight="1" spans="1:9" x14ac:dyDescent="0.25">
      <c r="A1706" s="220">
        <v>1755</v>
      </c>
      <c r="B1706" s="221" t="s">
        <v>3823</v>
      </c>
      <c r="C1706" s="222" t="s">
        <v>3824</v>
      </c>
      <c r="D1706" s="221" t="s">
        <v>3802</v>
      </c>
      <c r="E1706" s="221" t="s">
        <v>27</v>
      </c>
      <c r="F1706" s="223">
        <v>0</v>
      </c>
      <c r="G1706" s="221"/>
      <c r="H1706" s="221"/>
      <c r="I1706" s="224"/>
    </row>
    <row r="1707" ht="17.25" customHeight="1" spans="1:9" x14ac:dyDescent="0.25">
      <c r="A1707" s="220">
        <v>1756</v>
      </c>
      <c r="B1707" s="221" t="s">
        <v>3825</v>
      </c>
      <c r="C1707" s="222" t="s">
        <v>3826</v>
      </c>
      <c r="D1707" s="221" t="s">
        <v>3802</v>
      </c>
      <c r="E1707" s="221" t="s">
        <v>27</v>
      </c>
      <c r="F1707" s="223">
        <v>0</v>
      </c>
      <c r="G1707" s="221"/>
      <c r="H1707" s="221"/>
      <c r="I1707" s="224"/>
    </row>
    <row r="1708" ht="17.25" customHeight="1" spans="1:9" x14ac:dyDescent="0.25">
      <c r="A1708" s="220">
        <v>1757</v>
      </c>
      <c r="B1708" s="221" t="s">
        <v>3827</v>
      </c>
      <c r="C1708" s="222" t="s">
        <v>3828</v>
      </c>
      <c r="D1708" s="221" t="s">
        <v>3802</v>
      </c>
      <c r="E1708" s="221" t="s">
        <v>27</v>
      </c>
      <c r="F1708" s="223">
        <v>0</v>
      </c>
      <c r="G1708" s="221"/>
      <c r="H1708" s="221"/>
      <c r="I1708" s="224"/>
    </row>
    <row r="1709" ht="17.25" customHeight="1" spans="1:9" x14ac:dyDescent="0.25">
      <c r="A1709" s="220">
        <v>1758</v>
      </c>
      <c r="B1709" s="221" t="s">
        <v>3829</v>
      </c>
      <c r="C1709" s="222" t="s">
        <v>3830</v>
      </c>
      <c r="D1709" s="221" t="s">
        <v>3802</v>
      </c>
      <c r="E1709" s="221" t="s">
        <v>27</v>
      </c>
      <c r="F1709" s="223">
        <v>0</v>
      </c>
      <c r="G1709" s="221"/>
      <c r="H1709" s="221"/>
      <c r="I1709" s="224"/>
    </row>
    <row r="1710" ht="17.25" customHeight="1" spans="1:9" x14ac:dyDescent="0.25">
      <c r="A1710" s="220">
        <v>1759</v>
      </c>
      <c r="B1710" s="221" t="s">
        <v>3831</v>
      </c>
      <c r="C1710" s="222" t="s">
        <v>3832</v>
      </c>
      <c r="D1710" s="221" t="s">
        <v>3802</v>
      </c>
      <c r="E1710" s="221" t="s">
        <v>27</v>
      </c>
      <c r="F1710" s="223">
        <v>0</v>
      </c>
      <c r="G1710" s="221"/>
      <c r="H1710" s="221"/>
      <c r="I1710" s="224"/>
    </row>
    <row r="1711" ht="17.25" customHeight="1" spans="1:9" x14ac:dyDescent="0.25">
      <c r="A1711" s="220">
        <v>1760</v>
      </c>
      <c r="B1711" s="221" t="s">
        <v>3833</v>
      </c>
      <c r="C1711" s="222" t="s">
        <v>3834</v>
      </c>
      <c r="D1711" s="221" t="s">
        <v>3802</v>
      </c>
      <c r="E1711" s="221" t="s">
        <v>27</v>
      </c>
      <c r="F1711" s="223">
        <v>0</v>
      </c>
      <c r="G1711" s="221"/>
      <c r="H1711" s="221"/>
      <c r="I1711" s="224"/>
    </row>
    <row r="1712" ht="17.25" customHeight="1" spans="1:9" x14ac:dyDescent="0.25">
      <c r="A1712" s="220">
        <v>1761</v>
      </c>
      <c r="B1712" s="221" t="s">
        <v>3835</v>
      </c>
      <c r="C1712" s="222" t="s">
        <v>3836</v>
      </c>
      <c r="D1712" s="221" t="s">
        <v>3802</v>
      </c>
      <c r="E1712" s="221" t="s">
        <v>27</v>
      </c>
      <c r="F1712" s="223">
        <v>0</v>
      </c>
      <c r="G1712" s="221"/>
      <c r="H1712" s="221"/>
      <c r="I1712" s="224"/>
    </row>
    <row r="1713" ht="17.25" customHeight="1" spans="1:9" x14ac:dyDescent="0.25">
      <c r="A1713" s="220">
        <v>1762</v>
      </c>
      <c r="B1713" s="221" t="s">
        <v>3837</v>
      </c>
      <c r="C1713" s="222" t="s">
        <v>3838</v>
      </c>
      <c r="D1713" s="221" t="s">
        <v>3839</v>
      </c>
      <c r="E1713" s="221" t="s">
        <v>28</v>
      </c>
      <c r="F1713" s="223">
        <v>0</v>
      </c>
      <c r="G1713" s="221" t="s">
        <v>71</v>
      </c>
      <c r="H1713" s="221" t="s">
        <v>71</v>
      </c>
      <c r="I1713" s="224"/>
    </row>
    <row r="1714" ht="17.25" customHeight="1" spans="1:9" x14ac:dyDescent="0.25">
      <c r="A1714" s="220">
        <v>1763</v>
      </c>
      <c r="B1714" s="221" t="s">
        <v>3840</v>
      </c>
      <c r="C1714" s="222" t="s">
        <v>3841</v>
      </c>
      <c r="D1714" s="221" t="s">
        <v>3839</v>
      </c>
      <c r="E1714" s="221" t="s">
        <v>28</v>
      </c>
      <c r="F1714" s="223">
        <v>10500</v>
      </c>
      <c r="G1714" s="221" t="s">
        <v>71</v>
      </c>
      <c r="H1714" s="221" t="s">
        <v>71</v>
      </c>
      <c r="I1714" s="222"/>
    </row>
    <row r="1715" ht="17.25" customHeight="1" spans="1:9" x14ac:dyDescent="0.25">
      <c r="A1715" s="220">
        <v>1764</v>
      </c>
      <c r="B1715" s="221" t="s">
        <v>3842</v>
      </c>
      <c r="C1715" s="222" t="s">
        <v>3843</v>
      </c>
      <c r="D1715" s="221" t="s">
        <v>3839</v>
      </c>
      <c r="E1715" s="221" t="s">
        <v>28</v>
      </c>
      <c r="F1715" s="223">
        <v>0</v>
      </c>
      <c r="G1715" s="221" t="s">
        <v>71</v>
      </c>
      <c r="H1715" s="221" t="s">
        <v>71</v>
      </c>
      <c r="I1715" s="224"/>
    </row>
    <row r="1716" ht="17.25" customHeight="1" spans="1:9" x14ac:dyDescent="0.25">
      <c r="A1716" s="220">
        <v>1765</v>
      </c>
      <c r="B1716" s="221" t="s">
        <v>3844</v>
      </c>
      <c r="C1716" s="222" t="s">
        <v>3845</v>
      </c>
      <c r="D1716" s="221" t="s">
        <v>3839</v>
      </c>
      <c r="E1716" s="221" t="s">
        <v>28</v>
      </c>
      <c r="F1716" s="223">
        <v>0</v>
      </c>
      <c r="G1716" s="221" t="s">
        <v>71</v>
      </c>
      <c r="H1716" s="221" t="s">
        <v>71</v>
      </c>
      <c r="I1716" s="224"/>
    </row>
    <row r="1717" ht="17.25" customHeight="1" spans="1:9" x14ac:dyDescent="0.25">
      <c r="A1717" s="220">
        <v>1766</v>
      </c>
      <c r="B1717" s="221" t="s">
        <v>3846</v>
      </c>
      <c r="C1717" s="222" t="s">
        <v>87</v>
      </c>
      <c r="D1717" s="221" t="s">
        <v>3839</v>
      </c>
      <c r="E1717" s="221" t="s">
        <v>28</v>
      </c>
      <c r="F1717" s="223">
        <v>10500</v>
      </c>
      <c r="G1717" s="221" t="s">
        <v>71</v>
      </c>
      <c r="H1717" s="221" t="s">
        <v>71</v>
      </c>
      <c r="I1717" s="222"/>
    </row>
    <row r="1718" ht="17.25" customHeight="1" spans="1:9" x14ac:dyDescent="0.25">
      <c r="A1718" s="220">
        <v>1767</v>
      </c>
      <c r="B1718" s="221" t="s">
        <v>3847</v>
      </c>
      <c r="C1718" s="222" t="s">
        <v>3848</v>
      </c>
      <c r="D1718" s="221" t="s">
        <v>3839</v>
      </c>
      <c r="E1718" s="221" t="s">
        <v>28</v>
      </c>
      <c r="F1718" s="223">
        <v>0</v>
      </c>
      <c r="G1718" s="221" t="s">
        <v>71</v>
      </c>
      <c r="H1718" s="221" t="s">
        <v>71</v>
      </c>
      <c r="I1718" s="224"/>
    </row>
    <row r="1719" ht="17.25" customHeight="1" spans="1:9" x14ac:dyDescent="0.25">
      <c r="A1719" s="220">
        <v>1768</v>
      </c>
      <c r="B1719" s="221" t="s">
        <v>3849</v>
      </c>
      <c r="C1719" s="222" t="s">
        <v>3850</v>
      </c>
      <c r="D1719" s="221" t="s">
        <v>3839</v>
      </c>
      <c r="E1719" s="221" t="s">
        <v>28</v>
      </c>
      <c r="F1719" s="223">
        <v>0</v>
      </c>
      <c r="G1719" s="221" t="s">
        <v>71</v>
      </c>
      <c r="H1719" s="221" t="s">
        <v>71</v>
      </c>
      <c r="I1719" s="224"/>
    </row>
    <row r="1720" ht="17.25" customHeight="1" spans="1:9" x14ac:dyDescent="0.25">
      <c r="A1720" s="220">
        <v>1769</v>
      </c>
      <c r="B1720" s="221" t="s">
        <v>3851</v>
      </c>
      <c r="C1720" s="222" t="s">
        <v>3852</v>
      </c>
      <c r="D1720" s="221" t="s">
        <v>3853</v>
      </c>
      <c r="E1720" s="221" t="s">
        <v>27</v>
      </c>
      <c r="F1720" s="223">
        <v>0</v>
      </c>
      <c r="G1720" s="221"/>
      <c r="H1720" s="221"/>
      <c r="I1720" s="224"/>
    </row>
    <row r="1721" ht="17.25" customHeight="1" spans="1:9" x14ac:dyDescent="0.25">
      <c r="A1721" s="220">
        <v>1770</v>
      </c>
      <c r="B1721" s="221" t="s">
        <v>3854</v>
      </c>
      <c r="C1721" s="222" t="s">
        <v>3855</v>
      </c>
      <c r="D1721" s="221" t="s">
        <v>3853</v>
      </c>
      <c r="E1721" s="221" t="s">
        <v>27</v>
      </c>
      <c r="F1721" s="223">
        <v>0</v>
      </c>
      <c r="G1721" s="221"/>
      <c r="H1721" s="221"/>
      <c r="I1721" s="224"/>
    </row>
    <row r="1722" ht="17.25" customHeight="1" spans="1:9" x14ac:dyDescent="0.25">
      <c r="A1722" s="220">
        <v>1771</v>
      </c>
      <c r="B1722" s="221" t="s">
        <v>3856</v>
      </c>
      <c r="C1722" s="222" t="s">
        <v>3857</v>
      </c>
      <c r="D1722" s="221" t="s">
        <v>3853</v>
      </c>
      <c r="E1722" s="221" t="s">
        <v>27</v>
      </c>
      <c r="F1722" s="223">
        <v>0</v>
      </c>
      <c r="G1722" s="221"/>
      <c r="H1722" s="221"/>
      <c r="I1722" s="224"/>
    </row>
    <row r="1723" ht="17.25" customHeight="1" spans="1:9" x14ac:dyDescent="0.25">
      <c r="A1723" s="220">
        <v>1772</v>
      </c>
      <c r="B1723" s="221" t="s">
        <v>3858</v>
      </c>
      <c r="C1723" s="222" t="s">
        <v>3859</v>
      </c>
      <c r="D1723" s="221" t="s">
        <v>3853</v>
      </c>
      <c r="E1723" s="221" t="s">
        <v>27</v>
      </c>
      <c r="F1723" s="223">
        <v>0</v>
      </c>
      <c r="G1723" s="221"/>
      <c r="H1723" s="221"/>
      <c r="I1723" s="224"/>
    </row>
    <row r="1724" ht="17.25" customHeight="1" spans="1:9" x14ac:dyDescent="0.25">
      <c r="A1724" s="220">
        <v>1773</v>
      </c>
      <c r="B1724" s="221" t="s">
        <v>3860</v>
      </c>
      <c r="C1724" s="222" t="s">
        <v>3861</v>
      </c>
      <c r="D1724" s="221" t="s">
        <v>3862</v>
      </c>
      <c r="E1724" s="221" t="s">
        <v>27</v>
      </c>
      <c r="F1724" s="223">
        <v>0</v>
      </c>
      <c r="G1724" s="221" t="s">
        <v>71</v>
      </c>
      <c r="H1724" s="221" t="s">
        <v>71</v>
      </c>
      <c r="I1724" s="224"/>
    </row>
    <row r="1725" ht="17.25" customHeight="1" spans="1:9" x14ac:dyDescent="0.25">
      <c r="A1725" s="220">
        <v>1774</v>
      </c>
      <c r="B1725" s="221" t="s">
        <v>3863</v>
      </c>
      <c r="C1725" s="222" t="s">
        <v>3864</v>
      </c>
      <c r="D1725" s="221" t="s">
        <v>3862</v>
      </c>
      <c r="E1725" s="221" t="s">
        <v>27</v>
      </c>
      <c r="F1725" s="223">
        <v>0</v>
      </c>
      <c r="G1725" s="221" t="s">
        <v>71</v>
      </c>
      <c r="H1725" s="221" t="s">
        <v>71</v>
      </c>
      <c r="I1725" s="224"/>
    </row>
    <row r="1726" ht="17.25" customHeight="1" spans="1:9" x14ac:dyDescent="0.25">
      <c r="A1726" s="220">
        <v>1775</v>
      </c>
      <c r="B1726" s="221" t="s">
        <v>3865</v>
      </c>
      <c r="C1726" s="222" t="s">
        <v>3866</v>
      </c>
      <c r="D1726" s="221" t="s">
        <v>3862</v>
      </c>
      <c r="E1726" s="221" t="s">
        <v>27</v>
      </c>
      <c r="F1726" s="223">
        <v>0</v>
      </c>
      <c r="G1726" s="221" t="s">
        <v>71</v>
      </c>
      <c r="H1726" s="221" t="s">
        <v>71</v>
      </c>
      <c r="I1726" s="224"/>
    </row>
    <row r="1727" ht="17.25" customHeight="1" spans="1:9" x14ac:dyDescent="0.25">
      <c r="A1727" s="220">
        <v>1776</v>
      </c>
      <c r="B1727" s="221" t="s">
        <v>3867</v>
      </c>
      <c r="C1727" s="222" t="s">
        <v>3868</v>
      </c>
      <c r="D1727" s="221" t="s">
        <v>3862</v>
      </c>
      <c r="E1727" s="221" t="s">
        <v>27</v>
      </c>
      <c r="F1727" s="223">
        <v>0</v>
      </c>
      <c r="G1727" s="221" t="s">
        <v>71</v>
      </c>
      <c r="H1727" s="221" t="s">
        <v>71</v>
      </c>
      <c r="I1727" s="224"/>
    </row>
    <row r="1728" ht="17.25" customHeight="1" spans="1:9" x14ac:dyDescent="0.25">
      <c r="A1728" s="220">
        <v>1777</v>
      </c>
      <c r="B1728" s="221" t="s">
        <v>3869</v>
      </c>
      <c r="C1728" s="222" t="s">
        <v>3870</v>
      </c>
      <c r="D1728" s="221" t="s">
        <v>3862</v>
      </c>
      <c r="E1728" s="221" t="s">
        <v>27</v>
      </c>
      <c r="F1728" s="223">
        <v>0</v>
      </c>
      <c r="G1728" s="221" t="s">
        <v>71</v>
      </c>
      <c r="H1728" s="221" t="s">
        <v>71</v>
      </c>
      <c r="I1728" s="224"/>
    </row>
    <row r="1729" ht="17.25" customHeight="1" spans="1:9" x14ac:dyDescent="0.25">
      <c r="A1729" s="220">
        <v>1778</v>
      </c>
      <c r="B1729" s="221" t="s">
        <v>3871</v>
      </c>
      <c r="C1729" s="222" t="s">
        <v>3872</v>
      </c>
      <c r="D1729" s="221" t="s">
        <v>3862</v>
      </c>
      <c r="E1729" s="221" t="s">
        <v>27</v>
      </c>
      <c r="F1729" s="223">
        <v>0</v>
      </c>
      <c r="G1729" s="221" t="s">
        <v>71</v>
      </c>
      <c r="H1729" s="221" t="s">
        <v>71</v>
      </c>
      <c r="I1729" s="224"/>
    </row>
    <row r="1730" ht="17.25" customHeight="1" spans="1:9" x14ac:dyDescent="0.25">
      <c r="A1730" s="220">
        <v>1779</v>
      </c>
      <c r="B1730" s="221" t="s">
        <v>3873</v>
      </c>
      <c r="C1730" s="222" t="s">
        <v>3874</v>
      </c>
      <c r="D1730" s="221" t="s">
        <v>3862</v>
      </c>
      <c r="E1730" s="221" t="s">
        <v>27</v>
      </c>
      <c r="F1730" s="223">
        <v>0</v>
      </c>
      <c r="G1730" s="221" t="s">
        <v>71</v>
      </c>
      <c r="H1730" s="221" t="s">
        <v>71</v>
      </c>
      <c r="I1730" s="224"/>
    </row>
    <row r="1731" ht="17.25" customHeight="1" spans="1:9" x14ac:dyDescent="0.25">
      <c r="A1731" s="220">
        <v>1780</v>
      </c>
      <c r="B1731" s="221" t="s">
        <v>3875</v>
      </c>
      <c r="C1731" s="222" t="s">
        <v>3876</v>
      </c>
      <c r="D1731" s="221" t="s">
        <v>3862</v>
      </c>
      <c r="E1731" s="221" t="s">
        <v>27</v>
      </c>
      <c r="F1731" s="223">
        <v>0</v>
      </c>
      <c r="G1731" s="221" t="s">
        <v>71</v>
      </c>
      <c r="H1731" s="221" t="s">
        <v>71</v>
      </c>
      <c r="I1731" s="224"/>
    </row>
    <row r="1732" ht="17.25" customHeight="1" spans="1:9" x14ac:dyDescent="0.25">
      <c r="A1732" s="220">
        <v>1781</v>
      </c>
      <c r="B1732" s="221" t="s">
        <v>3877</v>
      </c>
      <c r="C1732" s="222" t="s">
        <v>3878</v>
      </c>
      <c r="D1732" s="221" t="s">
        <v>3862</v>
      </c>
      <c r="E1732" s="221" t="s">
        <v>27</v>
      </c>
      <c r="F1732" s="223">
        <v>0</v>
      </c>
      <c r="G1732" s="221" t="s">
        <v>71</v>
      </c>
      <c r="H1732" s="221" t="s">
        <v>71</v>
      </c>
      <c r="I1732" s="224"/>
    </row>
    <row r="1733" ht="17.25" customHeight="1" spans="1:9" x14ac:dyDescent="0.25">
      <c r="A1733" s="220">
        <v>1782</v>
      </c>
      <c r="B1733" s="221" t="s">
        <v>3879</v>
      </c>
      <c r="C1733" s="222" t="s">
        <v>3880</v>
      </c>
      <c r="D1733" s="221" t="s">
        <v>3862</v>
      </c>
      <c r="E1733" s="221" t="s">
        <v>27</v>
      </c>
      <c r="F1733" s="223">
        <v>0</v>
      </c>
      <c r="G1733" s="221" t="s">
        <v>71</v>
      </c>
      <c r="H1733" s="221" t="s">
        <v>71</v>
      </c>
      <c r="I1733" s="224"/>
    </row>
    <row r="1734" ht="17.25" customHeight="1" spans="1:9" x14ac:dyDescent="0.25">
      <c r="A1734" s="220">
        <v>1783</v>
      </c>
      <c r="B1734" s="221" t="s">
        <v>3881</v>
      </c>
      <c r="C1734" s="222" t="s">
        <v>3882</v>
      </c>
      <c r="D1734" s="221" t="s">
        <v>3862</v>
      </c>
      <c r="E1734" s="221" t="s">
        <v>27</v>
      </c>
      <c r="F1734" s="223">
        <v>0</v>
      </c>
      <c r="G1734" s="221" t="s">
        <v>71</v>
      </c>
      <c r="H1734" s="221" t="s">
        <v>71</v>
      </c>
      <c r="I1734" s="224"/>
    </row>
    <row r="1735" ht="17.25" customHeight="1" spans="1:9" x14ac:dyDescent="0.25">
      <c r="A1735" s="220">
        <v>1784</v>
      </c>
      <c r="B1735" s="221" t="s">
        <v>3883</v>
      </c>
      <c r="C1735" s="222" t="s">
        <v>3884</v>
      </c>
      <c r="D1735" s="221" t="s">
        <v>3862</v>
      </c>
      <c r="E1735" s="221" t="s">
        <v>27</v>
      </c>
      <c r="F1735" s="223">
        <v>0</v>
      </c>
      <c r="G1735" s="221" t="s">
        <v>71</v>
      </c>
      <c r="H1735" s="221" t="s">
        <v>71</v>
      </c>
      <c r="I1735" s="224"/>
    </row>
    <row r="1736" ht="17.25" customHeight="1" spans="1:9" x14ac:dyDescent="0.25">
      <c r="A1736" s="220">
        <v>1785</v>
      </c>
      <c r="B1736" s="221" t="s">
        <v>3885</v>
      </c>
      <c r="C1736" s="222" t="s">
        <v>3886</v>
      </c>
      <c r="D1736" s="221" t="s">
        <v>3862</v>
      </c>
      <c r="E1736" s="221" t="s">
        <v>27</v>
      </c>
      <c r="F1736" s="223">
        <v>0</v>
      </c>
      <c r="G1736" s="221" t="s">
        <v>71</v>
      </c>
      <c r="H1736" s="221" t="s">
        <v>71</v>
      </c>
      <c r="I1736" s="224"/>
    </row>
    <row r="1737" ht="17.25" customHeight="1" spans="1:9" x14ac:dyDescent="0.25">
      <c r="A1737" s="220">
        <v>1786</v>
      </c>
      <c r="B1737" s="221" t="s">
        <v>3887</v>
      </c>
      <c r="C1737" s="222" t="s">
        <v>3888</v>
      </c>
      <c r="D1737" s="221" t="s">
        <v>3862</v>
      </c>
      <c r="E1737" s="221" t="s">
        <v>27</v>
      </c>
      <c r="F1737" s="223">
        <v>0</v>
      </c>
      <c r="G1737" s="221" t="s">
        <v>71</v>
      </c>
      <c r="H1737" s="221" t="s">
        <v>71</v>
      </c>
      <c r="I1737" s="224"/>
    </row>
    <row r="1738" ht="17.25" customHeight="1" spans="1:9" x14ac:dyDescent="0.25">
      <c r="A1738" s="220">
        <v>1787</v>
      </c>
      <c r="B1738" s="221" t="s">
        <v>3889</v>
      </c>
      <c r="C1738" s="222" t="s">
        <v>3890</v>
      </c>
      <c r="D1738" s="221" t="s">
        <v>3862</v>
      </c>
      <c r="E1738" s="221" t="s">
        <v>27</v>
      </c>
      <c r="F1738" s="223">
        <v>0</v>
      </c>
      <c r="G1738" s="221" t="s">
        <v>71</v>
      </c>
      <c r="H1738" s="221" t="s">
        <v>71</v>
      </c>
      <c r="I1738" s="224"/>
    </row>
    <row r="1739" ht="17.25" customHeight="1" spans="1:9" x14ac:dyDescent="0.25">
      <c r="A1739" s="220">
        <v>1788</v>
      </c>
      <c r="B1739" s="221" t="s">
        <v>3891</v>
      </c>
      <c r="C1739" s="222" t="s">
        <v>3892</v>
      </c>
      <c r="D1739" s="221" t="s">
        <v>3862</v>
      </c>
      <c r="E1739" s="221" t="s">
        <v>27</v>
      </c>
      <c r="F1739" s="223">
        <v>0</v>
      </c>
      <c r="G1739" s="221" t="s">
        <v>71</v>
      </c>
      <c r="H1739" s="221" t="s">
        <v>71</v>
      </c>
      <c r="I1739" s="224"/>
    </row>
    <row r="1740" ht="17.25" customHeight="1" spans="1:9" x14ac:dyDescent="0.25">
      <c r="A1740" s="220">
        <v>1789</v>
      </c>
      <c r="B1740" s="221" t="s">
        <v>3893</v>
      </c>
      <c r="C1740" s="222" t="s">
        <v>3894</v>
      </c>
      <c r="D1740" s="221" t="s">
        <v>3862</v>
      </c>
      <c r="E1740" s="221" t="s">
        <v>27</v>
      </c>
      <c r="F1740" s="223">
        <v>0</v>
      </c>
      <c r="G1740" s="221" t="s">
        <v>71</v>
      </c>
      <c r="H1740" s="221" t="s">
        <v>71</v>
      </c>
      <c r="I1740" s="224"/>
    </row>
    <row r="1741" ht="17.25" customHeight="1" spans="1:9" x14ac:dyDescent="0.25">
      <c r="A1741" s="220">
        <v>1790</v>
      </c>
      <c r="B1741" s="221" t="s">
        <v>3895</v>
      </c>
      <c r="C1741" s="222" t="s">
        <v>3896</v>
      </c>
      <c r="D1741" s="221" t="s">
        <v>3862</v>
      </c>
      <c r="E1741" s="221" t="s">
        <v>27</v>
      </c>
      <c r="F1741" s="223">
        <v>0</v>
      </c>
      <c r="G1741" s="221" t="s">
        <v>71</v>
      </c>
      <c r="H1741" s="221" t="s">
        <v>71</v>
      </c>
      <c r="I1741" s="224"/>
    </row>
    <row r="1742" ht="17.25" customHeight="1" spans="1:9" x14ac:dyDescent="0.25">
      <c r="A1742" s="220">
        <v>1791</v>
      </c>
      <c r="B1742" s="221" t="s">
        <v>3897</v>
      </c>
      <c r="C1742" s="222" t="s">
        <v>3898</v>
      </c>
      <c r="D1742" s="221" t="s">
        <v>3862</v>
      </c>
      <c r="E1742" s="221" t="s">
        <v>27</v>
      </c>
      <c r="F1742" s="223">
        <v>0</v>
      </c>
      <c r="G1742" s="221" t="s">
        <v>71</v>
      </c>
      <c r="H1742" s="221" t="s">
        <v>71</v>
      </c>
      <c r="I1742" s="224"/>
    </row>
    <row r="1743" ht="17.25" customHeight="1" spans="1:9" x14ac:dyDescent="0.25">
      <c r="A1743" s="220">
        <v>1792</v>
      </c>
      <c r="B1743" s="221" t="s">
        <v>3899</v>
      </c>
      <c r="C1743" s="222" t="s">
        <v>3900</v>
      </c>
      <c r="D1743" s="221" t="s">
        <v>3862</v>
      </c>
      <c r="E1743" s="221" t="s">
        <v>27</v>
      </c>
      <c r="F1743" s="223">
        <v>0</v>
      </c>
      <c r="G1743" s="221" t="s">
        <v>71</v>
      </c>
      <c r="H1743" s="221" t="s">
        <v>71</v>
      </c>
      <c r="I1743" s="224"/>
    </row>
    <row r="1744" ht="17.25" customHeight="1" spans="1:9" x14ac:dyDescent="0.25">
      <c r="A1744" s="220">
        <v>1793</v>
      </c>
      <c r="B1744" s="221" t="s">
        <v>3901</v>
      </c>
      <c r="C1744" s="222" t="s">
        <v>3902</v>
      </c>
      <c r="D1744" s="221" t="s">
        <v>3862</v>
      </c>
      <c r="E1744" s="221" t="s">
        <v>27</v>
      </c>
      <c r="F1744" s="223">
        <v>0</v>
      </c>
      <c r="G1744" s="221" t="s">
        <v>71</v>
      </c>
      <c r="H1744" s="221" t="s">
        <v>71</v>
      </c>
      <c r="I1744" s="224"/>
    </row>
    <row r="1745" ht="17.25" customHeight="1" spans="1:9" x14ac:dyDescent="0.25">
      <c r="A1745" s="220">
        <v>1794</v>
      </c>
      <c r="B1745" s="221" t="s">
        <v>3903</v>
      </c>
      <c r="C1745" s="222" t="s">
        <v>3904</v>
      </c>
      <c r="D1745" s="221" t="s">
        <v>3862</v>
      </c>
      <c r="E1745" s="221" t="s">
        <v>27</v>
      </c>
      <c r="F1745" s="223">
        <v>0</v>
      </c>
      <c r="G1745" s="221" t="s">
        <v>71</v>
      </c>
      <c r="H1745" s="221" t="s">
        <v>71</v>
      </c>
      <c r="I1745" s="224"/>
    </row>
    <row r="1746" ht="17.25" customHeight="1" spans="1:9" x14ac:dyDescent="0.25">
      <c r="A1746" s="220">
        <v>1795</v>
      </c>
      <c r="B1746" s="221" t="s">
        <v>3905</v>
      </c>
      <c r="C1746" s="222" t="s">
        <v>3906</v>
      </c>
      <c r="D1746" s="221" t="s">
        <v>3862</v>
      </c>
      <c r="E1746" s="221" t="s">
        <v>27</v>
      </c>
      <c r="F1746" s="223">
        <v>0</v>
      </c>
      <c r="G1746" s="221" t="s">
        <v>71</v>
      </c>
      <c r="H1746" s="221" t="s">
        <v>71</v>
      </c>
      <c r="I1746" s="224"/>
    </row>
    <row r="1747" ht="17.25" customHeight="1" spans="1:9" x14ac:dyDescent="0.25">
      <c r="A1747" s="220">
        <v>1796</v>
      </c>
      <c r="B1747" s="221" t="s">
        <v>3907</v>
      </c>
      <c r="C1747" s="222" t="s">
        <v>3908</v>
      </c>
      <c r="D1747" s="221" t="s">
        <v>3862</v>
      </c>
      <c r="E1747" s="221" t="s">
        <v>27</v>
      </c>
      <c r="F1747" s="223">
        <v>0</v>
      </c>
      <c r="G1747" s="221" t="s">
        <v>71</v>
      </c>
      <c r="H1747" s="221" t="s">
        <v>71</v>
      </c>
      <c r="I1747" s="224"/>
    </row>
    <row r="1748" ht="17.25" customHeight="1" spans="1:9" x14ac:dyDescent="0.25">
      <c r="A1748" s="220">
        <v>1797</v>
      </c>
      <c r="B1748" s="221" t="s">
        <v>3909</v>
      </c>
      <c r="C1748" s="222" t="s">
        <v>3910</v>
      </c>
      <c r="D1748" s="221" t="s">
        <v>3862</v>
      </c>
      <c r="E1748" s="221" t="s">
        <v>27</v>
      </c>
      <c r="F1748" s="223">
        <v>0</v>
      </c>
      <c r="G1748" s="221" t="s">
        <v>71</v>
      </c>
      <c r="H1748" s="221" t="s">
        <v>71</v>
      </c>
      <c r="I1748" s="224"/>
    </row>
    <row r="1749" ht="17.25" customHeight="1" spans="1:9" x14ac:dyDescent="0.25">
      <c r="A1749" s="220">
        <v>1798</v>
      </c>
      <c r="B1749" s="221" t="s">
        <v>3911</v>
      </c>
      <c r="C1749" s="222" t="s">
        <v>3912</v>
      </c>
      <c r="D1749" s="221" t="s">
        <v>3862</v>
      </c>
      <c r="E1749" s="221" t="s">
        <v>27</v>
      </c>
      <c r="F1749" s="223">
        <v>0</v>
      </c>
      <c r="G1749" s="221" t="s">
        <v>71</v>
      </c>
      <c r="H1749" s="221" t="s">
        <v>71</v>
      </c>
      <c r="I1749" s="224"/>
    </row>
    <row r="1750" ht="17.25" customHeight="1" spans="1:9" x14ac:dyDescent="0.25">
      <c r="A1750" s="220">
        <v>1799</v>
      </c>
      <c r="B1750" s="221" t="s">
        <v>3913</v>
      </c>
      <c r="C1750" s="222" t="s">
        <v>3914</v>
      </c>
      <c r="D1750" s="221" t="s">
        <v>3862</v>
      </c>
      <c r="E1750" s="221" t="s">
        <v>27</v>
      </c>
      <c r="F1750" s="223">
        <v>0</v>
      </c>
      <c r="G1750" s="221" t="s">
        <v>71</v>
      </c>
      <c r="H1750" s="221" t="s">
        <v>71</v>
      </c>
      <c r="I1750" s="224"/>
    </row>
    <row r="1751" ht="17.25" customHeight="1" spans="1:9" x14ac:dyDescent="0.25">
      <c r="A1751" s="220">
        <v>1800</v>
      </c>
      <c r="B1751" s="221" t="s">
        <v>3915</v>
      </c>
      <c r="C1751" s="222" t="s">
        <v>3916</v>
      </c>
      <c r="D1751" s="221" t="s">
        <v>3862</v>
      </c>
      <c r="E1751" s="221" t="s">
        <v>27</v>
      </c>
      <c r="F1751" s="223">
        <v>0</v>
      </c>
      <c r="G1751" s="221" t="s">
        <v>71</v>
      </c>
      <c r="H1751" s="221" t="s">
        <v>71</v>
      </c>
      <c r="I1751" s="224"/>
    </row>
    <row r="1752" ht="17.25" customHeight="1" spans="1:9" x14ac:dyDescent="0.25">
      <c r="A1752" s="220">
        <v>1801</v>
      </c>
      <c r="B1752" s="221" t="s">
        <v>3917</v>
      </c>
      <c r="C1752" s="222" t="s">
        <v>3918</v>
      </c>
      <c r="D1752" s="221" t="s">
        <v>3862</v>
      </c>
      <c r="E1752" s="221" t="s">
        <v>27</v>
      </c>
      <c r="F1752" s="223">
        <v>0</v>
      </c>
      <c r="G1752" s="221" t="s">
        <v>71</v>
      </c>
      <c r="H1752" s="221" t="s">
        <v>71</v>
      </c>
      <c r="I1752" s="224"/>
    </row>
    <row r="1753" ht="17.25" customHeight="1" spans="1:9" x14ac:dyDescent="0.25">
      <c r="A1753" s="220">
        <v>1802</v>
      </c>
      <c r="B1753" s="221" t="s">
        <v>3919</v>
      </c>
      <c r="C1753" s="222" t="s">
        <v>3920</v>
      </c>
      <c r="D1753" s="221" t="s">
        <v>3862</v>
      </c>
      <c r="E1753" s="221" t="s">
        <v>27</v>
      </c>
      <c r="F1753" s="223">
        <v>0</v>
      </c>
      <c r="G1753" s="221" t="s">
        <v>71</v>
      </c>
      <c r="H1753" s="221" t="s">
        <v>71</v>
      </c>
      <c r="I1753" s="224"/>
    </row>
    <row r="1754" ht="17.25" customHeight="1" spans="1:9" x14ac:dyDescent="0.25">
      <c r="A1754" s="220">
        <v>1803</v>
      </c>
      <c r="B1754" s="221" t="s">
        <v>3921</v>
      </c>
      <c r="C1754" s="222" t="s">
        <v>3922</v>
      </c>
      <c r="D1754" s="221" t="s">
        <v>3862</v>
      </c>
      <c r="E1754" s="221" t="s">
        <v>27</v>
      </c>
      <c r="F1754" s="223">
        <v>0</v>
      </c>
      <c r="G1754" s="221" t="s">
        <v>71</v>
      </c>
      <c r="H1754" s="221" t="s">
        <v>71</v>
      </c>
      <c r="I1754" s="224"/>
    </row>
    <row r="1755" ht="17.25" customHeight="1" spans="1:9" x14ac:dyDescent="0.25">
      <c r="A1755" s="220">
        <v>1804</v>
      </c>
      <c r="B1755" s="221" t="s">
        <v>3923</v>
      </c>
      <c r="C1755" s="222" t="s">
        <v>3924</v>
      </c>
      <c r="D1755" s="221" t="s">
        <v>3862</v>
      </c>
      <c r="E1755" s="221" t="s">
        <v>27</v>
      </c>
      <c r="F1755" s="223">
        <v>0</v>
      </c>
      <c r="G1755" s="221" t="s">
        <v>71</v>
      </c>
      <c r="H1755" s="221" t="s">
        <v>71</v>
      </c>
      <c r="I1755" s="224"/>
    </row>
    <row r="1756" ht="17.25" customHeight="1" spans="1:9" x14ac:dyDescent="0.25">
      <c r="A1756" s="220">
        <v>1805</v>
      </c>
      <c r="B1756" s="221" t="s">
        <v>3925</v>
      </c>
      <c r="C1756" s="222" t="s">
        <v>3926</v>
      </c>
      <c r="D1756" s="221" t="s">
        <v>3862</v>
      </c>
      <c r="E1756" s="221" t="s">
        <v>27</v>
      </c>
      <c r="F1756" s="223">
        <v>0</v>
      </c>
      <c r="G1756" s="221" t="s">
        <v>71</v>
      </c>
      <c r="H1756" s="221" t="s">
        <v>71</v>
      </c>
      <c r="I1756" s="224"/>
    </row>
    <row r="1757" ht="17.25" customHeight="1" spans="1:9" x14ac:dyDescent="0.25">
      <c r="A1757" s="220">
        <v>1806</v>
      </c>
      <c r="B1757" s="221" t="s">
        <v>3927</v>
      </c>
      <c r="C1757" s="222" t="s">
        <v>3928</v>
      </c>
      <c r="D1757" s="221" t="s">
        <v>3862</v>
      </c>
      <c r="E1757" s="221" t="s">
        <v>27</v>
      </c>
      <c r="F1757" s="223">
        <v>0</v>
      </c>
      <c r="G1757" s="221" t="s">
        <v>71</v>
      </c>
      <c r="H1757" s="221" t="s">
        <v>71</v>
      </c>
      <c r="I1757" s="224"/>
    </row>
    <row r="1758" ht="17.25" customHeight="1" spans="1:9" x14ac:dyDescent="0.25">
      <c r="A1758" s="220">
        <v>1807</v>
      </c>
      <c r="B1758" s="221" t="s">
        <v>3929</v>
      </c>
      <c r="C1758" s="222" t="s">
        <v>3930</v>
      </c>
      <c r="D1758" s="221" t="s">
        <v>3862</v>
      </c>
      <c r="E1758" s="221" t="s">
        <v>27</v>
      </c>
      <c r="F1758" s="223">
        <v>0</v>
      </c>
      <c r="G1758" s="221" t="s">
        <v>71</v>
      </c>
      <c r="H1758" s="221" t="s">
        <v>71</v>
      </c>
      <c r="I1758" s="222" t="s">
        <v>967</v>
      </c>
    </row>
    <row r="1759" ht="17.25" customHeight="1" spans="1:9" x14ac:dyDescent="0.25">
      <c r="A1759" s="220">
        <v>1808</v>
      </c>
      <c r="B1759" s="221" t="s">
        <v>3931</v>
      </c>
      <c r="C1759" s="222" t="s">
        <v>3932</v>
      </c>
      <c r="D1759" s="221" t="s">
        <v>3862</v>
      </c>
      <c r="E1759" s="221" t="s">
        <v>27</v>
      </c>
      <c r="F1759" s="223">
        <v>0</v>
      </c>
      <c r="G1759" s="221" t="s">
        <v>71</v>
      </c>
      <c r="H1759" s="221" t="s">
        <v>71</v>
      </c>
      <c r="I1759" s="224"/>
    </row>
    <row r="1760" ht="17.25" customHeight="1" spans="1:9" x14ac:dyDescent="0.25">
      <c r="A1760" s="220">
        <v>1809</v>
      </c>
      <c r="B1760" s="221" t="s">
        <v>3933</v>
      </c>
      <c r="C1760" s="222" t="s">
        <v>3934</v>
      </c>
      <c r="D1760" s="221" t="s">
        <v>3862</v>
      </c>
      <c r="E1760" s="221" t="s">
        <v>27</v>
      </c>
      <c r="F1760" s="223">
        <v>0</v>
      </c>
      <c r="G1760" s="221" t="s">
        <v>71</v>
      </c>
      <c r="H1760" s="221" t="s">
        <v>71</v>
      </c>
      <c r="I1760" s="224"/>
    </row>
    <row r="1761" ht="17.25" customHeight="1" spans="1:9" x14ac:dyDescent="0.25">
      <c r="A1761" s="220">
        <v>1810</v>
      </c>
      <c r="B1761" s="221" t="s">
        <v>3935</v>
      </c>
      <c r="C1761" s="222" t="s">
        <v>3936</v>
      </c>
      <c r="D1761" s="221" t="s">
        <v>3862</v>
      </c>
      <c r="E1761" s="221" t="s">
        <v>27</v>
      </c>
      <c r="F1761" s="223">
        <v>0</v>
      </c>
      <c r="G1761" s="221" t="s">
        <v>71</v>
      </c>
      <c r="H1761" s="221" t="s">
        <v>71</v>
      </c>
      <c r="I1761" s="224"/>
    </row>
    <row r="1762" ht="17.25" customHeight="1" spans="1:9" x14ac:dyDescent="0.25">
      <c r="A1762" s="220">
        <v>1811</v>
      </c>
      <c r="B1762" s="221" t="s">
        <v>3937</v>
      </c>
      <c r="C1762" s="222" t="s">
        <v>3938</v>
      </c>
      <c r="D1762" s="221" t="s">
        <v>3862</v>
      </c>
      <c r="E1762" s="221" t="s">
        <v>27</v>
      </c>
      <c r="F1762" s="223">
        <v>0</v>
      </c>
      <c r="G1762" s="221" t="s">
        <v>71</v>
      </c>
      <c r="H1762" s="221" t="s">
        <v>71</v>
      </c>
      <c r="I1762" s="224"/>
    </row>
    <row r="1763" ht="17.25" customHeight="1" spans="1:9" x14ac:dyDescent="0.25">
      <c r="A1763" s="220">
        <v>1812</v>
      </c>
      <c r="B1763" s="221" t="s">
        <v>3939</v>
      </c>
      <c r="C1763" s="222" t="s">
        <v>3940</v>
      </c>
      <c r="D1763" s="221" t="s">
        <v>3862</v>
      </c>
      <c r="E1763" s="221" t="s">
        <v>27</v>
      </c>
      <c r="F1763" s="223">
        <v>0</v>
      </c>
      <c r="G1763" s="221" t="s">
        <v>71</v>
      </c>
      <c r="H1763" s="221" t="s">
        <v>71</v>
      </c>
      <c r="I1763" s="224"/>
    </row>
    <row r="1764" ht="17.25" customHeight="1" spans="1:9" x14ac:dyDescent="0.25">
      <c r="A1764" s="220">
        <v>1813</v>
      </c>
      <c r="B1764" s="221" t="s">
        <v>3941</v>
      </c>
      <c r="C1764" s="222" t="s">
        <v>3942</v>
      </c>
      <c r="D1764" s="221" t="s">
        <v>3862</v>
      </c>
      <c r="E1764" s="221" t="s">
        <v>27</v>
      </c>
      <c r="F1764" s="223">
        <v>0</v>
      </c>
      <c r="G1764" s="221" t="s">
        <v>71</v>
      </c>
      <c r="H1764" s="221" t="s">
        <v>71</v>
      </c>
      <c r="I1764" s="224"/>
    </row>
    <row r="1765" ht="17.25" customHeight="1" spans="1:9" x14ac:dyDescent="0.25">
      <c r="A1765" s="220">
        <v>1814</v>
      </c>
      <c r="B1765" s="221" t="s">
        <v>3943</v>
      </c>
      <c r="C1765" s="222" t="s">
        <v>3944</v>
      </c>
      <c r="D1765" s="221" t="s">
        <v>3862</v>
      </c>
      <c r="E1765" s="221" t="s">
        <v>27</v>
      </c>
      <c r="F1765" s="223">
        <v>0</v>
      </c>
      <c r="G1765" s="221" t="s">
        <v>71</v>
      </c>
      <c r="H1765" s="221" t="s">
        <v>71</v>
      </c>
      <c r="I1765" s="224"/>
    </row>
    <row r="1766" ht="17.25" customHeight="1" spans="1:9" x14ac:dyDescent="0.25">
      <c r="A1766" s="220">
        <v>1815</v>
      </c>
      <c r="B1766" s="221" t="s">
        <v>3945</v>
      </c>
      <c r="C1766" s="222" t="s">
        <v>3946</v>
      </c>
      <c r="D1766" s="221" t="s">
        <v>3862</v>
      </c>
      <c r="E1766" s="221" t="s">
        <v>27</v>
      </c>
      <c r="F1766" s="223">
        <v>0</v>
      </c>
      <c r="G1766" s="221" t="s">
        <v>71</v>
      </c>
      <c r="H1766" s="221" t="s">
        <v>71</v>
      </c>
      <c r="I1766" s="224"/>
    </row>
    <row r="1767" ht="17.25" customHeight="1" spans="1:9" x14ac:dyDescent="0.25">
      <c r="A1767" s="220">
        <v>1816</v>
      </c>
      <c r="B1767" s="221" t="s">
        <v>3947</v>
      </c>
      <c r="C1767" s="222" t="s">
        <v>3948</v>
      </c>
      <c r="D1767" s="221" t="s">
        <v>3862</v>
      </c>
      <c r="E1767" s="221" t="s">
        <v>27</v>
      </c>
      <c r="F1767" s="223">
        <v>0</v>
      </c>
      <c r="G1767" s="221" t="s">
        <v>71</v>
      </c>
      <c r="H1767" s="221" t="s">
        <v>71</v>
      </c>
      <c r="I1767" s="224"/>
    </row>
    <row r="1768" ht="17.25" customHeight="1" spans="1:9" x14ac:dyDescent="0.25">
      <c r="A1768" s="220">
        <v>1817</v>
      </c>
      <c r="B1768" s="221" t="s">
        <v>3949</v>
      </c>
      <c r="C1768" s="222" t="s">
        <v>3950</v>
      </c>
      <c r="D1768" s="221" t="s">
        <v>3862</v>
      </c>
      <c r="E1768" s="221" t="s">
        <v>27</v>
      </c>
      <c r="F1768" s="223">
        <v>0</v>
      </c>
      <c r="G1768" s="221" t="s">
        <v>71</v>
      </c>
      <c r="H1768" s="221" t="s">
        <v>71</v>
      </c>
      <c r="I1768" s="224"/>
    </row>
    <row r="1769" ht="17.25" customHeight="1" spans="1:9" x14ac:dyDescent="0.25">
      <c r="A1769" s="220">
        <v>1818</v>
      </c>
      <c r="B1769" s="221" t="s">
        <v>3951</v>
      </c>
      <c r="C1769" s="222" t="s">
        <v>3952</v>
      </c>
      <c r="D1769" s="221" t="s">
        <v>3862</v>
      </c>
      <c r="E1769" s="221" t="s">
        <v>27</v>
      </c>
      <c r="F1769" s="223">
        <v>0</v>
      </c>
      <c r="G1769" s="221" t="s">
        <v>71</v>
      </c>
      <c r="H1769" s="221" t="s">
        <v>71</v>
      </c>
      <c r="I1769" s="224"/>
    </row>
    <row r="1770" ht="17.25" customHeight="1" spans="1:9" x14ac:dyDescent="0.25">
      <c r="A1770" s="220">
        <v>1819</v>
      </c>
      <c r="B1770" s="221" t="s">
        <v>3953</v>
      </c>
      <c r="C1770" s="222" t="s">
        <v>3954</v>
      </c>
      <c r="D1770" s="221" t="s">
        <v>3862</v>
      </c>
      <c r="E1770" s="221" t="s">
        <v>27</v>
      </c>
      <c r="F1770" s="223">
        <v>0</v>
      </c>
      <c r="G1770" s="221" t="s">
        <v>71</v>
      </c>
      <c r="H1770" s="221" t="s">
        <v>71</v>
      </c>
      <c r="I1770" s="224"/>
    </row>
    <row r="1771" ht="17.25" customHeight="1" spans="1:9" x14ac:dyDescent="0.25">
      <c r="A1771" s="220">
        <v>1820</v>
      </c>
      <c r="B1771" s="221" t="s">
        <v>3955</v>
      </c>
      <c r="C1771" s="222" t="s">
        <v>3956</v>
      </c>
      <c r="D1771" s="221" t="s">
        <v>3862</v>
      </c>
      <c r="E1771" s="221" t="s">
        <v>27</v>
      </c>
      <c r="F1771" s="223">
        <v>0</v>
      </c>
      <c r="G1771" s="221" t="s">
        <v>71</v>
      </c>
      <c r="H1771" s="221" t="s">
        <v>71</v>
      </c>
      <c r="I1771" s="224"/>
    </row>
    <row r="1772" ht="17.25" customHeight="1" spans="1:9" x14ac:dyDescent="0.25">
      <c r="A1772" s="220">
        <v>1821</v>
      </c>
      <c r="B1772" s="221" t="s">
        <v>3957</v>
      </c>
      <c r="C1772" s="222" t="s">
        <v>3958</v>
      </c>
      <c r="D1772" s="221" t="s">
        <v>3862</v>
      </c>
      <c r="E1772" s="221" t="s">
        <v>27</v>
      </c>
      <c r="F1772" s="223">
        <v>0</v>
      </c>
      <c r="G1772" s="221" t="s">
        <v>71</v>
      </c>
      <c r="H1772" s="221" t="s">
        <v>71</v>
      </c>
      <c r="I1772" s="224"/>
    </row>
    <row r="1773" ht="17.25" customHeight="1" spans="1:9" x14ac:dyDescent="0.25">
      <c r="A1773" s="220">
        <v>1822</v>
      </c>
      <c r="B1773" s="221" t="s">
        <v>3959</v>
      </c>
      <c r="C1773" s="222" t="s">
        <v>3960</v>
      </c>
      <c r="D1773" s="221" t="s">
        <v>3862</v>
      </c>
      <c r="E1773" s="221" t="s">
        <v>27</v>
      </c>
      <c r="F1773" s="223">
        <v>0</v>
      </c>
      <c r="G1773" s="221" t="s">
        <v>71</v>
      </c>
      <c r="H1773" s="221" t="s">
        <v>71</v>
      </c>
      <c r="I1773" s="224"/>
    </row>
    <row r="1774" ht="17.25" customHeight="1" spans="1:9" x14ac:dyDescent="0.25">
      <c r="A1774" s="220">
        <v>1823</v>
      </c>
      <c r="B1774" s="221" t="s">
        <v>3961</v>
      </c>
      <c r="C1774" s="222" t="s">
        <v>3962</v>
      </c>
      <c r="D1774" s="221" t="s">
        <v>3862</v>
      </c>
      <c r="E1774" s="221" t="s">
        <v>27</v>
      </c>
      <c r="F1774" s="223">
        <v>0</v>
      </c>
      <c r="G1774" s="221" t="s">
        <v>71</v>
      </c>
      <c r="H1774" s="221" t="s">
        <v>71</v>
      </c>
      <c r="I1774" s="224"/>
    </row>
    <row r="1775" ht="17.25" customHeight="1" spans="1:9" x14ac:dyDescent="0.25">
      <c r="A1775" s="220">
        <v>1824</v>
      </c>
      <c r="B1775" s="221" t="s">
        <v>3963</v>
      </c>
      <c r="C1775" s="222" t="s">
        <v>3964</v>
      </c>
      <c r="D1775" s="221" t="s">
        <v>3862</v>
      </c>
      <c r="E1775" s="221" t="s">
        <v>27</v>
      </c>
      <c r="F1775" s="223">
        <v>0</v>
      </c>
      <c r="G1775" s="221" t="s">
        <v>71</v>
      </c>
      <c r="H1775" s="221" t="s">
        <v>71</v>
      </c>
      <c r="I1775" s="224"/>
    </row>
    <row r="1776" ht="17.25" customHeight="1" spans="1:9" x14ac:dyDescent="0.25">
      <c r="A1776" s="220">
        <v>1825</v>
      </c>
      <c r="B1776" s="221" t="s">
        <v>3965</v>
      </c>
      <c r="C1776" s="222" t="s">
        <v>3966</v>
      </c>
      <c r="D1776" s="221" t="s">
        <v>3862</v>
      </c>
      <c r="E1776" s="221" t="s">
        <v>27</v>
      </c>
      <c r="F1776" s="223">
        <v>0</v>
      </c>
      <c r="G1776" s="221" t="s">
        <v>71</v>
      </c>
      <c r="H1776" s="221" t="s">
        <v>71</v>
      </c>
      <c r="I1776" s="224"/>
    </row>
    <row r="1777" ht="17.25" customHeight="1" spans="1:9" x14ac:dyDescent="0.25">
      <c r="A1777" s="220">
        <v>1826</v>
      </c>
      <c r="B1777" s="221" t="s">
        <v>3967</v>
      </c>
      <c r="C1777" s="222" t="s">
        <v>3968</v>
      </c>
      <c r="D1777" s="221" t="s">
        <v>3862</v>
      </c>
      <c r="E1777" s="221" t="s">
        <v>27</v>
      </c>
      <c r="F1777" s="223">
        <v>0</v>
      </c>
      <c r="G1777" s="221" t="s">
        <v>71</v>
      </c>
      <c r="H1777" s="221" t="s">
        <v>71</v>
      </c>
      <c r="I1777" s="224"/>
    </row>
    <row r="1778" ht="17.25" customHeight="1" spans="1:9" x14ac:dyDescent="0.25">
      <c r="A1778" s="220">
        <v>1827</v>
      </c>
      <c r="B1778" s="221" t="s">
        <v>3969</v>
      </c>
      <c r="C1778" s="222" t="s">
        <v>3970</v>
      </c>
      <c r="D1778" s="221" t="s">
        <v>3862</v>
      </c>
      <c r="E1778" s="221" t="s">
        <v>27</v>
      </c>
      <c r="F1778" s="223">
        <v>0</v>
      </c>
      <c r="G1778" s="221" t="s">
        <v>71</v>
      </c>
      <c r="H1778" s="221" t="s">
        <v>71</v>
      </c>
      <c r="I1778" s="224"/>
    </row>
    <row r="1779" ht="17.25" customHeight="1" spans="1:9" x14ac:dyDescent="0.25">
      <c r="A1779" s="220">
        <v>1828</v>
      </c>
      <c r="B1779" s="221" t="s">
        <v>3971</v>
      </c>
      <c r="C1779" s="222" t="s">
        <v>3972</v>
      </c>
      <c r="D1779" s="221" t="s">
        <v>3862</v>
      </c>
      <c r="E1779" s="221" t="s">
        <v>27</v>
      </c>
      <c r="F1779" s="223">
        <v>0</v>
      </c>
      <c r="G1779" s="221" t="s">
        <v>71</v>
      </c>
      <c r="H1779" s="221" t="s">
        <v>71</v>
      </c>
      <c r="I1779" s="224"/>
    </row>
    <row r="1780" ht="17.25" customHeight="1" spans="1:9" x14ac:dyDescent="0.25">
      <c r="A1780" s="220">
        <v>1829</v>
      </c>
      <c r="B1780" s="221" t="s">
        <v>3973</v>
      </c>
      <c r="C1780" s="222" t="s">
        <v>3974</v>
      </c>
      <c r="D1780" s="221" t="s">
        <v>3862</v>
      </c>
      <c r="E1780" s="221" t="s">
        <v>27</v>
      </c>
      <c r="F1780" s="223">
        <v>0</v>
      </c>
      <c r="G1780" s="221" t="s">
        <v>71</v>
      </c>
      <c r="H1780" s="221" t="s">
        <v>71</v>
      </c>
      <c r="I1780" s="224"/>
    </row>
    <row r="1781" ht="17.25" customHeight="1" spans="1:9" x14ac:dyDescent="0.25">
      <c r="A1781" s="220">
        <v>1830</v>
      </c>
      <c r="B1781" s="221" t="s">
        <v>3975</v>
      </c>
      <c r="C1781" s="222" t="s">
        <v>3976</v>
      </c>
      <c r="D1781" s="221" t="s">
        <v>3862</v>
      </c>
      <c r="E1781" s="221" t="s">
        <v>27</v>
      </c>
      <c r="F1781" s="223">
        <v>0</v>
      </c>
      <c r="G1781" s="221" t="s">
        <v>71</v>
      </c>
      <c r="H1781" s="221" t="s">
        <v>71</v>
      </c>
      <c r="I1781" s="224"/>
    </row>
    <row r="1782" ht="17.25" customHeight="1" spans="1:9" x14ac:dyDescent="0.25">
      <c r="A1782" s="220">
        <v>1831</v>
      </c>
      <c r="B1782" s="221" t="s">
        <v>3977</v>
      </c>
      <c r="C1782" s="222" t="s">
        <v>3978</v>
      </c>
      <c r="D1782" s="221" t="s">
        <v>3862</v>
      </c>
      <c r="E1782" s="221" t="s">
        <v>27</v>
      </c>
      <c r="F1782" s="223">
        <v>0</v>
      </c>
      <c r="G1782" s="221" t="s">
        <v>71</v>
      </c>
      <c r="H1782" s="221" t="s">
        <v>71</v>
      </c>
      <c r="I1782" s="224"/>
    </row>
    <row r="1783" ht="17.25" customHeight="1" spans="1:9" x14ac:dyDescent="0.25">
      <c r="A1783" s="220">
        <v>1832</v>
      </c>
      <c r="B1783" s="221" t="s">
        <v>3979</v>
      </c>
      <c r="C1783" s="222" t="s">
        <v>3980</v>
      </c>
      <c r="D1783" s="221" t="s">
        <v>3862</v>
      </c>
      <c r="E1783" s="221" t="s">
        <v>27</v>
      </c>
      <c r="F1783" s="223">
        <v>0</v>
      </c>
      <c r="G1783" s="221" t="s">
        <v>71</v>
      </c>
      <c r="H1783" s="221" t="s">
        <v>71</v>
      </c>
      <c r="I1783" s="224"/>
    </row>
    <row r="1784" ht="17.25" customHeight="1" spans="1:9" x14ac:dyDescent="0.25">
      <c r="A1784" s="220">
        <v>1833</v>
      </c>
      <c r="B1784" s="221" t="s">
        <v>3981</v>
      </c>
      <c r="C1784" s="222" t="s">
        <v>3982</v>
      </c>
      <c r="D1784" s="221" t="s">
        <v>3862</v>
      </c>
      <c r="E1784" s="221" t="s">
        <v>27</v>
      </c>
      <c r="F1784" s="223">
        <v>0</v>
      </c>
      <c r="G1784" s="221" t="s">
        <v>71</v>
      </c>
      <c r="H1784" s="221" t="s">
        <v>71</v>
      </c>
      <c r="I1784" s="224"/>
    </row>
    <row r="1785" ht="17.25" customHeight="1" spans="1:9" x14ac:dyDescent="0.25">
      <c r="A1785" s="220">
        <v>1834</v>
      </c>
      <c r="B1785" s="221" t="s">
        <v>3983</v>
      </c>
      <c r="C1785" s="222" t="s">
        <v>3984</v>
      </c>
      <c r="D1785" s="221" t="s">
        <v>3862</v>
      </c>
      <c r="E1785" s="221" t="s">
        <v>27</v>
      </c>
      <c r="F1785" s="223">
        <v>0</v>
      </c>
      <c r="G1785" s="221" t="s">
        <v>71</v>
      </c>
      <c r="H1785" s="221" t="s">
        <v>71</v>
      </c>
      <c r="I1785" s="224"/>
    </row>
    <row r="1786" ht="17.25" customHeight="1" spans="1:9" x14ac:dyDescent="0.25">
      <c r="A1786" s="220">
        <v>1835</v>
      </c>
      <c r="B1786" s="221" t="s">
        <v>3985</v>
      </c>
      <c r="C1786" s="222" t="s">
        <v>3986</v>
      </c>
      <c r="D1786" s="221" t="s">
        <v>3862</v>
      </c>
      <c r="E1786" s="221" t="s">
        <v>27</v>
      </c>
      <c r="F1786" s="223">
        <v>0</v>
      </c>
      <c r="G1786" s="221" t="s">
        <v>71</v>
      </c>
      <c r="H1786" s="221" t="s">
        <v>71</v>
      </c>
      <c r="I1786" s="224"/>
    </row>
    <row r="1787" ht="17.25" customHeight="1" spans="1:9" x14ac:dyDescent="0.25">
      <c r="A1787" s="220">
        <v>1836</v>
      </c>
      <c r="B1787" s="221" t="s">
        <v>3987</v>
      </c>
      <c r="C1787" s="222" t="s">
        <v>3988</v>
      </c>
      <c r="D1787" s="221" t="s">
        <v>3862</v>
      </c>
      <c r="E1787" s="221" t="s">
        <v>27</v>
      </c>
      <c r="F1787" s="223">
        <v>0</v>
      </c>
      <c r="G1787" s="221" t="s">
        <v>71</v>
      </c>
      <c r="H1787" s="221" t="s">
        <v>71</v>
      </c>
      <c r="I1787" s="224"/>
    </row>
    <row r="1788" ht="17.25" customHeight="1" spans="1:9" x14ac:dyDescent="0.25">
      <c r="A1788" s="220">
        <v>1837</v>
      </c>
      <c r="B1788" s="221" t="s">
        <v>3989</v>
      </c>
      <c r="C1788" s="222" t="s">
        <v>3990</v>
      </c>
      <c r="D1788" s="221" t="s">
        <v>3862</v>
      </c>
      <c r="E1788" s="221" t="s">
        <v>27</v>
      </c>
      <c r="F1788" s="223">
        <v>0</v>
      </c>
      <c r="G1788" s="221" t="s">
        <v>71</v>
      </c>
      <c r="H1788" s="221" t="s">
        <v>71</v>
      </c>
      <c r="I1788" s="224"/>
    </row>
    <row r="1789" ht="17.25" customHeight="1" spans="1:9" x14ac:dyDescent="0.25">
      <c r="A1789" s="220">
        <v>1838</v>
      </c>
      <c r="B1789" s="221" t="s">
        <v>3991</v>
      </c>
      <c r="C1789" s="222" t="s">
        <v>3992</v>
      </c>
      <c r="D1789" s="221" t="s">
        <v>3862</v>
      </c>
      <c r="E1789" s="221" t="s">
        <v>27</v>
      </c>
      <c r="F1789" s="223">
        <v>0</v>
      </c>
      <c r="G1789" s="221" t="s">
        <v>71</v>
      </c>
      <c r="H1789" s="221" t="s">
        <v>71</v>
      </c>
      <c r="I1789" s="224"/>
    </row>
    <row r="1790" ht="17.25" customHeight="1" spans="1:9" x14ac:dyDescent="0.25">
      <c r="A1790" s="220">
        <v>1839</v>
      </c>
      <c r="B1790" s="221" t="s">
        <v>3993</v>
      </c>
      <c r="C1790" s="222" t="s">
        <v>3994</v>
      </c>
      <c r="D1790" s="221" t="s">
        <v>3862</v>
      </c>
      <c r="E1790" s="221" t="s">
        <v>27</v>
      </c>
      <c r="F1790" s="223">
        <v>0</v>
      </c>
      <c r="G1790" s="221" t="s">
        <v>71</v>
      </c>
      <c r="H1790" s="221" t="s">
        <v>71</v>
      </c>
      <c r="I1790" s="224"/>
    </row>
    <row r="1791" ht="17.25" customHeight="1" spans="1:9" x14ac:dyDescent="0.25">
      <c r="A1791" s="220">
        <v>1840</v>
      </c>
      <c r="B1791" s="221" t="s">
        <v>3995</v>
      </c>
      <c r="C1791" s="222" t="s">
        <v>3996</v>
      </c>
      <c r="D1791" s="221" t="s">
        <v>3862</v>
      </c>
      <c r="E1791" s="221" t="s">
        <v>27</v>
      </c>
      <c r="F1791" s="223">
        <v>0</v>
      </c>
      <c r="G1791" s="221" t="s">
        <v>71</v>
      </c>
      <c r="H1791" s="221" t="s">
        <v>71</v>
      </c>
      <c r="I1791" s="224"/>
    </row>
    <row r="1792" ht="17.25" customHeight="1" spans="1:9" x14ac:dyDescent="0.25">
      <c r="A1792" s="220">
        <v>1841</v>
      </c>
      <c r="B1792" s="221" t="s">
        <v>3997</v>
      </c>
      <c r="C1792" s="222" t="s">
        <v>3998</v>
      </c>
      <c r="D1792" s="221" t="s">
        <v>3862</v>
      </c>
      <c r="E1792" s="221" t="s">
        <v>27</v>
      </c>
      <c r="F1792" s="223">
        <v>0</v>
      </c>
      <c r="G1792" s="221" t="s">
        <v>71</v>
      </c>
      <c r="H1792" s="221" t="s">
        <v>71</v>
      </c>
      <c r="I1792" s="224"/>
    </row>
    <row r="1793" ht="17.25" customHeight="1" spans="1:9" x14ac:dyDescent="0.25">
      <c r="A1793" s="220">
        <v>1842</v>
      </c>
      <c r="B1793" s="221" t="s">
        <v>3999</v>
      </c>
      <c r="C1793" s="222" t="s">
        <v>4000</v>
      </c>
      <c r="D1793" s="221" t="s">
        <v>3862</v>
      </c>
      <c r="E1793" s="221" t="s">
        <v>27</v>
      </c>
      <c r="F1793" s="223">
        <v>0</v>
      </c>
      <c r="G1793" s="221" t="s">
        <v>71</v>
      </c>
      <c r="H1793" s="221" t="s">
        <v>71</v>
      </c>
      <c r="I1793" s="224"/>
    </row>
    <row r="1794" ht="17.25" customHeight="1" spans="1:9" x14ac:dyDescent="0.25">
      <c r="A1794" s="220">
        <v>1843</v>
      </c>
      <c r="B1794" s="221" t="s">
        <v>4001</v>
      </c>
      <c r="C1794" s="222" t="s">
        <v>4002</v>
      </c>
      <c r="D1794" s="221" t="s">
        <v>3862</v>
      </c>
      <c r="E1794" s="221" t="s">
        <v>27</v>
      </c>
      <c r="F1794" s="223">
        <v>0</v>
      </c>
      <c r="G1794" s="221" t="s">
        <v>71</v>
      </c>
      <c r="H1794" s="221" t="s">
        <v>71</v>
      </c>
      <c r="I1794" s="224"/>
    </row>
    <row r="1795" ht="17.25" customHeight="1" spans="1:9" x14ac:dyDescent="0.25">
      <c r="A1795" s="220">
        <v>1844</v>
      </c>
      <c r="B1795" s="221" t="s">
        <v>4003</v>
      </c>
      <c r="C1795" s="222" t="s">
        <v>4004</v>
      </c>
      <c r="D1795" s="221" t="s">
        <v>3862</v>
      </c>
      <c r="E1795" s="221" t="s">
        <v>27</v>
      </c>
      <c r="F1795" s="223">
        <v>0</v>
      </c>
      <c r="G1795" s="221" t="s">
        <v>71</v>
      </c>
      <c r="H1795" s="221" t="s">
        <v>71</v>
      </c>
      <c r="I1795" s="224"/>
    </row>
    <row r="1796" ht="17.25" customHeight="1" spans="1:9" x14ac:dyDescent="0.25">
      <c r="A1796" s="220">
        <v>1845</v>
      </c>
      <c r="B1796" s="221" t="s">
        <v>4005</v>
      </c>
      <c r="C1796" s="222" t="s">
        <v>4006</v>
      </c>
      <c r="D1796" s="221" t="s">
        <v>3862</v>
      </c>
      <c r="E1796" s="221" t="s">
        <v>27</v>
      </c>
      <c r="F1796" s="223">
        <v>0</v>
      </c>
      <c r="G1796" s="221" t="s">
        <v>71</v>
      </c>
      <c r="H1796" s="221" t="s">
        <v>71</v>
      </c>
      <c r="I1796" s="224"/>
    </row>
    <row r="1797" ht="17.25" customHeight="1" spans="1:9" x14ac:dyDescent="0.25">
      <c r="A1797" s="220">
        <v>1846</v>
      </c>
      <c r="B1797" s="221" t="s">
        <v>4007</v>
      </c>
      <c r="C1797" s="222" t="s">
        <v>4008</v>
      </c>
      <c r="D1797" s="221" t="s">
        <v>3862</v>
      </c>
      <c r="E1797" s="221" t="s">
        <v>27</v>
      </c>
      <c r="F1797" s="223">
        <v>0</v>
      </c>
      <c r="G1797" s="221" t="s">
        <v>71</v>
      </c>
      <c r="H1797" s="221" t="s">
        <v>71</v>
      </c>
      <c r="I1797" s="222"/>
    </row>
    <row r="1798" ht="17.25" customHeight="1" spans="1:9" x14ac:dyDescent="0.25">
      <c r="A1798" s="220">
        <v>1847</v>
      </c>
      <c r="B1798" s="221" t="s">
        <v>4009</v>
      </c>
      <c r="C1798" s="222" t="s">
        <v>4010</v>
      </c>
      <c r="D1798" s="221" t="s">
        <v>3862</v>
      </c>
      <c r="E1798" s="221" t="s">
        <v>27</v>
      </c>
      <c r="F1798" s="223">
        <v>0</v>
      </c>
      <c r="G1798" s="221" t="s">
        <v>71</v>
      </c>
      <c r="H1798" s="221" t="s">
        <v>71</v>
      </c>
      <c r="I1798" s="224"/>
    </row>
    <row r="1799" ht="17.25" customHeight="1" spans="1:9" x14ac:dyDescent="0.25">
      <c r="A1799" s="220">
        <v>1848</v>
      </c>
      <c r="B1799" s="221" t="s">
        <v>4011</v>
      </c>
      <c r="C1799" s="222" t="s">
        <v>4012</v>
      </c>
      <c r="D1799" s="221" t="s">
        <v>3862</v>
      </c>
      <c r="E1799" s="221" t="s">
        <v>27</v>
      </c>
      <c r="F1799" s="223">
        <v>0</v>
      </c>
      <c r="G1799" s="221" t="s">
        <v>71</v>
      </c>
      <c r="H1799" s="221" t="s">
        <v>71</v>
      </c>
      <c r="I1799" s="224"/>
    </row>
    <row r="1800" ht="17.25" customHeight="1" spans="1:9" x14ac:dyDescent="0.25">
      <c r="A1800" s="220">
        <v>1849</v>
      </c>
      <c r="B1800" s="221" t="s">
        <v>4013</v>
      </c>
      <c r="C1800" s="222" t="s">
        <v>4014</v>
      </c>
      <c r="D1800" s="221" t="s">
        <v>3862</v>
      </c>
      <c r="E1800" s="221" t="s">
        <v>27</v>
      </c>
      <c r="F1800" s="223">
        <v>0</v>
      </c>
      <c r="G1800" s="221" t="s">
        <v>71</v>
      </c>
      <c r="H1800" s="221" t="s">
        <v>71</v>
      </c>
      <c r="I1800" s="224"/>
    </row>
    <row r="1801" ht="17.25" customHeight="1" spans="1:9" x14ac:dyDescent="0.25">
      <c r="A1801" s="220">
        <v>1850</v>
      </c>
      <c r="B1801" s="221" t="s">
        <v>4015</v>
      </c>
      <c r="C1801" s="222" t="s">
        <v>4016</v>
      </c>
      <c r="D1801" s="221" t="s">
        <v>3862</v>
      </c>
      <c r="E1801" s="221" t="s">
        <v>27</v>
      </c>
      <c r="F1801" s="223">
        <v>0</v>
      </c>
      <c r="G1801" s="221" t="s">
        <v>71</v>
      </c>
      <c r="H1801" s="221" t="s">
        <v>71</v>
      </c>
      <c r="I1801" s="224"/>
    </row>
    <row r="1802" ht="17.25" customHeight="1" spans="1:9" x14ac:dyDescent="0.25">
      <c r="A1802" s="220">
        <v>1851</v>
      </c>
      <c r="B1802" s="221" t="s">
        <v>4017</v>
      </c>
      <c r="C1802" s="222" t="s">
        <v>4018</v>
      </c>
      <c r="D1802" s="221" t="s">
        <v>3862</v>
      </c>
      <c r="E1802" s="221" t="s">
        <v>27</v>
      </c>
      <c r="F1802" s="223">
        <v>0</v>
      </c>
      <c r="G1802" s="221" t="s">
        <v>71</v>
      </c>
      <c r="H1802" s="221" t="s">
        <v>71</v>
      </c>
      <c r="I1802" s="224"/>
    </row>
    <row r="1803" ht="17.25" customHeight="1" spans="1:9" x14ac:dyDescent="0.25">
      <c r="A1803" s="220">
        <v>1852</v>
      </c>
      <c r="B1803" s="221" t="s">
        <v>4019</v>
      </c>
      <c r="C1803" s="222" t="s">
        <v>4020</v>
      </c>
      <c r="D1803" s="221" t="s">
        <v>3862</v>
      </c>
      <c r="E1803" s="221" t="s">
        <v>27</v>
      </c>
      <c r="F1803" s="223">
        <v>0</v>
      </c>
      <c r="G1803" s="221" t="s">
        <v>71</v>
      </c>
      <c r="H1803" s="221" t="s">
        <v>71</v>
      </c>
      <c r="I1803" s="224"/>
    </row>
    <row r="1804" ht="17.25" customHeight="1" spans="1:9" x14ac:dyDescent="0.25">
      <c r="A1804" s="220">
        <v>1853</v>
      </c>
      <c r="B1804" s="221" t="s">
        <v>4021</v>
      </c>
      <c r="C1804" s="222" t="s">
        <v>4022</v>
      </c>
      <c r="D1804" s="221" t="s">
        <v>3862</v>
      </c>
      <c r="E1804" s="221" t="s">
        <v>27</v>
      </c>
      <c r="F1804" s="223">
        <v>0</v>
      </c>
      <c r="G1804" s="221" t="s">
        <v>71</v>
      </c>
      <c r="H1804" s="221" t="s">
        <v>71</v>
      </c>
      <c r="I1804" s="224"/>
    </row>
    <row r="1805" ht="17.25" customHeight="1" spans="1:9" x14ac:dyDescent="0.25">
      <c r="A1805" s="220">
        <v>1854</v>
      </c>
      <c r="B1805" s="221" t="s">
        <v>4023</v>
      </c>
      <c r="C1805" s="222" t="s">
        <v>4024</v>
      </c>
      <c r="D1805" s="221" t="s">
        <v>3862</v>
      </c>
      <c r="E1805" s="221" t="s">
        <v>27</v>
      </c>
      <c r="F1805" s="223">
        <v>0</v>
      </c>
      <c r="G1805" s="221" t="s">
        <v>71</v>
      </c>
      <c r="H1805" s="221" t="s">
        <v>71</v>
      </c>
      <c r="I1805" s="224"/>
    </row>
    <row r="1806" ht="17.25" customHeight="1" spans="1:9" x14ac:dyDescent="0.25">
      <c r="A1806" s="220">
        <v>1855</v>
      </c>
      <c r="B1806" s="221" t="s">
        <v>4025</v>
      </c>
      <c r="C1806" s="222" t="s">
        <v>4026</v>
      </c>
      <c r="D1806" s="221" t="s">
        <v>3862</v>
      </c>
      <c r="E1806" s="221" t="s">
        <v>27</v>
      </c>
      <c r="F1806" s="223">
        <v>0</v>
      </c>
      <c r="G1806" s="221" t="s">
        <v>71</v>
      </c>
      <c r="H1806" s="221" t="s">
        <v>71</v>
      </c>
      <c r="I1806" s="224"/>
    </row>
    <row r="1807" ht="17.25" customHeight="1" spans="1:9" x14ac:dyDescent="0.25">
      <c r="A1807" s="220">
        <v>1856</v>
      </c>
      <c r="B1807" s="221" t="s">
        <v>4027</v>
      </c>
      <c r="C1807" s="222" t="s">
        <v>4028</v>
      </c>
      <c r="D1807" s="221" t="s">
        <v>3862</v>
      </c>
      <c r="E1807" s="221" t="s">
        <v>27</v>
      </c>
      <c r="F1807" s="223">
        <v>0</v>
      </c>
      <c r="G1807" s="221" t="s">
        <v>71</v>
      </c>
      <c r="H1807" s="221" t="s">
        <v>71</v>
      </c>
      <c r="I1807" s="224"/>
    </row>
    <row r="1808" ht="17.25" customHeight="1" spans="1:9" x14ac:dyDescent="0.25">
      <c r="A1808" s="220">
        <v>1857</v>
      </c>
      <c r="B1808" s="221" t="s">
        <v>4029</v>
      </c>
      <c r="C1808" s="222" t="s">
        <v>4030</v>
      </c>
      <c r="D1808" s="221" t="s">
        <v>3862</v>
      </c>
      <c r="E1808" s="221" t="s">
        <v>27</v>
      </c>
      <c r="F1808" s="223">
        <v>0</v>
      </c>
      <c r="G1808" s="221" t="s">
        <v>71</v>
      </c>
      <c r="H1808" s="221" t="s">
        <v>71</v>
      </c>
      <c r="I1808" s="222" t="s">
        <v>4031</v>
      </c>
    </row>
    <row r="1809" ht="17.25" customHeight="1" spans="1:9" x14ac:dyDescent="0.25">
      <c r="A1809" s="220">
        <v>1858</v>
      </c>
      <c r="B1809" s="221" t="s">
        <v>4032</v>
      </c>
      <c r="C1809" s="222" t="s">
        <v>4033</v>
      </c>
      <c r="D1809" s="221" t="s">
        <v>3862</v>
      </c>
      <c r="E1809" s="221" t="s">
        <v>27</v>
      </c>
      <c r="F1809" s="223">
        <v>0</v>
      </c>
      <c r="G1809" s="221" t="s">
        <v>71</v>
      </c>
      <c r="H1809" s="221" t="s">
        <v>71</v>
      </c>
      <c r="I1809" s="224"/>
    </row>
    <row r="1810" ht="17.25" customHeight="1" spans="1:9" x14ac:dyDescent="0.25">
      <c r="A1810" s="220">
        <v>1859</v>
      </c>
      <c r="B1810" s="221" t="s">
        <v>4034</v>
      </c>
      <c r="C1810" s="222" t="s">
        <v>4035</v>
      </c>
      <c r="D1810" s="221" t="s">
        <v>3862</v>
      </c>
      <c r="E1810" s="221" t="s">
        <v>27</v>
      </c>
      <c r="F1810" s="223">
        <v>0</v>
      </c>
      <c r="G1810" s="221" t="s">
        <v>71</v>
      </c>
      <c r="H1810" s="221" t="s">
        <v>71</v>
      </c>
      <c r="I1810" s="224"/>
    </row>
    <row r="1811" ht="17.25" customHeight="1" spans="1:9" x14ac:dyDescent="0.25">
      <c r="A1811" s="220">
        <v>1860</v>
      </c>
      <c r="B1811" s="221" t="s">
        <v>4036</v>
      </c>
      <c r="C1811" s="222" t="s">
        <v>4037</v>
      </c>
      <c r="D1811" s="221" t="s">
        <v>3862</v>
      </c>
      <c r="E1811" s="221" t="s">
        <v>27</v>
      </c>
      <c r="F1811" s="223">
        <v>0</v>
      </c>
      <c r="G1811" s="221" t="s">
        <v>71</v>
      </c>
      <c r="H1811" s="221" t="s">
        <v>71</v>
      </c>
      <c r="I1811" s="224"/>
    </row>
    <row r="1812" ht="17.25" customHeight="1" spans="1:9" x14ac:dyDescent="0.25">
      <c r="A1812" s="220">
        <v>1861</v>
      </c>
      <c r="B1812" s="221" t="s">
        <v>4038</v>
      </c>
      <c r="C1812" s="222" t="s">
        <v>4039</v>
      </c>
      <c r="D1812" s="221" t="s">
        <v>3862</v>
      </c>
      <c r="E1812" s="221" t="s">
        <v>27</v>
      </c>
      <c r="F1812" s="223">
        <v>0</v>
      </c>
      <c r="G1812" s="221" t="s">
        <v>71</v>
      </c>
      <c r="H1812" s="221" t="s">
        <v>71</v>
      </c>
      <c r="I1812" s="224"/>
    </row>
    <row r="1813" ht="17.25" customHeight="1" spans="1:9" x14ac:dyDescent="0.25">
      <c r="A1813" s="220">
        <v>1862</v>
      </c>
      <c r="B1813" s="221" t="s">
        <v>4040</v>
      </c>
      <c r="C1813" s="222" t="s">
        <v>4041</v>
      </c>
      <c r="D1813" s="221" t="s">
        <v>3862</v>
      </c>
      <c r="E1813" s="221" t="s">
        <v>27</v>
      </c>
      <c r="F1813" s="223">
        <v>0</v>
      </c>
      <c r="G1813" s="221" t="s">
        <v>71</v>
      </c>
      <c r="H1813" s="221" t="s">
        <v>71</v>
      </c>
      <c r="I1813" s="224"/>
    </row>
    <row r="1814" ht="17.25" customHeight="1" spans="1:9" x14ac:dyDescent="0.25">
      <c r="A1814" s="220">
        <v>1863</v>
      </c>
      <c r="B1814" s="221" t="s">
        <v>4042</v>
      </c>
      <c r="C1814" s="222" t="s">
        <v>4043</v>
      </c>
      <c r="D1814" s="221" t="s">
        <v>3862</v>
      </c>
      <c r="E1814" s="221" t="s">
        <v>27</v>
      </c>
      <c r="F1814" s="223">
        <v>0</v>
      </c>
      <c r="G1814" s="221" t="s">
        <v>71</v>
      </c>
      <c r="H1814" s="221" t="s">
        <v>71</v>
      </c>
      <c r="I1814" s="224"/>
    </row>
    <row r="1815" ht="17.25" customHeight="1" spans="1:9" x14ac:dyDescent="0.25">
      <c r="A1815" s="220">
        <v>1864</v>
      </c>
      <c r="B1815" s="221" t="s">
        <v>4044</v>
      </c>
      <c r="C1815" s="222" t="s">
        <v>4045</v>
      </c>
      <c r="D1815" s="221" t="s">
        <v>3862</v>
      </c>
      <c r="E1815" s="221" t="s">
        <v>27</v>
      </c>
      <c r="F1815" s="223">
        <v>0</v>
      </c>
      <c r="G1815" s="221" t="s">
        <v>71</v>
      </c>
      <c r="H1815" s="221" t="s">
        <v>71</v>
      </c>
      <c r="I1815" s="224"/>
    </row>
    <row r="1816" ht="17.25" customHeight="1" spans="1:9" x14ac:dyDescent="0.25">
      <c r="A1816" s="220">
        <v>1865</v>
      </c>
      <c r="B1816" s="221" t="s">
        <v>4046</v>
      </c>
      <c r="C1816" s="222" t="s">
        <v>4047</v>
      </c>
      <c r="D1816" s="221" t="s">
        <v>3862</v>
      </c>
      <c r="E1816" s="221" t="s">
        <v>27</v>
      </c>
      <c r="F1816" s="223">
        <v>0</v>
      </c>
      <c r="G1816" s="221" t="s">
        <v>71</v>
      </c>
      <c r="H1816" s="221" t="s">
        <v>71</v>
      </c>
      <c r="I1816" s="224"/>
    </row>
    <row r="1817" ht="17.25" customHeight="1" spans="1:9" x14ac:dyDescent="0.25">
      <c r="A1817" s="220">
        <v>1866</v>
      </c>
      <c r="B1817" s="221" t="s">
        <v>4048</v>
      </c>
      <c r="C1817" s="222" t="s">
        <v>4049</v>
      </c>
      <c r="D1817" s="221" t="s">
        <v>3862</v>
      </c>
      <c r="E1817" s="221" t="s">
        <v>27</v>
      </c>
      <c r="F1817" s="223">
        <v>0</v>
      </c>
      <c r="G1817" s="221" t="s">
        <v>71</v>
      </c>
      <c r="H1817" s="221" t="s">
        <v>71</v>
      </c>
      <c r="I1817" s="224"/>
    </row>
    <row r="1818" ht="17.25" customHeight="1" spans="1:9" x14ac:dyDescent="0.25">
      <c r="A1818" s="220">
        <v>1867</v>
      </c>
      <c r="B1818" s="221" t="s">
        <v>4050</v>
      </c>
      <c r="C1818" s="222" t="s">
        <v>4051</v>
      </c>
      <c r="D1818" s="221" t="s">
        <v>3862</v>
      </c>
      <c r="E1818" s="221" t="s">
        <v>27</v>
      </c>
      <c r="F1818" s="223">
        <v>0</v>
      </c>
      <c r="G1818" s="221" t="s">
        <v>71</v>
      </c>
      <c r="H1818" s="221" t="s">
        <v>71</v>
      </c>
      <c r="I1818" s="224"/>
    </row>
    <row r="1819" ht="17.25" customHeight="1" spans="1:9" x14ac:dyDescent="0.25">
      <c r="A1819" s="220">
        <v>1868</v>
      </c>
      <c r="B1819" s="221" t="s">
        <v>4052</v>
      </c>
      <c r="C1819" s="222" t="s">
        <v>4053</v>
      </c>
      <c r="D1819" s="221" t="s">
        <v>3862</v>
      </c>
      <c r="E1819" s="221" t="s">
        <v>27</v>
      </c>
      <c r="F1819" s="223">
        <v>0</v>
      </c>
      <c r="G1819" s="221" t="s">
        <v>71</v>
      </c>
      <c r="H1819" s="221" t="s">
        <v>71</v>
      </c>
      <c r="I1819" s="224"/>
    </row>
    <row r="1820" ht="17.25" customHeight="1" spans="1:9" x14ac:dyDescent="0.25">
      <c r="A1820" s="220">
        <v>1869</v>
      </c>
      <c r="B1820" s="221" t="s">
        <v>4054</v>
      </c>
      <c r="C1820" s="222" t="s">
        <v>4055</v>
      </c>
      <c r="D1820" s="221" t="s">
        <v>3862</v>
      </c>
      <c r="E1820" s="221" t="s">
        <v>27</v>
      </c>
      <c r="F1820" s="223">
        <v>0</v>
      </c>
      <c r="G1820" s="221" t="s">
        <v>71</v>
      </c>
      <c r="H1820" s="221" t="s">
        <v>71</v>
      </c>
      <c r="I1820" s="224"/>
    </row>
    <row r="1821" ht="17.25" customHeight="1" spans="1:9" x14ac:dyDescent="0.25">
      <c r="A1821" s="220">
        <v>1870</v>
      </c>
      <c r="B1821" s="221" t="s">
        <v>4056</v>
      </c>
      <c r="C1821" s="222" t="s">
        <v>4057</v>
      </c>
      <c r="D1821" s="221" t="s">
        <v>3862</v>
      </c>
      <c r="E1821" s="221" t="s">
        <v>27</v>
      </c>
      <c r="F1821" s="223">
        <v>0</v>
      </c>
      <c r="G1821" s="221" t="s">
        <v>71</v>
      </c>
      <c r="H1821" s="221" t="s">
        <v>71</v>
      </c>
      <c r="I1821" s="224"/>
    </row>
    <row r="1822" ht="17.25" customHeight="1" spans="1:9" x14ac:dyDescent="0.25">
      <c r="A1822" s="220">
        <v>1871</v>
      </c>
      <c r="B1822" s="221" t="s">
        <v>4058</v>
      </c>
      <c r="C1822" s="222" t="s">
        <v>4059</v>
      </c>
      <c r="D1822" s="221" t="s">
        <v>3862</v>
      </c>
      <c r="E1822" s="221" t="s">
        <v>27</v>
      </c>
      <c r="F1822" s="223">
        <v>0</v>
      </c>
      <c r="G1822" s="221" t="s">
        <v>71</v>
      </c>
      <c r="H1822" s="221" t="s">
        <v>71</v>
      </c>
      <c r="I1822" s="224"/>
    </row>
    <row r="1823" ht="17.25" customHeight="1" spans="1:9" x14ac:dyDescent="0.25">
      <c r="A1823" s="220">
        <v>1872</v>
      </c>
      <c r="B1823" s="221" t="s">
        <v>4060</v>
      </c>
      <c r="C1823" s="222" t="s">
        <v>4061</v>
      </c>
      <c r="D1823" s="221" t="s">
        <v>3862</v>
      </c>
      <c r="E1823" s="221" t="s">
        <v>27</v>
      </c>
      <c r="F1823" s="223">
        <v>0</v>
      </c>
      <c r="G1823" s="221" t="s">
        <v>71</v>
      </c>
      <c r="H1823" s="221" t="s">
        <v>71</v>
      </c>
      <c r="I1823" s="224"/>
    </row>
    <row r="1824" ht="17.25" customHeight="1" spans="1:9" x14ac:dyDescent="0.25">
      <c r="A1824" s="220">
        <v>1873</v>
      </c>
      <c r="B1824" s="221" t="s">
        <v>4062</v>
      </c>
      <c r="C1824" s="222" t="s">
        <v>4063</v>
      </c>
      <c r="D1824" s="221" t="s">
        <v>3862</v>
      </c>
      <c r="E1824" s="221" t="s">
        <v>27</v>
      </c>
      <c r="F1824" s="223">
        <v>0</v>
      </c>
      <c r="G1824" s="221" t="s">
        <v>71</v>
      </c>
      <c r="H1824" s="221" t="s">
        <v>71</v>
      </c>
      <c r="I1824" s="224"/>
    </row>
    <row r="1825" ht="17.25" customHeight="1" spans="1:9" x14ac:dyDescent="0.25">
      <c r="A1825" s="220">
        <v>1874</v>
      </c>
      <c r="B1825" s="221" t="s">
        <v>4064</v>
      </c>
      <c r="C1825" s="222" t="s">
        <v>4065</v>
      </c>
      <c r="D1825" s="221" t="s">
        <v>3862</v>
      </c>
      <c r="E1825" s="221" t="s">
        <v>27</v>
      </c>
      <c r="F1825" s="223">
        <v>0</v>
      </c>
      <c r="G1825" s="221" t="s">
        <v>71</v>
      </c>
      <c r="H1825" s="221" t="s">
        <v>71</v>
      </c>
      <c r="I1825" s="222" t="s">
        <v>656</v>
      </c>
    </row>
    <row r="1826" ht="17.25" customHeight="1" spans="1:9" x14ac:dyDescent="0.25">
      <c r="A1826" s="220">
        <v>1875</v>
      </c>
      <c r="B1826" s="221" t="s">
        <v>4066</v>
      </c>
      <c r="C1826" s="222" t="s">
        <v>4067</v>
      </c>
      <c r="D1826" s="221" t="s">
        <v>3862</v>
      </c>
      <c r="E1826" s="221" t="s">
        <v>27</v>
      </c>
      <c r="F1826" s="223">
        <v>0</v>
      </c>
      <c r="G1826" s="221" t="s">
        <v>71</v>
      </c>
      <c r="H1826" s="221" t="s">
        <v>71</v>
      </c>
      <c r="I1826" s="224"/>
    </row>
    <row r="1827" ht="17.25" customHeight="1" spans="1:9" x14ac:dyDescent="0.25">
      <c r="A1827" s="220">
        <v>1876</v>
      </c>
      <c r="B1827" s="221" t="s">
        <v>4068</v>
      </c>
      <c r="C1827" s="222" t="s">
        <v>4069</v>
      </c>
      <c r="D1827" s="221" t="s">
        <v>3862</v>
      </c>
      <c r="E1827" s="221" t="s">
        <v>27</v>
      </c>
      <c r="F1827" s="223">
        <v>0</v>
      </c>
      <c r="G1827" s="221" t="s">
        <v>71</v>
      </c>
      <c r="H1827" s="221" t="s">
        <v>71</v>
      </c>
      <c r="I1827" s="224"/>
    </row>
    <row r="1828" ht="17.25" customHeight="1" spans="1:9" x14ac:dyDescent="0.25">
      <c r="A1828" s="220">
        <v>1877</v>
      </c>
      <c r="B1828" s="221" t="s">
        <v>4070</v>
      </c>
      <c r="C1828" s="222" t="s">
        <v>4071</v>
      </c>
      <c r="D1828" s="221" t="s">
        <v>3862</v>
      </c>
      <c r="E1828" s="221" t="s">
        <v>27</v>
      </c>
      <c r="F1828" s="223">
        <v>0</v>
      </c>
      <c r="G1828" s="221" t="s">
        <v>71</v>
      </c>
      <c r="H1828" s="221" t="s">
        <v>71</v>
      </c>
      <c r="I1828" s="224"/>
    </row>
    <row r="1829" ht="17.25" customHeight="1" spans="1:9" x14ac:dyDescent="0.25">
      <c r="A1829" s="220">
        <v>1878</v>
      </c>
      <c r="B1829" s="221" t="s">
        <v>4072</v>
      </c>
      <c r="C1829" s="222" t="s">
        <v>4073</v>
      </c>
      <c r="D1829" s="221" t="s">
        <v>3862</v>
      </c>
      <c r="E1829" s="221" t="s">
        <v>27</v>
      </c>
      <c r="F1829" s="223">
        <v>0</v>
      </c>
      <c r="G1829" s="221" t="s">
        <v>71</v>
      </c>
      <c r="H1829" s="221" t="s">
        <v>71</v>
      </c>
      <c r="I1829" s="224"/>
    </row>
    <row r="1830" ht="17.25" customHeight="1" spans="1:9" x14ac:dyDescent="0.25">
      <c r="A1830" s="220">
        <v>1879</v>
      </c>
      <c r="B1830" s="221" t="s">
        <v>4074</v>
      </c>
      <c r="C1830" s="222" t="s">
        <v>4075</v>
      </c>
      <c r="D1830" s="221" t="s">
        <v>3862</v>
      </c>
      <c r="E1830" s="221" t="s">
        <v>27</v>
      </c>
      <c r="F1830" s="223">
        <v>0</v>
      </c>
      <c r="G1830" s="221" t="s">
        <v>71</v>
      </c>
      <c r="H1830" s="221" t="s">
        <v>71</v>
      </c>
      <c r="I1830" s="224"/>
    </row>
    <row r="1831" ht="17.25" customHeight="1" spans="1:9" x14ac:dyDescent="0.25">
      <c r="A1831" s="220">
        <v>1880</v>
      </c>
      <c r="B1831" s="221" t="s">
        <v>4076</v>
      </c>
      <c r="C1831" s="222" t="s">
        <v>4077</v>
      </c>
      <c r="D1831" s="221" t="s">
        <v>3862</v>
      </c>
      <c r="E1831" s="221" t="s">
        <v>27</v>
      </c>
      <c r="F1831" s="223">
        <v>0</v>
      </c>
      <c r="G1831" s="221" t="s">
        <v>71</v>
      </c>
      <c r="H1831" s="221" t="s">
        <v>71</v>
      </c>
      <c r="I1831" s="224"/>
    </row>
    <row r="1832" ht="17.25" customHeight="1" spans="1:9" x14ac:dyDescent="0.25">
      <c r="A1832" s="220">
        <v>1881</v>
      </c>
      <c r="B1832" s="221" t="s">
        <v>4078</v>
      </c>
      <c r="C1832" s="222" t="s">
        <v>4079</v>
      </c>
      <c r="D1832" s="221" t="s">
        <v>3862</v>
      </c>
      <c r="E1832" s="221" t="s">
        <v>27</v>
      </c>
      <c r="F1832" s="223">
        <v>0</v>
      </c>
      <c r="G1832" s="221" t="s">
        <v>71</v>
      </c>
      <c r="H1832" s="221" t="s">
        <v>71</v>
      </c>
      <c r="I1832" s="224"/>
    </row>
    <row r="1833" ht="17.25" customHeight="1" spans="1:9" x14ac:dyDescent="0.25">
      <c r="A1833" s="220">
        <v>1882</v>
      </c>
      <c r="B1833" s="221" t="s">
        <v>4080</v>
      </c>
      <c r="C1833" s="222" t="s">
        <v>4081</v>
      </c>
      <c r="D1833" s="221" t="s">
        <v>3862</v>
      </c>
      <c r="E1833" s="221" t="s">
        <v>27</v>
      </c>
      <c r="F1833" s="223">
        <v>0</v>
      </c>
      <c r="G1833" s="221" t="s">
        <v>71</v>
      </c>
      <c r="H1833" s="221" t="s">
        <v>71</v>
      </c>
      <c r="I1833" s="224"/>
    </row>
    <row r="1834" ht="17.25" customHeight="1" spans="1:9" x14ac:dyDescent="0.25">
      <c r="A1834" s="220">
        <v>1883</v>
      </c>
      <c r="B1834" s="221" t="s">
        <v>4082</v>
      </c>
      <c r="C1834" s="222" t="s">
        <v>4083</v>
      </c>
      <c r="D1834" s="221" t="s">
        <v>3862</v>
      </c>
      <c r="E1834" s="221" t="s">
        <v>27</v>
      </c>
      <c r="F1834" s="223">
        <v>0</v>
      </c>
      <c r="G1834" s="221" t="s">
        <v>71</v>
      </c>
      <c r="H1834" s="221" t="s">
        <v>71</v>
      </c>
      <c r="I1834" s="224"/>
    </row>
    <row r="1835" ht="17.25" customHeight="1" spans="1:9" x14ac:dyDescent="0.25">
      <c r="A1835" s="220">
        <v>1884</v>
      </c>
      <c r="B1835" s="221" t="s">
        <v>4084</v>
      </c>
      <c r="C1835" s="222" t="s">
        <v>4085</v>
      </c>
      <c r="D1835" s="221" t="s">
        <v>3862</v>
      </c>
      <c r="E1835" s="221" t="s">
        <v>27</v>
      </c>
      <c r="F1835" s="223">
        <v>0</v>
      </c>
      <c r="G1835" s="221" t="s">
        <v>71</v>
      </c>
      <c r="H1835" s="221" t="s">
        <v>71</v>
      </c>
      <c r="I1835" s="224"/>
    </row>
    <row r="1836" ht="17.25" customHeight="1" spans="1:9" x14ac:dyDescent="0.25">
      <c r="A1836" s="220">
        <v>1885</v>
      </c>
      <c r="B1836" s="221" t="s">
        <v>4086</v>
      </c>
      <c r="C1836" s="222" t="s">
        <v>4087</v>
      </c>
      <c r="D1836" s="221" t="s">
        <v>3862</v>
      </c>
      <c r="E1836" s="221" t="s">
        <v>27</v>
      </c>
      <c r="F1836" s="223">
        <v>0</v>
      </c>
      <c r="G1836" s="221" t="s">
        <v>71</v>
      </c>
      <c r="H1836" s="221" t="s">
        <v>71</v>
      </c>
      <c r="I1836" s="224"/>
    </row>
    <row r="1837" ht="17.25" customHeight="1" spans="1:9" x14ac:dyDescent="0.25">
      <c r="A1837" s="220">
        <v>1886</v>
      </c>
      <c r="B1837" s="221" t="s">
        <v>4088</v>
      </c>
      <c r="C1837" s="222" t="s">
        <v>4089</v>
      </c>
      <c r="D1837" s="221" t="s">
        <v>3862</v>
      </c>
      <c r="E1837" s="221" t="s">
        <v>27</v>
      </c>
      <c r="F1837" s="223">
        <v>0</v>
      </c>
      <c r="G1837" s="221" t="s">
        <v>71</v>
      </c>
      <c r="H1837" s="221" t="s">
        <v>71</v>
      </c>
      <c r="I1837" s="224"/>
    </row>
    <row r="1838" ht="17.25" customHeight="1" spans="1:9" x14ac:dyDescent="0.25">
      <c r="A1838" s="220">
        <v>1887</v>
      </c>
      <c r="B1838" s="221" t="s">
        <v>4090</v>
      </c>
      <c r="C1838" s="222" t="s">
        <v>4091</v>
      </c>
      <c r="D1838" s="221" t="s">
        <v>3862</v>
      </c>
      <c r="E1838" s="221" t="s">
        <v>27</v>
      </c>
      <c r="F1838" s="223">
        <v>0</v>
      </c>
      <c r="G1838" s="221" t="s">
        <v>71</v>
      </c>
      <c r="H1838" s="221" t="s">
        <v>71</v>
      </c>
      <c r="I1838" s="224"/>
    </row>
    <row r="1839" ht="17.25" customHeight="1" spans="1:9" x14ac:dyDescent="0.25">
      <c r="A1839" s="220">
        <v>1889</v>
      </c>
      <c r="B1839" s="221" t="s">
        <v>4092</v>
      </c>
      <c r="C1839" s="222" t="s">
        <v>4093</v>
      </c>
      <c r="D1839" s="221" t="s">
        <v>3862</v>
      </c>
      <c r="E1839" s="221" t="s">
        <v>27</v>
      </c>
      <c r="F1839" s="223">
        <v>0</v>
      </c>
      <c r="G1839" s="221" t="s">
        <v>71</v>
      </c>
      <c r="H1839" s="221" t="s">
        <v>71</v>
      </c>
      <c r="I1839" s="224"/>
    </row>
    <row r="1840" ht="17.25" customHeight="1" spans="1:9" x14ac:dyDescent="0.25">
      <c r="A1840" s="220">
        <v>1890</v>
      </c>
      <c r="B1840" s="221" t="s">
        <v>4094</v>
      </c>
      <c r="C1840" s="222" t="s">
        <v>4095</v>
      </c>
      <c r="D1840" s="221" t="s">
        <v>3862</v>
      </c>
      <c r="E1840" s="221" t="s">
        <v>27</v>
      </c>
      <c r="F1840" s="223">
        <v>0</v>
      </c>
      <c r="G1840" s="221" t="s">
        <v>71</v>
      </c>
      <c r="H1840" s="221" t="s">
        <v>71</v>
      </c>
      <c r="I1840" s="224"/>
    </row>
    <row r="1841" ht="17.25" customHeight="1" spans="1:9" x14ac:dyDescent="0.25">
      <c r="A1841" s="220">
        <v>1891</v>
      </c>
      <c r="B1841" s="221" t="s">
        <v>4096</v>
      </c>
      <c r="C1841" s="222" t="s">
        <v>4097</v>
      </c>
      <c r="D1841" s="221" t="s">
        <v>3862</v>
      </c>
      <c r="E1841" s="221" t="s">
        <v>27</v>
      </c>
      <c r="F1841" s="223">
        <v>0</v>
      </c>
      <c r="G1841" s="221" t="s">
        <v>71</v>
      </c>
      <c r="H1841" s="221" t="s">
        <v>71</v>
      </c>
      <c r="I1841" s="224"/>
    </row>
    <row r="1842" ht="17.25" customHeight="1" spans="1:9" x14ac:dyDescent="0.25">
      <c r="A1842" s="220">
        <v>1892</v>
      </c>
      <c r="B1842" s="221" t="s">
        <v>4098</v>
      </c>
      <c r="C1842" s="222" t="s">
        <v>4099</v>
      </c>
      <c r="D1842" s="221" t="s">
        <v>3862</v>
      </c>
      <c r="E1842" s="221" t="s">
        <v>27</v>
      </c>
      <c r="F1842" s="223">
        <v>0</v>
      </c>
      <c r="G1842" s="221" t="s">
        <v>71</v>
      </c>
      <c r="H1842" s="221" t="s">
        <v>71</v>
      </c>
      <c r="I1842" s="224"/>
    </row>
    <row r="1843" ht="17.25" customHeight="1" spans="1:9" x14ac:dyDescent="0.25">
      <c r="A1843" s="220">
        <v>1893</v>
      </c>
      <c r="B1843" s="221" t="s">
        <v>4100</v>
      </c>
      <c r="C1843" s="222" t="s">
        <v>4101</v>
      </c>
      <c r="D1843" s="221" t="s">
        <v>3862</v>
      </c>
      <c r="E1843" s="221" t="s">
        <v>27</v>
      </c>
      <c r="F1843" s="223">
        <v>0</v>
      </c>
      <c r="G1843" s="221" t="s">
        <v>71</v>
      </c>
      <c r="H1843" s="221" t="s">
        <v>71</v>
      </c>
      <c r="I1843" s="224"/>
    </row>
    <row r="1844" ht="17.25" customHeight="1" spans="1:9" x14ac:dyDescent="0.25">
      <c r="A1844" s="220">
        <v>1894</v>
      </c>
      <c r="B1844" s="221" t="s">
        <v>4102</v>
      </c>
      <c r="C1844" s="222" t="s">
        <v>4103</v>
      </c>
      <c r="D1844" s="221" t="s">
        <v>3862</v>
      </c>
      <c r="E1844" s="221" t="s">
        <v>27</v>
      </c>
      <c r="F1844" s="223">
        <v>0</v>
      </c>
      <c r="G1844" s="221" t="s">
        <v>71</v>
      </c>
      <c r="H1844" s="221" t="s">
        <v>71</v>
      </c>
      <c r="I1844" s="224"/>
    </row>
    <row r="1845" ht="17.25" customHeight="1" spans="1:9" x14ac:dyDescent="0.25">
      <c r="A1845" s="220">
        <v>1895</v>
      </c>
      <c r="B1845" s="221" t="s">
        <v>4104</v>
      </c>
      <c r="C1845" s="222" t="s">
        <v>4105</v>
      </c>
      <c r="D1845" s="221" t="s">
        <v>3862</v>
      </c>
      <c r="E1845" s="221" t="s">
        <v>27</v>
      </c>
      <c r="F1845" s="223">
        <v>0</v>
      </c>
      <c r="G1845" s="221" t="s">
        <v>71</v>
      </c>
      <c r="H1845" s="221" t="s">
        <v>71</v>
      </c>
      <c r="I1845" s="224"/>
    </row>
    <row r="1846" ht="17.25" customHeight="1" spans="1:9" x14ac:dyDescent="0.25">
      <c r="A1846" s="220">
        <v>1896</v>
      </c>
      <c r="B1846" s="221" t="s">
        <v>4106</v>
      </c>
      <c r="C1846" s="222" t="s">
        <v>4107</v>
      </c>
      <c r="D1846" s="221" t="s">
        <v>3862</v>
      </c>
      <c r="E1846" s="221" t="s">
        <v>27</v>
      </c>
      <c r="F1846" s="223">
        <v>0</v>
      </c>
      <c r="G1846" s="221" t="s">
        <v>71</v>
      </c>
      <c r="H1846" s="221" t="s">
        <v>71</v>
      </c>
      <c r="I1846" s="224"/>
    </row>
    <row r="1847" ht="17.25" customHeight="1" spans="1:9" x14ac:dyDescent="0.25">
      <c r="A1847" s="220">
        <v>1897</v>
      </c>
      <c r="B1847" s="221" t="s">
        <v>4108</v>
      </c>
      <c r="C1847" s="222" t="s">
        <v>4109</v>
      </c>
      <c r="D1847" s="221" t="s">
        <v>3862</v>
      </c>
      <c r="E1847" s="221" t="s">
        <v>27</v>
      </c>
      <c r="F1847" s="223">
        <v>0</v>
      </c>
      <c r="G1847" s="221" t="s">
        <v>71</v>
      </c>
      <c r="H1847" s="221" t="s">
        <v>71</v>
      </c>
      <c r="I1847" s="222" t="s">
        <v>4110</v>
      </c>
    </row>
    <row r="1848" ht="17.25" customHeight="1" spans="1:9" x14ac:dyDescent="0.25">
      <c r="A1848" s="220">
        <v>1898</v>
      </c>
      <c r="B1848" s="221" t="s">
        <v>4111</v>
      </c>
      <c r="C1848" s="222" t="s">
        <v>4112</v>
      </c>
      <c r="D1848" s="221" t="s">
        <v>3862</v>
      </c>
      <c r="E1848" s="221" t="s">
        <v>27</v>
      </c>
      <c r="F1848" s="223">
        <v>0</v>
      </c>
      <c r="G1848" s="221" t="s">
        <v>71</v>
      </c>
      <c r="H1848" s="221" t="s">
        <v>71</v>
      </c>
      <c r="I1848" s="224"/>
    </row>
    <row r="1849" ht="17.25" customHeight="1" spans="1:9" x14ac:dyDescent="0.25">
      <c r="A1849" s="220">
        <v>1899</v>
      </c>
      <c r="B1849" s="221" t="s">
        <v>4113</v>
      </c>
      <c r="C1849" s="222" t="s">
        <v>4114</v>
      </c>
      <c r="D1849" s="221" t="s">
        <v>3862</v>
      </c>
      <c r="E1849" s="221" t="s">
        <v>27</v>
      </c>
      <c r="F1849" s="223">
        <v>0</v>
      </c>
      <c r="G1849" s="221" t="s">
        <v>71</v>
      </c>
      <c r="H1849" s="221" t="s">
        <v>71</v>
      </c>
      <c r="I1849" s="224"/>
    </row>
    <row r="1850" ht="17.25" customHeight="1" spans="1:9" x14ac:dyDescent="0.25">
      <c r="A1850" s="220">
        <v>1900</v>
      </c>
      <c r="B1850" s="221" t="s">
        <v>4115</v>
      </c>
      <c r="C1850" s="222" t="s">
        <v>4116</v>
      </c>
      <c r="D1850" s="221" t="s">
        <v>3862</v>
      </c>
      <c r="E1850" s="221" t="s">
        <v>27</v>
      </c>
      <c r="F1850" s="223">
        <v>0</v>
      </c>
      <c r="G1850" s="221" t="s">
        <v>71</v>
      </c>
      <c r="H1850" s="221" t="s">
        <v>71</v>
      </c>
      <c r="I1850" s="224"/>
    </row>
    <row r="1851" ht="17.25" customHeight="1" spans="1:9" x14ac:dyDescent="0.25">
      <c r="A1851" s="220">
        <v>1901</v>
      </c>
      <c r="B1851" s="221" t="s">
        <v>4117</v>
      </c>
      <c r="C1851" s="222" t="s">
        <v>4118</v>
      </c>
      <c r="D1851" s="221" t="s">
        <v>3862</v>
      </c>
      <c r="E1851" s="221" t="s">
        <v>27</v>
      </c>
      <c r="F1851" s="223">
        <v>0</v>
      </c>
      <c r="G1851" s="221" t="s">
        <v>71</v>
      </c>
      <c r="H1851" s="221" t="s">
        <v>71</v>
      </c>
      <c r="I1851" s="224"/>
    </row>
    <row r="1852" ht="17.25" customHeight="1" spans="1:9" x14ac:dyDescent="0.25">
      <c r="A1852" s="220">
        <v>1902</v>
      </c>
      <c r="B1852" s="221" t="s">
        <v>4119</v>
      </c>
      <c r="C1852" s="222" t="s">
        <v>4120</v>
      </c>
      <c r="D1852" s="221" t="s">
        <v>3862</v>
      </c>
      <c r="E1852" s="221" t="s">
        <v>27</v>
      </c>
      <c r="F1852" s="223">
        <v>0</v>
      </c>
      <c r="G1852" s="221" t="s">
        <v>71</v>
      </c>
      <c r="H1852" s="221" t="s">
        <v>71</v>
      </c>
      <c r="I1852" s="224"/>
    </row>
    <row r="1853" ht="17.25" customHeight="1" spans="1:9" x14ac:dyDescent="0.25">
      <c r="A1853" s="220">
        <v>1903</v>
      </c>
      <c r="B1853" s="221" t="s">
        <v>4121</v>
      </c>
      <c r="C1853" s="222" t="s">
        <v>4122</v>
      </c>
      <c r="D1853" s="221" t="s">
        <v>3862</v>
      </c>
      <c r="E1853" s="221" t="s">
        <v>27</v>
      </c>
      <c r="F1853" s="223">
        <v>0</v>
      </c>
      <c r="G1853" s="221" t="s">
        <v>71</v>
      </c>
      <c r="H1853" s="221" t="s">
        <v>71</v>
      </c>
      <c r="I1853" s="224"/>
    </row>
    <row r="1854" ht="17.25" customHeight="1" spans="1:9" x14ac:dyDescent="0.25">
      <c r="A1854" s="220">
        <v>1904</v>
      </c>
      <c r="B1854" s="221" t="s">
        <v>4123</v>
      </c>
      <c r="C1854" s="222" t="s">
        <v>4124</v>
      </c>
      <c r="D1854" s="221" t="s">
        <v>3862</v>
      </c>
      <c r="E1854" s="221" t="s">
        <v>27</v>
      </c>
      <c r="F1854" s="223">
        <v>0</v>
      </c>
      <c r="G1854" s="221" t="s">
        <v>71</v>
      </c>
      <c r="H1854" s="221" t="s">
        <v>71</v>
      </c>
      <c r="I1854" s="224"/>
    </row>
    <row r="1855" ht="17.25" customHeight="1" spans="1:9" x14ac:dyDescent="0.25">
      <c r="A1855" s="220">
        <v>1905</v>
      </c>
      <c r="B1855" s="221" t="s">
        <v>4125</v>
      </c>
      <c r="C1855" s="222" t="s">
        <v>4126</v>
      </c>
      <c r="D1855" s="221" t="s">
        <v>3862</v>
      </c>
      <c r="E1855" s="221" t="s">
        <v>27</v>
      </c>
      <c r="F1855" s="223">
        <v>0</v>
      </c>
      <c r="G1855" s="221" t="s">
        <v>71</v>
      </c>
      <c r="H1855" s="221" t="s">
        <v>71</v>
      </c>
      <c r="I1855" s="224"/>
    </row>
    <row r="1856" ht="17.25" customHeight="1" spans="1:9" x14ac:dyDescent="0.25">
      <c r="A1856" s="220">
        <v>1906</v>
      </c>
      <c r="B1856" s="221" t="s">
        <v>4127</v>
      </c>
      <c r="C1856" s="222" t="s">
        <v>4128</v>
      </c>
      <c r="D1856" s="221" t="s">
        <v>3862</v>
      </c>
      <c r="E1856" s="221" t="s">
        <v>27</v>
      </c>
      <c r="F1856" s="223">
        <v>0</v>
      </c>
      <c r="G1856" s="221" t="s">
        <v>71</v>
      </c>
      <c r="H1856" s="221" t="s">
        <v>71</v>
      </c>
      <c r="I1856" s="224"/>
    </row>
    <row r="1857" ht="17.25" customHeight="1" spans="1:9" x14ac:dyDescent="0.25">
      <c r="A1857" s="220">
        <v>1907</v>
      </c>
      <c r="B1857" s="221" t="s">
        <v>4129</v>
      </c>
      <c r="C1857" s="222" t="s">
        <v>4130</v>
      </c>
      <c r="D1857" s="221" t="s">
        <v>3862</v>
      </c>
      <c r="E1857" s="221" t="s">
        <v>27</v>
      </c>
      <c r="F1857" s="223">
        <v>0</v>
      </c>
      <c r="G1857" s="221" t="s">
        <v>71</v>
      </c>
      <c r="H1857" s="221" t="s">
        <v>71</v>
      </c>
      <c r="I1857" s="224"/>
    </row>
    <row r="1858" ht="17.25" customHeight="1" spans="1:9" x14ac:dyDescent="0.25">
      <c r="A1858" s="220">
        <v>1908</v>
      </c>
      <c r="B1858" s="221" t="s">
        <v>4131</v>
      </c>
      <c r="C1858" s="222" t="s">
        <v>4132</v>
      </c>
      <c r="D1858" s="221" t="s">
        <v>3862</v>
      </c>
      <c r="E1858" s="221" t="s">
        <v>27</v>
      </c>
      <c r="F1858" s="223">
        <v>0</v>
      </c>
      <c r="G1858" s="221" t="s">
        <v>71</v>
      </c>
      <c r="H1858" s="221" t="s">
        <v>71</v>
      </c>
      <c r="I1858" s="224"/>
    </row>
    <row r="1859" ht="17.25" customHeight="1" spans="1:9" x14ac:dyDescent="0.25">
      <c r="A1859" s="220">
        <v>1909</v>
      </c>
      <c r="B1859" s="221" t="s">
        <v>4133</v>
      </c>
      <c r="C1859" s="222" t="s">
        <v>4134</v>
      </c>
      <c r="D1859" s="221" t="s">
        <v>3862</v>
      </c>
      <c r="E1859" s="221" t="s">
        <v>27</v>
      </c>
      <c r="F1859" s="223">
        <v>0</v>
      </c>
      <c r="G1859" s="221" t="s">
        <v>71</v>
      </c>
      <c r="H1859" s="221" t="s">
        <v>71</v>
      </c>
      <c r="I1859" s="224"/>
    </row>
    <row r="1860" ht="17.25" customHeight="1" spans="1:9" x14ac:dyDescent="0.25">
      <c r="A1860" s="220">
        <v>1910</v>
      </c>
      <c r="B1860" s="221" t="s">
        <v>4135</v>
      </c>
      <c r="C1860" s="222" t="s">
        <v>4136</v>
      </c>
      <c r="D1860" s="221" t="s">
        <v>3862</v>
      </c>
      <c r="E1860" s="221" t="s">
        <v>27</v>
      </c>
      <c r="F1860" s="223">
        <v>0</v>
      </c>
      <c r="G1860" s="221" t="s">
        <v>71</v>
      </c>
      <c r="H1860" s="221" t="s">
        <v>71</v>
      </c>
      <c r="I1860" s="224"/>
    </row>
    <row r="1861" ht="17.25" customHeight="1" spans="1:9" x14ac:dyDescent="0.25">
      <c r="A1861" s="220">
        <v>1911</v>
      </c>
      <c r="B1861" s="221" t="s">
        <v>4137</v>
      </c>
      <c r="C1861" s="222" t="s">
        <v>4138</v>
      </c>
      <c r="D1861" s="221" t="s">
        <v>3862</v>
      </c>
      <c r="E1861" s="221" t="s">
        <v>27</v>
      </c>
      <c r="F1861" s="223">
        <v>0</v>
      </c>
      <c r="G1861" s="221" t="s">
        <v>71</v>
      </c>
      <c r="H1861" s="221" t="s">
        <v>71</v>
      </c>
      <c r="I1861" s="224"/>
    </row>
    <row r="1862" ht="17.25" customHeight="1" spans="1:9" x14ac:dyDescent="0.25">
      <c r="A1862" s="220">
        <v>1912</v>
      </c>
      <c r="B1862" s="221" t="s">
        <v>4139</v>
      </c>
      <c r="C1862" s="222" t="s">
        <v>4140</v>
      </c>
      <c r="D1862" s="221" t="s">
        <v>3862</v>
      </c>
      <c r="E1862" s="221" t="s">
        <v>27</v>
      </c>
      <c r="F1862" s="223">
        <v>0</v>
      </c>
      <c r="G1862" s="221" t="s">
        <v>71</v>
      </c>
      <c r="H1862" s="221" t="s">
        <v>71</v>
      </c>
      <c r="I1862" s="224"/>
    </row>
    <row r="1863" ht="17.25" customHeight="1" spans="1:9" x14ac:dyDescent="0.25">
      <c r="A1863" s="220">
        <v>1913</v>
      </c>
      <c r="B1863" s="221" t="s">
        <v>4141</v>
      </c>
      <c r="C1863" s="222" t="s">
        <v>4142</v>
      </c>
      <c r="D1863" s="221" t="s">
        <v>3862</v>
      </c>
      <c r="E1863" s="221" t="s">
        <v>27</v>
      </c>
      <c r="F1863" s="223">
        <v>0</v>
      </c>
      <c r="G1863" s="221" t="s">
        <v>71</v>
      </c>
      <c r="H1863" s="221" t="s">
        <v>71</v>
      </c>
      <c r="I1863" s="224"/>
    </row>
    <row r="1864" ht="17.25" customHeight="1" spans="1:9" x14ac:dyDescent="0.25">
      <c r="A1864" s="220">
        <v>1914</v>
      </c>
      <c r="B1864" s="221" t="s">
        <v>4143</v>
      </c>
      <c r="C1864" s="222" t="s">
        <v>4144</v>
      </c>
      <c r="D1864" s="221" t="s">
        <v>3862</v>
      </c>
      <c r="E1864" s="221" t="s">
        <v>27</v>
      </c>
      <c r="F1864" s="223">
        <v>0</v>
      </c>
      <c r="G1864" s="221" t="s">
        <v>71</v>
      </c>
      <c r="H1864" s="221" t="s">
        <v>71</v>
      </c>
      <c r="I1864" s="224"/>
    </row>
    <row r="1865" ht="17.25" customHeight="1" spans="1:9" x14ac:dyDescent="0.25">
      <c r="A1865" s="220">
        <v>1915</v>
      </c>
      <c r="B1865" s="221" t="s">
        <v>4145</v>
      </c>
      <c r="C1865" s="222" t="s">
        <v>4146</v>
      </c>
      <c r="D1865" s="221" t="s">
        <v>3862</v>
      </c>
      <c r="E1865" s="221" t="s">
        <v>27</v>
      </c>
      <c r="F1865" s="223">
        <v>0</v>
      </c>
      <c r="G1865" s="221" t="s">
        <v>71</v>
      </c>
      <c r="H1865" s="221" t="s">
        <v>71</v>
      </c>
      <c r="I1865" s="224"/>
    </row>
    <row r="1866" ht="17.25" customHeight="1" spans="1:9" x14ac:dyDescent="0.25">
      <c r="A1866" s="220">
        <v>1916</v>
      </c>
      <c r="B1866" s="221" t="s">
        <v>4147</v>
      </c>
      <c r="C1866" s="222" t="s">
        <v>4148</v>
      </c>
      <c r="D1866" s="221" t="s">
        <v>3862</v>
      </c>
      <c r="E1866" s="221" t="s">
        <v>27</v>
      </c>
      <c r="F1866" s="223">
        <v>0</v>
      </c>
      <c r="G1866" s="221" t="s">
        <v>71</v>
      </c>
      <c r="H1866" s="221" t="s">
        <v>71</v>
      </c>
      <c r="I1866" s="224"/>
    </row>
    <row r="1867" ht="17.25" customHeight="1" spans="1:9" x14ac:dyDescent="0.25">
      <c r="A1867" s="220">
        <v>1917</v>
      </c>
      <c r="B1867" s="221" t="s">
        <v>4149</v>
      </c>
      <c r="C1867" s="222" t="s">
        <v>4150</v>
      </c>
      <c r="D1867" s="221" t="s">
        <v>3862</v>
      </c>
      <c r="E1867" s="221" t="s">
        <v>27</v>
      </c>
      <c r="F1867" s="223">
        <v>0</v>
      </c>
      <c r="G1867" s="221" t="s">
        <v>71</v>
      </c>
      <c r="H1867" s="221" t="s">
        <v>71</v>
      </c>
      <c r="I1867" s="224"/>
    </row>
    <row r="1868" ht="17.25" customHeight="1" spans="1:9" x14ac:dyDescent="0.25">
      <c r="A1868" s="220">
        <v>1918</v>
      </c>
      <c r="B1868" s="221" t="s">
        <v>4151</v>
      </c>
      <c r="C1868" s="222" t="s">
        <v>4152</v>
      </c>
      <c r="D1868" s="221" t="s">
        <v>3862</v>
      </c>
      <c r="E1868" s="221" t="s">
        <v>27</v>
      </c>
      <c r="F1868" s="223">
        <v>0</v>
      </c>
      <c r="G1868" s="221" t="s">
        <v>71</v>
      </c>
      <c r="H1868" s="221" t="s">
        <v>71</v>
      </c>
      <c r="I1868" s="224"/>
    </row>
    <row r="1869" ht="17.25" customHeight="1" spans="1:9" x14ac:dyDescent="0.25">
      <c r="A1869" s="220">
        <v>1919</v>
      </c>
      <c r="B1869" s="221" t="s">
        <v>4153</v>
      </c>
      <c r="C1869" s="222" t="s">
        <v>4154</v>
      </c>
      <c r="D1869" s="221" t="s">
        <v>3862</v>
      </c>
      <c r="E1869" s="221" t="s">
        <v>27</v>
      </c>
      <c r="F1869" s="223">
        <v>0</v>
      </c>
      <c r="G1869" s="221" t="s">
        <v>71</v>
      </c>
      <c r="H1869" s="221" t="s">
        <v>71</v>
      </c>
      <c r="I1869" s="222" t="s">
        <v>2014</v>
      </c>
    </row>
    <row r="1870" ht="17.25" customHeight="1" spans="1:9" x14ac:dyDescent="0.25">
      <c r="A1870" s="220">
        <v>1920</v>
      </c>
      <c r="B1870" s="221" t="s">
        <v>4155</v>
      </c>
      <c r="C1870" s="222" t="s">
        <v>4156</v>
      </c>
      <c r="D1870" s="221" t="s">
        <v>3862</v>
      </c>
      <c r="E1870" s="221" t="s">
        <v>27</v>
      </c>
      <c r="F1870" s="223">
        <v>0</v>
      </c>
      <c r="G1870" s="221" t="s">
        <v>71</v>
      </c>
      <c r="H1870" s="221" t="s">
        <v>71</v>
      </c>
      <c r="I1870" s="224"/>
    </row>
    <row r="1871" ht="17.25" customHeight="1" spans="1:9" x14ac:dyDescent="0.25">
      <c r="A1871" s="220">
        <v>1921</v>
      </c>
      <c r="B1871" s="221" t="s">
        <v>4157</v>
      </c>
      <c r="C1871" s="222" t="s">
        <v>4158</v>
      </c>
      <c r="D1871" s="221" t="s">
        <v>3862</v>
      </c>
      <c r="E1871" s="221" t="s">
        <v>27</v>
      </c>
      <c r="F1871" s="223">
        <v>0</v>
      </c>
      <c r="G1871" s="221" t="s">
        <v>71</v>
      </c>
      <c r="H1871" s="221" t="s">
        <v>71</v>
      </c>
      <c r="I1871" s="224"/>
    </row>
    <row r="1872" ht="17.25" customHeight="1" spans="1:9" x14ac:dyDescent="0.25">
      <c r="A1872" s="220">
        <v>1922</v>
      </c>
      <c r="B1872" s="221" t="s">
        <v>4159</v>
      </c>
      <c r="C1872" s="222" t="s">
        <v>4160</v>
      </c>
      <c r="D1872" s="221" t="s">
        <v>3862</v>
      </c>
      <c r="E1872" s="221" t="s">
        <v>27</v>
      </c>
      <c r="F1872" s="223">
        <v>0</v>
      </c>
      <c r="G1872" s="221" t="s">
        <v>71</v>
      </c>
      <c r="H1872" s="221" t="s">
        <v>71</v>
      </c>
      <c r="I1872" s="224"/>
    </row>
    <row r="1873" ht="17.25" customHeight="1" spans="1:9" x14ac:dyDescent="0.25">
      <c r="A1873" s="220">
        <v>1923</v>
      </c>
      <c r="B1873" s="221" t="s">
        <v>4161</v>
      </c>
      <c r="C1873" s="222" t="s">
        <v>4162</v>
      </c>
      <c r="D1873" s="221" t="s">
        <v>3862</v>
      </c>
      <c r="E1873" s="221" t="s">
        <v>27</v>
      </c>
      <c r="F1873" s="223">
        <v>0</v>
      </c>
      <c r="G1873" s="221" t="s">
        <v>71</v>
      </c>
      <c r="H1873" s="221" t="s">
        <v>71</v>
      </c>
      <c r="I1873" s="222" t="s">
        <v>2014</v>
      </c>
    </row>
    <row r="1874" ht="17.25" customHeight="1" spans="1:9" x14ac:dyDescent="0.25">
      <c r="A1874" s="220">
        <v>1924</v>
      </c>
      <c r="B1874" s="221" t="s">
        <v>4163</v>
      </c>
      <c r="C1874" s="222" t="s">
        <v>4164</v>
      </c>
      <c r="D1874" s="221" t="s">
        <v>3862</v>
      </c>
      <c r="E1874" s="221" t="s">
        <v>27</v>
      </c>
      <c r="F1874" s="223">
        <v>0</v>
      </c>
      <c r="G1874" s="221" t="s">
        <v>71</v>
      </c>
      <c r="H1874" s="221" t="s">
        <v>71</v>
      </c>
      <c r="I1874" s="224"/>
    </row>
    <row r="1875" ht="17.25" customHeight="1" spans="1:9" x14ac:dyDescent="0.25">
      <c r="A1875" s="220">
        <v>1925</v>
      </c>
      <c r="B1875" s="221" t="s">
        <v>4165</v>
      </c>
      <c r="C1875" s="222" t="s">
        <v>4166</v>
      </c>
      <c r="D1875" s="221" t="s">
        <v>3862</v>
      </c>
      <c r="E1875" s="221" t="s">
        <v>27</v>
      </c>
      <c r="F1875" s="223">
        <v>0</v>
      </c>
      <c r="G1875" s="221" t="s">
        <v>71</v>
      </c>
      <c r="H1875" s="221" t="s">
        <v>71</v>
      </c>
      <c r="I1875" s="224"/>
    </row>
    <row r="1876" ht="17.25" customHeight="1" spans="1:9" x14ac:dyDescent="0.25">
      <c r="A1876" s="220">
        <v>1926</v>
      </c>
      <c r="B1876" s="221" t="s">
        <v>4167</v>
      </c>
      <c r="C1876" s="222" t="s">
        <v>4168</v>
      </c>
      <c r="D1876" s="221" t="s">
        <v>3862</v>
      </c>
      <c r="E1876" s="221" t="s">
        <v>27</v>
      </c>
      <c r="F1876" s="223">
        <v>0</v>
      </c>
      <c r="G1876" s="221" t="s">
        <v>71</v>
      </c>
      <c r="H1876" s="221" t="s">
        <v>71</v>
      </c>
      <c r="I1876" s="224"/>
    </row>
    <row r="1877" ht="17.25" customHeight="1" spans="1:9" x14ac:dyDescent="0.25">
      <c r="A1877" s="220">
        <v>1927</v>
      </c>
      <c r="B1877" s="221" t="s">
        <v>4169</v>
      </c>
      <c r="C1877" s="222" t="s">
        <v>4170</v>
      </c>
      <c r="D1877" s="221" t="s">
        <v>3862</v>
      </c>
      <c r="E1877" s="221" t="s">
        <v>27</v>
      </c>
      <c r="F1877" s="223">
        <v>0</v>
      </c>
      <c r="G1877" s="221" t="s">
        <v>71</v>
      </c>
      <c r="H1877" s="221" t="s">
        <v>71</v>
      </c>
      <c r="I1877" s="224"/>
    </row>
    <row r="1878" ht="17.25" customHeight="1" spans="1:9" x14ac:dyDescent="0.25">
      <c r="A1878" s="220">
        <v>1928</v>
      </c>
      <c r="B1878" s="221" t="s">
        <v>4171</v>
      </c>
      <c r="C1878" s="222" t="s">
        <v>4172</v>
      </c>
      <c r="D1878" s="221" t="s">
        <v>3862</v>
      </c>
      <c r="E1878" s="221" t="s">
        <v>27</v>
      </c>
      <c r="F1878" s="223">
        <v>0</v>
      </c>
      <c r="G1878" s="221" t="s">
        <v>71</v>
      </c>
      <c r="H1878" s="221" t="s">
        <v>71</v>
      </c>
      <c r="I1878" s="224"/>
    </row>
    <row r="1879" ht="17.25" customHeight="1" spans="1:9" x14ac:dyDescent="0.25">
      <c r="A1879" s="220">
        <v>1929</v>
      </c>
      <c r="B1879" s="221" t="s">
        <v>4173</v>
      </c>
      <c r="C1879" s="222" t="s">
        <v>4174</v>
      </c>
      <c r="D1879" s="221" t="s">
        <v>3862</v>
      </c>
      <c r="E1879" s="221" t="s">
        <v>27</v>
      </c>
      <c r="F1879" s="223">
        <v>0</v>
      </c>
      <c r="G1879" s="221" t="s">
        <v>71</v>
      </c>
      <c r="H1879" s="221" t="s">
        <v>71</v>
      </c>
      <c r="I1879" s="224"/>
    </row>
    <row r="1880" ht="17.25" customHeight="1" spans="1:9" x14ac:dyDescent="0.25">
      <c r="A1880" s="220">
        <v>1930</v>
      </c>
      <c r="B1880" s="221" t="s">
        <v>4175</v>
      </c>
      <c r="C1880" s="222" t="s">
        <v>4176</v>
      </c>
      <c r="D1880" s="221" t="s">
        <v>3862</v>
      </c>
      <c r="E1880" s="221" t="s">
        <v>27</v>
      </c>
      <c r="F1880" s="223">
        <v>0</v>
      </c>
      <c r="G1880" s="221" t="s">
        <v>71</v>
      </c>
      <c r="H1880" s="221" t="s">
        <v>71</v>
      </c>
      <c r="I1880" s="224"/>
    </row>
    <row r="1881" ht="17.25" customHeight="1" spans="1:9" x14ac:dyDescent="0.25">
      <c r="A1881" s="220">
        <v>1931</v>
      </c>
      <c r="B1881" s="221" t="s">
        <v>4177</v>
      </c>
      <c r="C1881" s="222" t="s">
        <v>4178</v>
      </c>
      <c r="D1881" s="221" t="s">
        <v>3862</v>
      </c>
      <c r="E1881" s="221" t="s">
        <v>27</v>
      </c>
      <c r="F1881" s="223">
        <v>0</v>
      </c>
      <c r="G1881" s="221" t="s">
        <v>71</v>
      </c>
      <c r="H1881" s="221" t="s">
        <v>71</v>
      </c>
      <c r="I1881" s="224"/>
    </row>
    <row r="1882" ht="17.25" customHeight="1" spans="1:9" x14ac:dyDescent="0.25">
      <c r="A1882" s="220">
        <v>1932</v>
      </c>
      <c r="B1882" s="221" t="s">
        <v>4179</v>
      </c>
      <c r="C1882" s="222" t="s">
        <v>4180</v>
      </c>
      <c r="D1882" s="221" t="s">
        <v>3862</v>
      </c>
      <c r="E1882" s="221" t="s">
        <v>27</v>
      </c>
      <c r="F1882" s="223">
        <v>0</v>
      </c>
      <c r="G1882" s="221" t="s">
        <v>71</v>
      </c>
      <c r="H1882" s="221" t="s">
        <v>71</v>
      </c>
      <c r="I1882" s="224"/>
    </row>
    <row r="1883" ht="17.25" customHeight="1" spans="1:9" x14ac:dyDescent="0.25">
      <c r="A1883" s="220">
        <v>1933</v>
      </c>
      <c r="B1883" s="221" t="s">
        <v>4181</v>
      </c>
      <c r="C1883" s="222" t="s">
        <v>4182</v>
      </c>
      <c r="D1883" s="221" t="s">
        <v>3862</v>
      </c>
      <c r="E1883" s="221" t="s">
        <v>27</v>
      </c>
      <c r="F1883" s="223">
        <v>0</v>
      </c>
      <c r="G1883" s="221" t="s">
        <v>71</v>
      </c>
      <c r="H1883" s="221" t="s">
        <v>71</v>
      </c>
      <c r="I1883" s="224"/>
    </row>
    <row r="1884" ht="17.25" customHeight="1" spans="1:9" x14ac:dyDescent="0.25">
      <c r="A1884" s="220">
        <v>1934</v>
      </c>
      <c r="B1884" s="221" t="s">
        <v>4183</v>
      </c>
      <c r="C1884" s="222" t="s">
        <v>4184</v>
      </c>
      <c r="D1884" s="221" t="s">
        <v>3862</v>
      </c>
      <c r="E1884" s="221" t="s">
        <v>27</v>
      </c>
      <c r="F1884" s="223">
        <v>0</v>
      </c>
      <c r="G1884" s="221" t="s">
        <v>71</v>
      </c>
      <c r="H1884" s="221" t="s">
        <v>71</v>
      </c>
      <c r="I1884" s="224"/>
    </row>
    <row r="1885" ht="17.25" customHeight="1" spans="1:9" x14ac:dyDescent="0.25">
      <c r="A1885" s="220">
        <v>1935</v>
      </c>
      <c r="B1885" s="221" t="s">
        <v>4185</v>
      </c>
      <c r="C1885" s="222" t="s">
        <v>4186</v>
      </c>
      <c r="D1885" s="221" t="s">
        <v>3862</v>
      </c>
      <c r="E1885" s="221" t="s">
        <v>27</v>
      </c>
      <c r="F1885" s="223">
        <v>0</v>
      </c>
      <c r="G1885" s="221" t="s">
        <v>71</v>
      </c>
      <c r="H1885" s="221" t="s">
        <v>71</v>
      </c>
      <c r="I1885" s="224"/>
    </row>
    <row r="1886" ht="17.25" customHeight="1" spans="1:9" x14ac:dyDescent="0.25">
      <c r="A1886" s="220">
        <v>1936</v>
      </c>
      <c r="B1886" s="221" t="s">
        <v>4187</v>
      </c>
      <c r="C1886" s="222" t="s">
        <v>4188</v>
      </c>
      <c r="D1886" s="221" t="s">
        <v>3862</v>
      </c>
      <c r="E1886" s="221" t="s">
        <v>27</v>
      </c>
      <c r="F1886" s="223">
        <v>0</v>
      </c>
      <c r="G1886" s="221" t="s">
        <v>71</v>
      </c>
      <c r="H1886" s="221" t="s">
        <v>71</v>
      </c>
      <c r="I1886" s="224"/>
    </row>
    <row r="1887" ht="17.25" customHeight="1" spans="1:9" x14ac:dyDescent="0.25">
      <c r="A1887" s="220">
        <v>1937</v>
      </c>
      <c r="B1887" s="221" t="s">
        <v>4189</v>
      </c>
      <c r="C1887" s="222" t="s">
        <v>4190</v>
      </c>
      <c r="D1887" s="221" t="s">
        <v>3862</v>
      </c>
      <c r="E1887" s="221" t="s">
        <v>27</v>
      </c>
      <c r="F1887" s="223">
        <v>0</v>
      </c>
      <c r="G1887" s="221" t="s">
        <v>71</v>
      </c>
      <c r="H1887" s="221" t="s">
        <v>71</v>
      </c>
      <c r="I1887" s="224"/>
    </row>
    <row r="1888" ht="17.25" customHeight="1" spans="1:9" x14ac:dyDescent="0.25">
      <c r="A1888" s="220">
        <v>1938</v>
      </c>
      <c r="B1888" s="221" t="s">
        <v>4191</v>
      </c>
      <c r="C1888" s="222" t="s">
        <v>4192</v>
      </c>
      <c r="D1888" s="221" t="s">
        <v>3862</v>
      </c>
      <c r="E1888" s="221" t="s">
        <v>27</v>
      </c>
      <c r="F1888" s="223">
        <v>0</v>
      </c>
      <c r="G1888" s="221" t="s">
        <v>71</v>
      </c>
      <c r="H1888" s="221" t="s">
        <v>71</v>
      </c>
      <c r="I1888" s="224"/>
    </row>
    <row r="1889" ht="17.25" customHeight="1" spans="1:9" x14ac:dyDescent="0.25">
      <c r="A1889" s="220">
        <v>1939</v>
      </c>
      <c r="B1889" s="221" t="s">
        <v>4193</v>
      </c>
      <c r="C1889" s="222" t="s">
        <v>4194</v>
      </c>
      <c r="D1889" s="221" t="s">
        <v>3862</v>
      </c>
      <c r="E1889" s="221" t="s">
        <v>27</v>
      </c>
      <c r="F1889" s="223">
        <v>0</v>
      </c>
      <c r="G1889" s="221" t="s">
        <v>71</v>
      </c>
      <c r="H1889" s="221" t="s">
        <v>71</v>
      </c>
      <c r="I1889" s="224"/>
    </row>
    <row r="1890" ht="17.25" customHeight="1" spans="1:9" x14ac:dyDescent="0.25">
      <c r="A1890" s="220">
        <v>1940</v>
      </c>
      <c r="B1890" s="221" t="s">
        <v>4195</v>
      </c>
      <c r="C1890" s="222" t="s">
        <v>4196</v>
      </c>
      <c r="D1890" s="221" t="s">
        <v>3862</v>
      </c>
      <c r="E1890" s="221" t="s">
        <v>27</v>
      </c>
      <c r="F1890" s="223">
        <v>0</v>
      </c>
      <c r="G1890" s="221" t="s">
        <v>71</v>
      </c>
      <c r="H1890" s="221" t="s">
        <v>71</v>
      </c>
      <c r="I1890" s="222"/>
    </row>
    <row r="1891" ht="17.25" customHeight="1" spans="1:9" x14ac:dyDescent="0.25">
      <c r="A1891" s="220">
        <v>1941</v>
      </c>
      <c r="B1891" s="221" t="s">
        <v>4197</v>
      </c>
      <c r="C1891" s="222" t="s">
        <v>4198</v>
      </c>
      <c r="D1891" s="221" t="s">
        <v>3862</v>
      </c>
      <c r="E1891" s="221" t="s">
        <v>27</v>
      </c>
      <c r="F1891" s="223">
        <v>0</v>
      </c>
      <c r="G1891" s="221" t="s">
        <v>71</v>
      </c>
      <c r="H1891" s="221" t="s">
        <v>71</v>
      </c>
      <c r="I1891" s="224"/>
    </row>
    <row r="1892" ht="17.25" customHeight="1" spans="1:9" x14ac:dyDescent="0.25">
      <c r="A1892" s="220">
        <v>1942</v>
      </c>
      <c r="B1892" s="221" t="s">
        <v>4199</v>
      </c>
      <c r="C1892" s="222" t="s">
        <v>4200</v>
      </c>
      <c r="D1892" s="221" t="s">
        <v>3862</v>
      </c>
      <c r="E1892" s="221" t="s">
        <v>27</v>
      </c>
      <c r="F1892" s="223">
        <v>0</v>
      </c>
      <c r="G1892" s="221" t="s">
        <v>71</v>
      </c>
      <c r="H1892" s="221" t="s">
        <v>71</v>
      </c>
      <c r="I1892" s="224"/>
    </row>
    <row r="1893" ht="17.25" customHeight="1" spans="1:9" x14ac:dyDescent="0.25">
      <c r="A1893" s="220">
        <v>1943</v>
      </c>
      <c r="B1893" s="221" t="s">
        <v>4201</v>
      </c>
      <c r="C1893" s="222" t="s">
        <v>4202</v>
      </c>
      <c r="D1893" s="221" t="s">
        <v>3862</v>
      </c>
      <c r="E1893" s="221" t="s">
        <v>27</v>
      </c>
      <c r="F1893" s="223">
        <v>0</v>
      </c>
      <c r="G1893" s="221" t="s">
        <v>71</v>
      </c>
      <c r="H1893" s="221" t="s">
        <v>71</v>
      </c>
      <c r="I1893" s="224"/>
    </row>
    <row r="1894" ht="17.25" customHeight="1" spans="1:9" x14ac:dyDescent="0.25">
      <c r="A1894" s="220">
        <v>1944</v>
      </c>
      <c r="B1894" s="221" t="s">
        <v>4203</v>
      </c>
      <c r="C1894" s="222" t="s">
        <v>4204</v>
      </c>
      <c r="D1894" s="221" t="s">
        <v>3862</v>
      </c>
      <c r="E1894" s="221" t="s">
        <v>27</v>
      </c>
      <c r="F1894" s="223">
        <v>0</v>
      </c>
      <c r="G1894" s="221" t="s">
        <v>71</v>
      </c>
      <c r="H1894" s="221" t="s">
        <v>71</v>
      </c>
      <c r="I1894" s="224"/>
    </row>
    <row r="1895" ht="17.25" customHeight="1" spans="1:9" x14ac:dyDescent="0.25">
      <c r="A1895" s="220">
        <v>1945</v>
      </c>
      <c r="B1895" s="221" t="s">
        <v>4205</v>
      </c>
      <c r="C1895" s="222" t="s">
        <v>4206</v>
      </c>
      <c r="D1895" s="221" t="s">
        <v>3862</v>
      </c>
      <c r="E1895" s="221" t="s">
        <v>27</v>
      </c>
      <c r="F1895" s="223">
        <v>0</v>
      </c>
      <c r="G1895" s="221" t="s">
        <v>71</v>
      </c>
      <c r="H1895" s="221" t="s">
        <v>71</v>
      </c>
      <c r="I1895" s="224"/>
    </row>
    <row r="1896" ht="17.25" customHeight="1" spans="1:9" x14ac:dyDescent="0.25">
      <c r="A1896" s="220">
        <v>1946</v>
      </c>
      <c r="B1896" s="221" t="s">
        <v>4207</v>
      </c>
      <c r="C1896" s="222" t="s">
        <v>4208</v>
      </c>
      <c r="D1896" s="221" t="s">
        <v>3862</v>
      </c>
      <c r="E1896" s="221" t="s">
        <v>27</v>
      </c>
      <c r="F1896" s="223">
        <v>0</v>
      </c>
      <c r="G1896" s="221" t="s">
        <v>71</v>
      </c>
      <c r="H1896" s="221" t="s">
        <v>71</v>
      </c>
      <c r="I1896" s="224"/>
    </row>
    <row r="1897" ht="17.25" customHeight="1" spans="1:9" x14ac:dyDescent="0.25">
      <c r="A1897" s="220">
        <v>1947</v>
      </c>
      <c r="B1897" s="221" t="s">
        <v>4209</v>
      </c>
      <c r="C1897" s="222" t="s">
        <v>4210</v>
      </c>
      <c r="D1897" s="221" t="s">
        <v>3862</v>
      </c>
      <c r="E1897" s="221" t="s">
        <v>27</v>
      </c>
      <c r="F1897" s="223">
        <v>0</v>
      </c>
      <c r="G1897" s="221" t="s">
        <v>71</v>
      </c>
      <c r="H1897" s="221" t="s">
        <v>71</v>
      </c>
      <c r="I1897" s="224"/>
    </row>
    <row r="1898" ht="17.25" customHeight="1" spans="1:9" x14ac:dyDescent="0.25">
      <c r="A1898" s="220">
        <v>1948</v>
      </c>
      <c r="B1898" s="221" t="s">
        <v>4211</v>
      </c>
      <c r="C1898" s="222" t="s">
        <v>4212</v>
      </c>
      <c r="D1898" s="221" t="s">
        <v>3862</v>
      </c>
      <c r="E1898" s="221" t="s">
        <v>27</v>
      </c>
      <c r="F1898" s="223">
        <v>0</v>
      </c>
      <c r="G1898" s="221" t="s">
        <v>71</v>
      </c>
      <c r="H1898" s="221" t="s">
        <v>71</v>
      </c>
      <c r="I1898" s="224"/>
    </row>
    <row r="1899" ht="17.25" customHeight="1" spans="1:9" x14ac:dyDescent="0.25">
      <c r="A1899" s="220">
        <v>1949</v>
      </c>
      <c r="B1899" s="221" t="s">
        <v>4213</v>
      </c>
      <c r="C1899" s="222" t="s">
        <v>4214</v>
      </c>
      <c r="D1899" s="221" t="s">
        <v>3862</v>
      </c>
      <c r="E1899" s="221" t="s">
        <v>27</v>
      </c>
      <c r="F1899" s="223">
        <v>0</v>
      </c>
      <c r="G1899" s="221" t="s">
        <v>71</v>
      </c>
      <c r="H1899" s="221" t="s">
        <v>71</v>
      </c>
      <c r="I1899" s="224"/>
    </row>
    <row r="1900" ht="17.25" customHeight="1" spans="1:9" x14ac:dyDescent="0.25">
      <c r="A1900" s="220">
        <v>1950</v>
      </c>
      <c r="B1900" s="221" t="s">
        <v>4215</v>
      </c>
      <c r="C1900" s="222" t="s">
        <v>4216</v>
      </c>
      <c r="D1900" s="221" t="s">
        <v>3862</v>
      </c>
      <c r="E1900" s="221" t="s">
        <v>27</v>
      </c>
      <c r="F1900" s="223">
        <v>0</v>
      </c>
      <c r="G1900" s="221" t="s">
        <v>71</v>
      </c>
      <c r="H1900" s="221" t="s">
        <v>71</v>
      </c>
      <c r="I1900" s="224"/>
    </row>
    <row r="1901" ht="17.25" customHeight="1" spans="1:9" x14ac:dyDescent="0.25">
      <c r="A1901" s="220">
        <v>1951</v>
      </c>
      <c r="B1901" s="221" t="s">
        <v>4217</v>
      </c>
      <c r="C1901" s="222" t="s">
        <v>4218</v>
      </c>
      <c r="D1901" s="221" t="s">
        <v>3862</v>
      </c>
      <c r="E1901" s="221" t="s">
        <v>27</v>
      </c>
      <c r="F1901" s="223">
        <v>0</v>
      </c>
      <c r="G1901" s="221" t="s">
        <v>71</v>
      </c>
      <c r="H1901" s="221" t="s">
        <v>71</v>
      </c>
      <c r="I1901" s="224"/>
    </row>
    <row r="1902" ht="17.25" customHeight="1" spans="1:9" x14ac:dyDescent="0.25">
      <c r="A1902" s="220">
        <v>1952</v>
      </c>
      <c r="B1902" s="221" t="s">
        <v>4219</v>
      </c>
      <c r="C1902" s="222" t="s">
        <v>4220</v>
      </c>
      <c r="D1902" s="221" t="s">
        <v>3862</v>
      </c>
      <c r="E1902" s="221" t="s">
        <v>27</v>
      </c>
      <c r="F1902" s="223">
        <v>0</v>
      </c>
      <c r="G1902" s="221" t="s">
        <v>71</v>
      </c>
      <c r="H1902" s="221" t="s">
        <v>71</v>
      </c>
      <c r="I1902" s="224"/>
    </row>
    <row r="1903" ht="17.25" customHeight="1" spans="1:9" x14ac:dyDescent="0.25">
      <c r="A1903" s="220">
        <v>1953</v>
      </c>
      <c r="B1903" s="221" t="s">
        <v>4221</v>
      </c>
      <c r="C1903" s="222" t="s">
        <v>4222</v>
      </c>
      <c r="D1903" s="221" t="s">
        <v>3862</v>
      </c>
      <c r="E1903" s="221" t="s">
        <v>27</v>
      </c>
      <c r="F1903" s="223">
        <v>0</v>
      </c>
      <c r="G1903" s="221" t="s">
        <v>71</v>
      </c>
      <c r="H1903" s="221" t="s">
        <v>71</v>
      </c>
      <c r="I1903" s="224"/>
    </row>
    <row r="1904" ht="17.25" customHeight="1" spans="1:9" x14ac:dyDescent="0.25">
      <c r="A1904" s="220">
        <v>1954</v>
      </c>
      <c r="B1904" s="221" t="s">
        <v>4223</v>
      </c>
      <c r="C1904" s="222" t="s">
        <v>4224</v>
      </c>
      <c r="D1904" s="221" t="s">
        <v>3862</v>
      </c>
      <c r="E1904" s="221" t="s">
        <v>27</v>
      </c>
      <c r="F1904" s="223">
        <v>0</v>
      </c>
      <c r="G1904" s="221" t="s">
        <v>71</v>
      </c>
      <c r="H1904" s="221" t="s">
        <v>71</v>
      </c>
      <c r="I1904" s="224"/>
    </row>
    <row r="1905" ht="17.25" customHeight="1" spans="1:9" x14ac:dyDescent="0.25">
      <c r="A1905" s="220">
        <v>1955</v>
      </c>
      <c r="B1905" s="221" t="s">
        <v>4225</v>
      </c>
      <c r="C1905" s="222" t="s">
        <v>4226</v>
      </c>
      <c r="D1905" s="221" t="s">
        <v>3862</v>
      </c>
      <c r="E1905" s="221" t="s">
        <v>27</v>
      </c>
      <c r="F1905" s="223">
        <v>0</v>
      </c>
      <c r="G1905" s="221" t="s">
        <v>71</v>
      </c>
      <c r="H1905" s="221" t="s">
        <v>71</v>
      </c>
      <c r="I1905" s="224"/>
    </row>
    <row r="1906" ht="17.25" customHeight="1" spans="1:9" x14ac:dyDescent="0.25">
      <c r="A1906" s="220">
        <v>1956</v>
      </c>
      <c r="B1906" s="221" t="s">
        <v>4227</v>
      </c>
      <c r="C1906" s="222" t="s">
        <v>4228</v>
      </c>
      <c r="D1906" s="221" t="s">
        <v>3862</v>
      </c>
      <c r="E1906" s="221" t="s">
        <v>27</v>
      </c>
      <c r="F1906" s="223">
        <v>0</v>
      </c>
      <c r="G1906" s="221" t="s">
        <v>71</v>
      </c>
      <c r="H1906" s="221" t="s">
        <v>71</v>
      </c>
      <c r="I1906" s="224"/>
    </row>
    <row r="1907" ht="17.25" customHeight="1" spans="1:9" x14ac:dyDescent="0.25">
      <c r="A1907" s="220">
        <v>1957</v>
      </c>
      <c r="B1907" s="221" t="s">
        <v>4229</v>
      </c>
      <c r="C1907" s="222" t="s">
        <v>4230</v>
      </c>
      <c r="D1907" s="221" t="s">
        <v>3862</v>
      </c>
      <c r="E1907" s="221" t="s">
        <v>27</v>
      </c>
      <c r="F1907" s="223">
        <v>0</v>
      </c>
      <c r="G1907" s="221" t="s">
        <v>71</v>
      </c>
      <c r="H1907" s="221" t="s">
        <v>71</v>
      </c>
      <c r="I1907" s="222" t="s">
        <v>4231</v>
      </c>
    </row>
    <row r="1908" ht="17.25" customHeight="1" spans="1:9" x14ac:dyDescent="0.25">
      <c r="A1908" s="220">
        <v>1958</v>
      </c>
      <c r="B1908" s="221" t="s">
        <v>4232</v>
      </c>
      <c r="C1908" s="222" t="s">
        <v>4233</v>
      </c>
      <c r="D1908" s="221" t="s">
        <v>3862</v>
      </c>
      <c r="E1908" s="221" t="s">
        <v>27</v>
      </c>
      <c r="F1908" s="223">
        <v>0</v>
      </c>
      <c r="G1908" s="221" t="s">
        <v>71</v>
      </c>
      <c r="H1908" s="221" t="s">
        <v>71</v>
      </c>
      <c r="I1908" s="224"/>
    </row>
    <row r="1909" ht="17.25" customHeight="1" spans="1:9" x14ac:dyDescent="0.25">
      <c r="A1909" s="220">
        <v>1959</v>
      </c>
      <c r="B1909" s="221" t="s">
        <v>4234</v>
      </c>
      <c r="C1909" s="222" t="s">
        <v>4235</v>
      </c>
      <c r="D1909" s="221" t="s">
        <v>3862</v>
      </c>
      <c r="E1909" s="221" t="s">
        <v>27</v>
      </c>
      <c r="F1909" s="223">
        <v>0</v>
      </c>
      <c r="G1909" s="221" t="s">
        <v>71</v>
      </c>
      <c r="H1909" s="221" t="s">
        <v>71</v>
      </c>
      <c r="I1909" s="222" t="s">
        <v>4236</v>
      </c>
    </row>
    <row r="1910" ht="17.25" customHeight="1" spans="1:9" x14ac:dyDescent="0.25">
      <c r="A1910" s="220">
        <v>1960</v>
      </c>
      <c r="B1910" s="221" t="s">
        <v>4237</v>
      </c>
      <c r="C1910" s="222" t="s">
        <v>4238</v>
      </c>
      <c r="D1910" s="221" t="s">
        <v>3862</v>
      </c>
      <c r="E1910" s="221" t="s">
        <v>27</v>
      </c>
      <c r="F1910" s="223">
        <v>0</v>
      </c>
      <c r="G1910" s="221" t="s">
        <v>71</v>
      </c>
      <c r="H1910" s="221" t="s">
        <v>71</v>
      </c>
      <c r="I1910" s="224"/>
    </row>
    <row r="1911" ht="17.25" customHeight="1" spans="1:9" x14ac:dyDescent="0.25">
      <c r="A1911" s="220">
        <v>1961</v>
      </c>
      <c r="B1911" s="221" t="s">
        <v>4239</v>
      </c>
      <c r="C1911" s="222" t="s">
        <v>4240</v>
      </c>
      <c r="D1911" s="221" t="s">
        <v>3862</v>
      </c>
      <c r="E1911" s="221" t="s">
        <v>27</v>
      </c>
      <c r="F1911" s="223">
        <v>0</v>
      </c>
      <c r="G1911" s="221" t="s">
        <v>71</v>
      </c>
      <c r="H1911" s="221" t="s">
        <v>71</v>
      </c>
      <c r="I1911" s="224"/>
    </row>
    <row r="1912" ht="17.25" customHeight="1" spans="1:9" x14ac:dyDescent="0.25">
      <c r="A1912" s="220">
        <v>1962</v>
      </c>
      <c r="B1912" s="221" t="s">
        <v>4241</v>
      </c>
      <c r="C1912" s="222" t="s">
        <v>4242</v>
      </c>
      <c r="D1912" s="221" t="s">
        <v>3862</v>
      </c>
      <c r="E1912" s="221" t="s">
        <v>27</v>
      </c>
      <c r="F1912" s="223">
        <v>0</v>
      </c>
      <c r="G1912" s="221" t="s">
        <v>71</v>
      </c>
      <c r="H1912" s="221" t="s">
        <v>71</v>
      </c>
      <c r="I1912" s="224"/>
    </row>
    <row r="1913" ht="17.25" customHeight="1" spans="1:9" x14ac:dyDescent="0.25">
      <c r="A1913" s="220">
        <v>1963</v>
      </c>
      <c r="B1913" s="221" t="s">
        <v>4243</v>
      </c>
      <c r="C1913" s="222" t="s">
        <v>4244</v>
      </c>
      <c r="D1913" s="221" t="s">
        <v>3862</v>
      </c>
      <c r="E1913" s="221" t="s">
        <v>27</v>
      </c>
      <c r="F1913" s="223">
        <v>0</v>
      </c>
      <c r="G1913" s="221" t="s">
        <v>71</v>
      </c>
      <c r="H1913" s="221" t="s">
        <v>71</v>
      </c>
      <c r="I1913" s="224"/>
    </row>
    <row r="1914" ht="17.25" customHeight="1" spans="1:9" x14ac:dyDescent="0.25">
      <c r="A1914" s="220">
        <v>1964</v>
      </c>
      <c r="B1914" s="221" t="s">
        <v>4245</v>
      </c>
      <c r="C1914" s="222" t="s">
        <v>4246</v>
      </c>
      <c r="D1914" s="221" t="s">
        <v>3862</v>
      </c>
      <c r="E1914" s="221" t="s">
        <v>27</v>
      </c>
      <c r="F1914" s="223">
        <v>0</v>
      </c>
      <c r="G1914" s="221" t="s">
        <v>71</v>
      </c>
      <c r="H1914" s="221" t="s">
        <v>71</v>
      </c>
      <c r="I1914" s="224"/>
    </row>
    <row r="1915" ht="17.25" customHeight="1" spans="1:9" x14ac:dyDescent="0.25">
      <c r="A1915" s="220">
        <v>1966</v>
      </c>
      <c r="B1915" s="221" t="s">
        <v>4247</v>
      </c>
      <c r="C1915" s="222" t="s">
        <v>4248</v>
      </c>
      <c r="D1915" s="221" t="s">
        <v>3862</v>
      </c>
      <c r="E1915" s="221" t="s">
        <v>27</v>
      </c>
      <c r="F1915" s="223">
        <v>0</v>
      </c>
      <c r="G1915" s="221" t="s">
        <v>71</v>
      </c>
      <c r="H1915" s="221" t="s">
        <v>71</v>
      </c>
      <c r="I1915" s="224"/>
    </row>
    <row r="1916" ht="17.25" customHeight="1" spans="1:9" x14ac:dyDescent="0.25">
      <c r="A1916" s="220">
        <v>1967</v>
      </c>
      <c r="B1916" s="221" t="s">
        <v>4249</v>
      </c>
      <c r="C1916" s="222" t="s">
        <v>4250</v>
      </c>
      <c r="D1916" s="221" t="s">
        <v>3862</v>
      </c>
      <c r="E1916" s="221" t="s">
        <v>27</v>
      </c>
      <c r="F1916" s="223">
        <v>0</v>
      </c>
      <c r="G1916" s="221" t="s">
        <v>71</v>
      </c>
      <c r="H1916" s="221" t="s">
        <v>71</v>
      </c>
      <c r="I1916" s="224"/>
    </row>
    <row r="1917" ht="17.25" customHeight="1" spans="1:9" x14ac:dyDescent="0.25">
      <c r="A1917" s="220">
        <v>1968</v>
      </c>
      <c r="B1917" s="221" t="s">
        <v>4251</v>
      </c>
      <c r="C1917" s="222" t="s">
        <v>4252</v>
      </c>
      <c r="D1917" s="221" t="s">
        <v>3862</v>
      </c>
      <c r="E1917" s="221" t="s">
        <v>27</v>
      </c>
      <c r="F1917" s="223">
        <v>0</v>
      </c>
      <c r="G1917" s="221" t="s">
        <v>71</v>
      </c>
      <c r="H1917" s="221" t="s">
        <v>71</v>
      </c>
      <c r="I1917" s="224"/>
    </row>
    <row r="1918" ht="17.25" customHeight="1" spans="1:9" x14ac:dyDescent="0.25">
      <c r="A1918" s="220">
        <v>1969</v>
      </c>
      <c r="B1918" s="221" t="s">
        <v>4253</v>
      </c>
      <c r="C1918" s="222" t="s">
        <v>4254</v>
      </c>
      <c r="D1918" s="221" t="s">
        <v>3862</v>
      </c>
      <c r="E1918" s="221" t="s">
        <v>27</v>
      </c>
      <c r="F1918" s="223">
        <v>0</v>
      </c>
      <c r="G1918" s="221" t="s">
        <v>71</v>
      </c>
      <c r="H1918" s="221" t="s">
        <v>71</v>
      </c>
      <c r="I1918" s="224"/>
    </row>
    <row r="1919" ht="17.25" customHeight="1" spans="1:9" x14ac:dyDescent="0.25">
      <c r="A1919" s="220">
        <v>1970</v>
      </c>
      <c r="B1919" s="221" t="s">
        <v>4255</v>
      </c>
      <c r="C1919" s="222" t="s">
        <v>4256</v>
      </c>
      <c r="D1919" s="221" t="s">
        <v>3862</v>
      </c>
      <c r="E1919" s="221" t="s">
        <v>27</v>
      </c>
      <c r="F1919" s="223">
        <v>0</v>
      </c>
      <c r="G1919" s="221" t="s">
        <v>71</v>
      </c>
      <c r="H1919" s="221" t="s">
        <v>71</v>
      </c>
      <c r="I1919" s="224"/>
    </row>
    <row r="1920" ht="17.25" customHeight="1" spans="1:9" x14ac:dyDescent="0.25">
      <c r="A1920" s="220">
        <v>1971</v>
      </c>
      <c r="B1920" s="221" t="s">
        <v>4257</v>
      </c>
      <c r="C1920" s="222" t="s">
        <v>4258</v>
      </c>
      <c r="D1920" s="221" t="s">
        <v>3862</v>
      </c>
      <c r="E1920" s="221" t="s">
        <v>27</v>
      </c>
      <c r="F1920" s="223">
        <v>0</v>
      </c>
      <c r="G1920" s="221" t="s">
        <v>71</v>
      </c>
      <c r="H1920" s="221" t="s">
        <v>71</v>
      </c>
      <c r="I1920" s="224"/>
    </row>
    <row r="1921" ht="17.25" customHeight="1" spans="1:9" x14ac:dyDescent="0.25">
      <c r="A1921" s="220">
        <v>1972</v>
      </c>
      <c r="B1921" s="221" t="s">
        <v>4259</v>
      </c>
      <c r="C1921" s="222" t="s">
        <v>4260</v>
      </c>
      <c r="D1921" s="221" t="s">
        <v>3862</v>
      </c>
      <c r="E1921" s="221" t="s">
        <v>27</v>
      </c>
      <c r="F1921" s="223">
        <v>0</v>
      </c>
      <c r="G1921" s="221" t="s">
        <v>71</v>
      </c>
      <c r="H1921" s="221" t="s">
        <v>71</v>
      </c>
      <c r="I1921" s="224"/>
    </row>
    <row r="1922" ht="17.25" customHeight="1" spans="1:9" x14ac:dyDescent="0.25">
      <c r="A1922" s="220">
        <v>1973</v>
      </c>
      <c r="B1922" s="221" t="s">
        <v>4261</v>
      </c>
      <c r="C1922" s="222" t="s">
        <v>4262</v>
      </c>
      <c r="D1922" s="221" t="s">
        <v>3862</v>
      </c>
      <c r="E1922" s="221" t="s">
        <v>27</v>
      </c>
      <c r="F1922" s="223">
        <v>0</v>
      </c>
      <c r="G1922" s="221" t="s">
        <v>71</v>
      </c>
      <c r="H1922" s="221" t="s">
        <v>71</v>
      </c>
      <c r="I1922" s="224"/>
    </row>
    <row r="1923" ht="17.25" customHeight="1" spans="1:9" x14ac:dyDescent="0.25">
      <c r="A1923" s="220">
        <v>1974</v>
      </c>
      <c r="B1923" s="221" t="s">
        <v>4263</v>
      </c>
      <c r="C1923" s="222" t="s">
        <v>4264</v>
      </c>
      <c r="D1923" s="221" t="s">
        <v>3862</v>
      </c>
      <c r="E1923" s="221" t="s">
        <v>27</v>
      </c>
      <c r="F1923" s="223">
        <v>0</v>
      </c>
      <c r="G1923" s="221" t="s">
        <v>71</v>
      </c>
      <c r="H1923" s="221" t="s">
        <v>71</v>
      </c>
      <c r="I1923" s="224"/>
    </row>
    <row r="1924" ht="17.25" customHeight="1" spans="1:9" x14ac:dyDescent="0.25">
      <c r="A1924" s="220">
        <v>1975</v>
      </c>
      <c r="B1924" s="221" t="s">
        <v>4265</v>
      </c>
      <c r="C1924" s="222" t="s">
        <v>4266</v>
      </c>
      <c r="D1924" s="221" t="s">
        <v>3862</v>
      </c>
      <c r="E1924" s="221" t="s">
        <v>27</v>
      </c>
      <c r="F1924" s="223">
        <v>0</v>
      </c>
      <c r="G1924" s="221" t="s">
        <v>71</v>
      </c>
      <c r="H1924" s="221" t="s">
        <v>71</v>
      </c>
      <c r="I1924" s="224"/>
    </row>
    <row r="1925" ht="17.25" customHeight="1" spans="1:9" x14ac:dyDescent="0.25">
      <c r="A1925" s="220">
        <v>1976</v>
      </c>
      <c r="B1925" s="221" t="s">
        <v>4267</v>
      </c>
      <c r="C1925" s="222" t="s">
        <v>4268</v>
      </c>
      <c r="D1925" s="221" t="s">
        <v>3862</v>
      </c>
      <c r="E1925" s="221" t="s">
        <v>27</v>
      </c>
      <c r="F1925" s="223">
        <v>0</v>
      </c>
      <c r="G1925" s="221" t="s">
        <v>71</v>
      </c>
      <c r="H1925" s="221" t="s">
        <v>71</v>
      </c>
      <c r="I1925" s="224"/>
    </row>
    <row r="1926" ht="17.25" customHeight="1" spans="1:9" x14ac:dyDescent="0.25">
      <c r="A1926" s="220">
        <v>1977</v>
      </c>
      <c r="B1926" s="221" t="s">
        <v>4269</v>
      </c>
      <c r="C1926" s="222" t="s">
        <v>4270</v>
      </c>
      <c r="D1926" s="221" t="s">
        <v>3862</v>
      </c>
      <c r="E1926" s="221" t="s">
        <v>27</v>
      </c>
      <c r="F1926" s="223">
        <v>0</v>
      </c>
      <c r="G1926" s="221" t="s">
        <v>71</v>
      </c>
      <c r="H1926" s="221" t="s">
        <v>71</v>
      </c>
      <c r="I1926" s="224"/>
    </row>
    <row r="1927" ht="17.25" customHeight="1" spans="1:9" x14ac:dyDescent="0.25">
      <c r="A1927" s="220">
        <v>1978</v>
      </c>
      <c r="B1927" s="221" t="s">
        <v>4271</v>
      </c>
      <c r="C1927" s="222" t="s">
        <v>4272</v>
      </c>
      <c r="D1927" s="221" t="s">
        <v>3862</v>
      </c>
      <c r="E1927" s="221" t="s">
        <v>27</v>
      </c>
      <c r="F1927" s="223">
        <v>0</v>
      </c>
      <c r="G1927" s="221" t="s">
        <v>71</v>
      </c>
      <c r="H1927" s="221" t="s">
        <v>71</v>
      </c>
      <c r="I1927" s="224"/>
    </row>
    <row r="1928" ht="17.25" customHeight="1" spans="1:9" x14ac:dyDescent="0.25">
      <c r="A1928" s="220">
        <v>1979</v>
      </c>
      <c r="B1928" s="221" t="s">
        <v>4273</v>
      </c>
      <c r="C1928" s="222" t="s">
        <v>4274</v>
      </c>
      <c r="D1928" s="221" t="s">
        <v>3862</v>
      </c>
      <c r="E1928" s="221" t="s">
        <v>27</v>
      </c>
      <c r="F1928" s="223">
        <v>0</v>
      </c>
      <c r="G1928" s="221" t="s">
        <v>71</v>
      </c>
      <c r="H1928" s="221" t="s">
        <v>71</v>
      </c>
      <c r="I1928" s="224"/>
    </row>
    <row r="1929" ht="17.25" customHeight="1" spans="1:9" x14ac:dyDescent="0.25">
      <c r="A1929" s="220">
        <v>1980</v>
      </c>
      <c r="B1929" s="221" t="s">
        <v>4275</v>
      </c>
      <c r="C1929" s="222" t="s">
        <v>4276</v>
      </c>
      <c r="D1929" s="221" t="s">
        <v>3862</v>
      </c>
      <c r="E1929" s="221" t="s">
        <v>27</v>
      </c>
      <c r="F1929" s="223">
        <v>0</v>
      </c>
      <c r="G1929" s="221" t="s">
        <v>71</v>
      </c>
      <c r="H1929" s="221" t="s">
        <v>71</v>
      </c>
      <c r="I1929" s="224"/>
    </row>
    <row r="1930" ht="17.25" customHeight="1" spans="1:9" x14ac:dyDescent="0.25">
      <c r="A1930" s="220">
        <v>1981</v>
      </c>
      <c r="B1930" s="221" t="s">
        <v>4277</v>
      </c>
      <c r="C1930" s="222" t="s">
        <v>4278</v>
      </c>
      <c r="D1930" s="221" t="s">
        <v>3862</v>
      </c>
      <c r="E1930" s="221" t="s">
        <v>27</v>
      </c>
      <c r="F1930" s="223">
        <v>0</v>
      </c>
      <c r="G1930" s="221" t="s">
        <v>71</v>
      </c>
      <c r="H1930" s="221" t="s">
        <v>71</v>
      </c>
      <c r="I1930" s="224"/>
    </row>
    <row r="1931" ht="17.25" customHeight="1" spans="1:9" x14ac:dyDescent="0.25">
      <c r="A1931" s="220">
        <v>1982</v>
      </c>
      <c r="B1931" s="221" t="s">
        <v>4279</v>
      </c>
      <c r="C1931" s="222" t="s">
        <v>4280</v>
      </c>
      <c r="D1931" s="221" t="s">
        <v>3862</v>
      </c>
      <c r="E1931" s="221" t="s">
        <v>27</v>
      </c>
      <c r="F1931" s="223">
        <v>0</v>
      </c>
      <c r="G1931" s="221" t="s">
        <v>71</v>
      </c>
      <c r="H1931" s="221" t="s">
        <v>71</v>
      </c>
      <c r="I1931" s="224"/>
    </row>
    <row r="1932" ht="17.25" customHeight="1" spans="1:9" x14ac:dyDescent="0.25">
      <c r="A1932" s="220">
        <v>1983</v>
      </c>
      <c r="B1932" s="221" t="s">
        <v>4281</v>
      </c>
      <c r="C1932" s="222" t="s">
        <v>4282</v>
      </c>
      <c r="D1932" s="221" t="s">
        <v>3862</v>
      </c>
      <c r="E1932" s="221" t="s">
        <v>27</v>
      </c>
      <c r="F1932" s="223">
        <v>0</v>
      </c>
      <c r="G1932" s="221" t="s">
        <v>71</v>
      </c>
      <c r="H1932" s="221" t="s">
        <v>71</v>
      </c>
      <c r="I1932" s="222" t="s">
        <v>4283</v>
      </c>
    </row>
    <row r="1933" ht="17.25" customHeight="1" spans="1:9" x14ac:dyDescent="0.25">
      <c r="A1933" s="220">
        <v>1984</v>
      </c>
      <c r="B1933" s="221" t="s">
        <v>4284</v>
      </c>
      <c r="C1933" s="222" t="s">
        <v>4285</v>
      </c>
      <c r="D1933" s="221" t="s">
        <v>3862</v>
      </c>
      <c r="E1933" s="221" t="s">
        <v>27</v>
      </c>
      <c r="F1933" s="223">
        <v>0</v>
      </c>
      <c r="G1933" s="221" t="s">
        <v>71</v>
      </c>
      <c r="H1933" s="221" t="s">
        <v>71</v>
      </c>
      <c r="I1933" s="224"/>
    </row>
    <row r="1934" ht="17.25" customHeight="1" spans="1:9" x14ac:dyDescent="0.25">
      <c r="A1934" s="220">
        <v>1985</v>
      </c>
      <c r="B1934" s="221" t="s">
        <v>4286</v>
      </c>
      <c r="C1934" s="222" t="s">
        <v>4287</v>
      </c>
      <c r="D1934" s="221" t="s">
        <v>3862</v>
      </c>
      <c r="E1934" s="221" t="s">
        <v>27</v>
      </c>
      <c r="F1934" s="223">
        <v>0</v>
      </c>
      <c r="G1934" s="221" t="s">
        <v>71</v>
      </c>
      <c r="H1934" s="221" t="s">
        <v>71</v>
      </c>
      <c r="I1934" s="224"/>
    </row>
    <row r="1935" ht="17.25" customHeight="1" spans="1:9" x14ac:dyDescent="0.25">
      <c r="A1935" s="220">
        <v>1986</v>
      </c>
      <c r="B1935" s="221" t="s">
        <v>4288</v>
      </c>
      <c r="C1935" s="222" t="s">
        <v>4289</v>
      </c>
      <c r="D1935" s="221" t="s">
        <v>3862</v>
      </c>
      <c r="E1935" s="221" t="s">
        <v>27</v>
      </c>
      <c r="F1935" s="223">
        <v>0</v>
      </c>
      <c r="G1935" s="221" t="s">
        <v>71</v>
      </c>
      <c r="H1935" s="221" t="s">
        <v>71</v>
      </c>
      <c r="I1935" s="224"/>
    </row>
    <row r="1936" ht="17.25" customHeight="1" spans="1:9" x14ac:dyDescent="0.25">
      <c r="A1936" s="220">
        <v>1987</v>
      </c>
      <c r="B1936" s="221" t="s">
        <v>4290</v>
      </c>
      <c r="C1936" s="222" t="s">
        <v>4291</v>
      </c>
      <c r="D1936" s="221" t="s">
        <v>3862</v>
      </c>
      <c r="E1936" s="221" t="s">
        <v>27</v>
      </c>
      <c r="F1936" s="223">
        <v>0</v>
      </c>
      <c r="G1936" s="221" t="s">
        <v>71</v>
      </c>
      <c r="H1936" s="221" t="s">
        <v>71</v>
      </c>
      <c r="I1936" s="224"/>
    </row>
    <row r="1937" ht="17.25" customHeight="1" spans="1:9" x14ac:dyDescent="0.25">
      <c r="A1937" s="220">
        <v>1988</v>
      </c>
      <c r="B1937" s="221" t="s">
        <v>4292</v>
      </c>
      <c r="C1937" s="222" t="s">
        <v>4293</v>
      </c>
      <c r="D1937" s="221" t="s">
        <v>3862</v>
      </c>
      <c r="E1937" s="221" t="s">
        <v>27</v>
      </c>
      <c r="F1937" s="223">
        <v>0</v>
      </c>
      <c r="G1937" s="221" t="s">
        <v>71</v>
      </c>
      <c r="H1937" s="221" t="s">
        <v>71</v>
      </c>
      <c r="I1937" s="224"/>
    </row>
    <row r="1938" ht="17.25" customHeight="1" spans="1:9" x14ac:dyDescent="0.25">
      <c r="A1938" s="220">
        <v>1989</v>
      </c>
      <c r="B1938" s="221" t="s">
        <v>4294</v>
      </c>
      <c r="C1938" s="222" t="s">
        <v>4295</v>
      </c>
      <c r="D1938" s="221" t="s">
        <v>3862</v>
      </c>
      <c r="E1938" s="221" t="s">
        <v>27</v>
      </c>
      <c r="F1938" s="223">
        <v>0</v>
      </c>
      <c r="G1938" s="221" t="s">
        <v>71</v>
      </c>
      <c r="H1938" s="221" t="s">
        <v>71</v>
      </c>
      <c r="I1938" s="224"/>
    </row>
    <row r="1939" ht="17.25" customHeight="1" spans="1:9" x14ac:dyDescent="0.25">
      <c r="A1939" s="220">
        <v>1990</v>
      </c>
      <c r="B1939" s="221" t="s">
        <v>4296</v>
      </c>
      <c r="C1939" s="222" t="s">
        <v>4297</v>
      </c>
      <c r="D1939" s="221" t="s">
        <v>3862</v>
      </c>
      <c r="E1939" s="221" t="s">
        <v>27</v>
      </c>
      <c r="F1939" s="223">
        <v>0</v>
      </c>
      <c r="G1939" s="221" t="s">
        <v>71</v>
      </c>
      <c r="H1939" s="221" t="s">
        <v>71</v>
      </c>
      <c r="I1939" s="224"/>
    </row>
    <row r="1940" ht="17.25" customHeight="1" spans="1:9" x14ac:dyDescent="0.25">
      <c r="A1940" s="220">
        <v>1991</v>
      </c>
      <c r="B1940" s="221" t="s">
        <v>4298</v>
      </c>
      <c r="C1940" s="222" t="s">
        <v>4299</v>
      </c>
      <c r="D1940" s="221" t="s">
        <v>3862</v>
      </c>
      <c r="E1940" s="221" t="s">
        <v>27</v>
      </c>
      <c r="F1940" s="223">
        <v>0</v>
      </c>
      <c r="G1940" s="221" t="s">
        <v>71</v>
      </c>
      <c r="H1940" s="221" t="s">
        <v>71</v>
      </c>
      <c r="I1940" s="224"/>
    </row>
    <row r="1941" ht="17.25" customHeight="1" spans="1:9" x14ac:dyDescent="0.25">
      <c r="A1941" s="220">
        <v>1992</v>
      </c>
      <c r="B1941" s="221" t="s">
        <v>4300</v>
      </c>
      <c r="C1941" s="222" t="s">
        <v>4301</v>
      </c>
      <c r="D1941" s="221" t="s">
        <v>3862</v>
      </c>
      <c r="E1941" s="221" t="s">
        <v>27</v>
      </c>
      <c r="F1941" s="223">
        <v>0</v>
      </c>
      <c r="G1941" s="221" t="s">
        <v>71</v>
      </c>
      <c r="H1941" s="221" t="s">
        <v>71</v>
      </c>
      <c r="I1941" s="224"/>
    </row>
    <row r="1942" ht="17.25" customHeight="1" spans="1:9" x14ac:dyDescent="0.25">
      <c r="A1942" s="220">
        <v>1993</v>
      </c>
      <c r="B1942" s="221" t="s">
        <v>4302</v>
      </c>
      <c r="C1942" s="222" t="s">
        <v>4303</v>
      </c>
      <c r="D1942" s="221" t="s">
        <v>3862</v>
      </c>
      <c r="E1942" s="221" t="s">
        <v>27</v>
      </c>
      <c r="F1942" s="223">
        <v>0</v>
      </c>
      <c r="G1942" s="221" t="s">
        <v>71</v>
      </c>
      <c r="H1942" s="221" t="s">
        <v>71</v>
      </c>
      <c r="I1942" s="224"/>
    </row>
    <row r="1943" ht="17.25" customHeight="1" spans="1:9" x14ac:dyDescent="0.25">
      <c r="A1943" s="220">
        <v>1994</v>
      </c>
      <c r="B1943" s="221" t="s">
        <v>4304</v>
      </c>
      <c r="C1943" s="222" t="s">
        <v>4305</v>
      </c>
      <c r="D1943" s="221" t="s">
        <v>3862</v>
      </c>
      <c r="E1943" s="221" t="s">
        <v>27</v>
      </c>
      <c r="F1943" s="223">
        <v>0</v>
      </c>
      <c r="G1943" s="221" t="s">
        <v>71</v>
      </c>
      <c r="H1943" s="221" t="s">
        <v>71</v>
      </c>
      <c r="I1943" s="224"/>
    </row>
    <row r="1944" ht="17.25" customHeight="1" spans="1:9" x14ac:dyDescent="0.25">
      <c r="A1944" s="220">
        <v>1995</v>
      </c>
      <c r="B1944" s="221" t="s">
        <v>4306</v>
      </c>
      <c r="C1944" s="222" t="s">
        <v>4307</v>
      </c>
      <c r="D1944" s="221" t="s">
        <v>3862</v>
      </c>
      <c r="E1944" s="221" t="s">
        <v>27</v>
      </c>
      <c r="F1944" s="223">
        <v>0</v>
      </c>
      <c r="G1944" s="221" t="s">
        <v>71</v>
      </c>
      <c r="H1944" s="221" t="s">
        <v>71</v>
      </c>
      <c r="I1944" s="224"/>
    </row>
    <row r="1945" ht="17.25" customHeight="1" spans="1:9" x14ac:dyDescent="0.25">
      <c r="A1945" s="220">
        <v>1996</v>
      </c>
      <c r="B1945" s="221" t="s">
        <v>4308</v>
      </c>
      <c r="C1945" s="222" t="s">
        <v>4309</v>
      </c>
      <c r="D1945" s="221" t="s">
        <v>3862</v>
      </c>
      <c r="E1945" s="221" t="s">
        <v>27</v>
      </c>
      <c r="F1945" s="223">
        <v>0</v>
      </c>
      <c r="G1945" s="221" t="s">
        <v>71</v>
      </c>
      <c r="H1945" s="221" t="s">
        <v>71</v>
      </c>
      <c r="I1945" s="224"/>
    </row>
    <row r="1946" ht="17.25" customHeight="1" spans="1:9" x14ac:dyDescent="0.25">
      <c r="A1946" s="220">
        <v>1997</v>
      </c>
      <c r="B1946" s="221" t="s">
        <v>4310</v>
      </c>
      <c r="C1946" s="222" t="s">
        <v>4311</v>
      </c>
      <c r="D1946" s="221" t="s">
        <v>3862</v>
      </c>
      <c r="E1946" s="221" t="s">
        <v>27</v>
      </c>
      <c r="F1946" s="223">
        <v>0</v>
      </c>
      <c r="G1946" s="221" t="s">
        <v>71</v>
      </c>
      <c r="H1946" s="221" t="s">
        <v>71</v>
      </c>
      <c r="I1946" s="224"/>
    </row>
    <row r="1947" ht="17.25" customHeight="1" spans="1:9" x14ac:dyDescent="0.25">
      <c r="A1947" s="220">
        <v>1998</v>
      </c>
      <c r="B1947" s="221" t="s">
        <v>4312</v>
      </c>
      <c r="C1947" s="222" t="s">
        <v>4313</v>
      </c>
      <c r="D1947" s="221" t="s">
        <v>3862</v>
      </c>
      <c r="E1947" s="221" t="s">
        <v>27</v>
      </c>
      <c r="F1947" s="223">
        <v>0</v>
      </c>
      <c r="G1947" s="221" t="s">
        <v>71</v>
      </c>
      <c r="H1947" s="221" t="s">
        <v>71</v>
      </c>
      <c r="I1947" s="224"/>
    </row>
    <row r="1948" ht="17.25" customHeight="1" spans="1:9" x14ac:dyDescent="0.25">
      <c r="A1948" s="220">
        <v>1999</v>
      </c>
      <c r="B1948" s="221" t="s">
        <v>4314</v>
      </c>
      <c r="C1948" s="222" t="s">
        <v>4315</v>
      </c>
      <c r="D1948" s="221" t="s">
        <v>3862</v>
      </c>
      <c r="E1948" s="221" t="s">
        <v>27</v>
      </c>
      <c r="F1948" s="223">
        <v>0</v>
      </c>
      <c r="G1948" s="221" t="s">
        <v>71</v>
      </c>
      <c r="H1948" s="221" t="s">
        <v>71</v>
      </c>
      <c r="I1948" s="224"/>
    </row>
    <row r="1949" ht="17.25" customHeight="1" spans="1:9" x14ac:dyDescent="0.25">
      <c r="A1949" s="220">
        <v>2000</v>
      </c>
      <c r="B1949" s="221" t="s">
        <v>4316</v>
      </c>
      <c r="C1949" s="222" t="s">
        <v>4317</v>
      </c>
      <c r="D1949" s="221" t="s">
        <v>3862</v>
      </c>
      <c r="E1949" s="221" t="s">
        <v>27</v>
      </c>
      <c r="F1949" s="223">
        <v>0</v>
      </c>
      <c r="G1949" s="221" t="s">
        <v>71</v>
      </c>
      <c r="H1949" s="221" t="s">
        <v>71</v>
      </c>
      <c r="I1949" s="224"/>
    </row>
    <row r="1950" ht="17.25" customHeight="1" spans="1:9" x14ac:dyDescent="0.25">
      <c r="A1950" s="220">
        <v>2001</v>
      </c>
      <c r="B1950" s="221" t="s">
        <v>4318</v>
      </c>
      <c r="C1950" s="222" t="s">
        <v>4319</v>
      </c>
      <c r="D1950" s="221" t="s">
        <v>3862</v>
      </c>
      <c r="E1950" s="221" t="s">
        <v>27</v>
      </c>
      <c r="F1950" s="223">
        <v>0</v>
      </c>
      <c r="G1950" s="221" t="s">
        <v>71</v>
      </c>
      <c r="H1950" s="221" t="s">
        <v>71</v>
      </c>
      <c r="I1950" s="224"/>
    </row>
    <row r="1951" ht="17.25" customHeight="1" spans="1:9" x14ac:dyDescent="0.25">
      <c r="A1951" s="220">
        <v>2002</v>
      </c>
      <c r="B1951" s="221" t="s">
        <v>4320</v>
      </c>
      <c r="C1951" s="222" t="s">
        <v>4321</v>
      </c>
      <c r="D1951" s="221" t="s">
        <v>3862</v>
      </c>
      <c r="E1951" s="221" t="s">
        <v>27</v>
      </c>
      <c r="F1951" s="223">
        <v>0</v>
      </c>
      <c r="G1951" s="221" t="s">
        <v>71</v>
      </c>
      <c r="H1951" s="221" t="s">
        <v>71</v>
      </c>
      <c r="I1951" s="224"/>
    </row>
    <row r="1952" ht="17.25" customHeight="1" spans="1:9" x14ac:dyDescent="0.25">
      <c r="A1952" s="220">
        <v>2003</v>
      </c>
      <c r="B1952" s="221" t="s">
        <v>4322</v>
      </c>
      <c r="C1952" s="222" t="s">
        <v>4323</v>
      </c>
      <c r="D1952" s="221" t="s">
        <v>3862</v>
      </c>
      <c r="E1952" s="221" t="s">
        <v>27</v>
      </c>
      <c r="F1952" s="223">
        <v>0</v>
      </c>
      <c r="G1952" s="221" t="s">
        <v>71</v>
      </c>
      <c r="H1952" s="221" t="s">
        <v>71</v>
      </c>
      <c r="I1952" s="224"/>
    </row>
    <row r="1953" ht="17.25" customHeight="1" spans="1:9" x14ac:dyDescent="0.25">
      <c r="A1953" s="220">
        <v>2004</v>
      </c>
      <c r="B1953" s="221" t="s">
        <v>4324</v>
      </c>
      <c r="C1953" s="222" t="s">
        <v>4325</v>
      </c>
      <c r="D1953" s="221" t="s">
        <v>3862</v>
      </c>
      <c r="E1953" s="221" t="s">
        <v>27</v>
      </c>
      <c r="F1953" s="223">
        <v>0</v>
      </c>
      <c r="G1953" s="221" t="s">
        <v>71</v>
      </c>
      <c r="H1953" s="221" t="s">
        <v>71</v>
      </c>
      <c r="I1953" s="224"/>
    </row>
    <row r="1954" ht="17.25" customHeight="1" spans="1:9" x14ac:dyDescent="0.25">
      <c r="A1954" s="220">
        <v>2005</v>
      </c>
      <c r="B1954" s="221" t="s">
        <v>4326</v>
      </c>
      <c r="C1954" s="222" t="s">
        <v>4327</v>
      </c>
      <c r="D1954" s="221" t="s">
        <v>3862</v>
      </c>
      <c r="E1954" s="221" t="s">
        <v>27</v>
      </c>
      <c r="F1954" s="223">
        <v>0</v>
      </c>
      <c r="G1954" s="221" t="s">
        <v>71</v>
      </c>
      <c r="H1954" s="221" t="s">
        <v>71</v>
      </c>
      <c r="I1954" s="224"/>
    </row>
    <row r="1955" ht="17.25" customHeight="1" spans="1:9" x14ac:dyDescent="0.25">
      <c r="A1955" s="220">
        <v>2006</v>
      </c>
      <c r="B1955" s="221" t="s">
        <v>4328</v>
      </c>
      <c r="C1955" s="222" t="s">
        <v>4329</v>
      </c>
      <c r="D1955" s="221" t="s">
        <v>3862</v>
      </c>
      <c r="E1955" s="221" t="s">
        <v>27</v>
      </c>
      <c r="F1955" s="223">
        <v>0</v>
      </c>
      <c r="G1955" s="221" t="s">
        <v>71</v>
      </c>
      <c r="H1955" s="221" t="s">
        <v>71</v>
      </c>
      <c r="I1955" s="224"/>
    </row>
    <row r="1956" ht="17.25" customHeight="1" spans="1:9" x14ac:dyDescent="0.25">
      <c r="A1956" s="220">
        <v>2007</v>
      </c>
      <c r="B1956" s="221" t="s">
        <v>4330</v>
      </c>
      <c r="C1956" s="222" t="s">
        <v>4331</v>
      </c>
      <c r="D1956" s="221" t="s">
        <v>3862</v>
      </c>
      <c r="E1956" s="221" t="s">
        <v>27</v>
      </c>
      <c r="F1956" s="223">
        <v>0</v>
      </c>
      <c r="G1956" s="221" t="s">
        <v>71</v>
      </c>
      <c r="H1956" s="221" t="s">
        <v>71</v>
      </c>
      <c r="I1956" s="224"/>
    </row>
    <row r="1957" ht="17.25" customHeight="1" spans="1:9" x14ac:dyDescent="0.25">
      <c r="A1957" s="220">
        <v>2008</v>
      </c>
      <c r="B1957" s="221" t="s">
        <v>4332</v>
      </c>
      <c r="C1957" s="222" t="s">
        <v>4333</v>
      </c>
      <c r="D1957" s="221" t="s">
        <v>3862</v>
      </c>
      <c r="E1957" s="221" t="s">
        <v>27</v>
      </c>
      <c r="F1957" s="223">
        <v>0</v>
      </c>
      <c r="G1957" s="221" t="s">
        <v>71</v>
      </c>
      <c r="H1957" s="221" t="s">
        <v>71</v>
      </c>
      <c r="I1957" s="224"/>
    </row>
    <row r="1958" ht="17.25" customHeight="1" spans="1:9" x14ac:dyDescent="0.25">
      <c r="A1958" s="220">
        <v>2009</v>
      </c>
      <c r="B1958" s="221" t="s">
        <v>4334</v>
      </c>
      <c r="C1958" s="222" t="s">
        <v>4335</v>
      </c>
      <c r="D1958" s="221" t="s">
        <v>3862</v>
      </c>
      <c r="E1958" s="221" t="s">
        <v>27</v>
      </c>
      <c r="F1958" s="223">
        <v>0</v>
      </c>
      <c r="G1958" s="221" t="s">
        <v>71</v>
      </c>
      <c r="H1958" s="221" t="s">
        <v>71</v>
      </c>
      <c r="I1958" s="224"/>
    </row>
    <row r="1959" ht="17.25" customHeight="1" spans="1:9" x14ac:dyDescent="0.25">
      <c r="A1959" s="220">
        <v>2010</v>
      </c>
      <c r="B1959" s="221" t="s">
        <v>4336</v>
      </c>
      <c r="C1959" s="222" t="s">
        <v>4337</v>
      </c>
      <c r="D1959" s="221" t="s">
        <v>3862</v>
      </c>
      <c r="E1959" s="221" t="s">
        <v>27</v>
      </c>
      <c r="F1959" s="223">
        <v>0</v>
      </c>
      <c r="G1959" s="221" t="s">
        <v>71</v>
      </c>
      <c r="H1959" s="221" t="s">
        <v>71</v>
      </c>
      <c r="I1959" s="224"/>
    </row>
    <row r="1960" ht="17.25" customHeight="1" spans="1:9" x14ac:dyDescent="0.25">
      <c r="A1960" s="220">
        <v>2012</v>
      </c>
      <c r="B1960" s="221" t="s">
        <v>4338</v>
      </c>
      <c r="C1960" s="222" t="s">
        <v>4339</v>
      </c>
      <c r="D1960" s="221" t="s">
        <v>3862</v>
      </c>
      <c r="E1960" s="221" t="s">
        <v>27</v>
      </c>
      <c r="F1960" s="223">
        <v>0</v>
      </c>
      <c r="G1960" s="221" t="s">
        <v>71</v>
      </c>
      <c r="H1960" s="221" t="s">
        <v>71</v>
      </c>
      <c r="I1960" s="224"/>
    </row>
    <row r="1961" ht="17.25" customHeight="1" spans="1:9" x14ac:dyDescent="0.25">
      <c r="A1961" s="220">
        <v>2013</v>
      </c>
      <c r="B1961" s="221" t="s">
        <v>4340</v>
      </c>
      <c r="C1961" s="222" t="s">
        <v>4341</v>
      </c>
      <c r="D1961" s="221" t="s">
        <v>3862</v>
      </c>
      <c r="E1961" s="221" t="s">
        <v>27</v>
      </c>
      <c r="F1961" s="223">
        <v>0</v>
      </c>
      <c r="G1961" s="221" t="s">
        <v>71</v>
      </c>
      <c r="H1961" s="221" t="s">
        <v>71</v>
      </c>
      <c r="I1961" s="224"/>
    </row>
    <row r="1962" ht="17.25" customHeight="1" spans="1:9" x14ac:dyDescent="0.25">
      <c r="A1962" s="220">
        <v>2014</v>
      </c>
      <c r="B1962" s="221" t="s">
        <v>4342</v>
      </c>
      <c r="C1962" s="222" t="s">
        <v>4343</v>
      </c>
      <c r="D1962" s="221" t="s">
        <v>3862</v>
      </c>
      <c r="E1962" s="221" t="s">
        <v>27</v>
      </c>
      <c r="F1962" s="223">
        <v>0</v>
      </c>
      <c r="G1962" s="221" t="s">
        <v>71</v>
      </c>
      <c r="H1962" s="221" t="s">
        <v>71</v>
      </c>
      <c r="I1962" s="224"/>
    </row>
    <row r="1963" ht="17.25" customHeight="1" spans="1:9" x14ac:dyDescent="0.25">
      <c r="A1963" s="220">
        <v>2015</v>
      </c>
      <c r="B1963" s="221" t="s">
        <v>4344</v>
      </c>
      <c r="C1963" s="222" t="s">
        <v>4345</v>
      </c>
      <c r="D1963" s="221" t="s">
        <v>3862</v>
      </c>
      <c r="E1963" s="221" t="s">
        <v>27</v>
      </c>
      <c r="F1963" s="223">
        <v>0</v>
      </c>
      <c r="G1963" s="221" t="s">
        <v>71</v>
      </c>
      <c r="H1963" s="221" t="s">
        <v>71</v>
      </c>
      <c r="I1963" s="224"/>
    </row>
    <row r="1964" ht="17.25" customHeight="1" spans="1:9" x14ac:dyDescent="0.25">
      <c r="A1964" s="220">
        <v>2016</v>
      </c>
      <c r="B1964" s="221" t="s">
        <v>4346</v>
      </c>
      <c r="C1964" s="222" t="s">
        <v>4347</v>
      </c>
      <c r="D1964" s="221" t="s">
        <v>3862</v>
      </c>
      <c r="E1964" s="221" t="s">
        <v>27</v>
      </c>
      <c r="F1964" s="223">
        <v>0</v>
      </c>
      <c r="G1964" s="221" t="s">
        <v>71</v>
      </c>
      <c r="H1964" s="221" t="s">
        <v>71</v>
      </c>
      <c r="I1964" s="224"/>
    </row>
    <row r="1965" ht="17.25" customHeight="1" spans="1:9" x14ac:dyDescent="0.25">
      <c r="A1965" s="220">
        <v>2018</v>
      </c>
      <c r="B1965" s="221" t="s">
        <v>4348</v>
      </c>
      <c r="C1965" s="222" t="s">
        <v>4349</v>
      </c>
      <c r="D1965" s="221" t="s">
        <v>3862</v>
      </c>
      <c r="E1965" s="221" t="s">
        <v>27</v>
      </c>
      <c r="F1965" s="223">
        <v>0</v>
      </c>
      <c r="G1965" s="221" t="s">
        <v>71</v>
      </c>
      <c r="H1965" s="221" t="s">
        <v>71</v>
      </c>
      <c r="I1965" s="224"/>
    </row>
    <row r="1966" ht="17.25" customHeight="1" spans="1:9" x14ac:dyDescent="0.25">
      <c r="A1966" s="220">
        <v>2019</v>
      </c>
      <c r="B1966" s="221" t="s">
        <v>4350</v>
      </c>
      <c r="C1966" s="222" t="s">
        <v>4351</v>
      </c>
      <c r="D1966" s="221" t="s">
        <v>3862</v>
      </c>
      <c r="E1966" s="221" t="s">
        <v>27</v>
      </c>
      <c r="F1966" s="223">
        <v>0</v>
      </c>
      <c r="G1966" s="221" t="s">
        <v>71</v>
      </c>
      <c r="H1966" s="221" t="s">
        <v>71</v>
      </c>
      <c r="I1966" s="224"/>
    </row>
    <row r="1967" ht="17.25" customHeight="1" spans="1:9" x14ac:dyDescent="0.25">
      <c r="A1967" s="220">
        <v>2020</v>
      </c>
      <c r="B1967" s="221" t="s">
        <v>4352</v>
      </c>
      <c r="C1967" s="222" t="s">
        <v>4353</v>
      </c>
      <c r="D1967" s="221" t="s">
        <v>3862</v>
      </c>
      <c r="E1967" s="221" t="s">
        <v>27</v>
      </c>
      <c r="F1967" s="223">
        <v>0</v>
      </c>
      <c r="G1967" s="221" t="s">
        <v>71</v>
      </c>
      <c r="H1967" s="221" t="s">
        <v>71</v>
      </c>
      <c r="I1967" s="222"/>
    </row>
    <row r="1968" ht="17.25" customHeight="1" spans="1:9" x14ac:dyDescent="0.25">
      <c r="A1968" s="220">
        <v>2022</v>
      </c>
      <c r="B1968" s="221" t="s">
        <v>4354</v>
      </c>
      <c r="C1968" s="222" t="s">
        <v>4355</v>
      </c>
      <c r="D1968" s="221" t="s">
        <v>3862</v>
      </c>
      <c r="E1968" s="221" t="s">
        <v>27</v>
      </c>
      <c r="F1968" s="223">
        <v>0</v>
      </c>
      <c r="G1968" s="221" t="s">
        <v>71</v>
      </c>
      <c r="H1968" s="221" t="s">
        <v>71</v>
      </c>
      <c r="I1968" s="224"/>
    </row>
    <row r="1969" ht="17.25" customHeight="1" spans="1:9" x14ac:dyDescent="0.25">
      <c r="A1969" s="220">
        <v>2023</v>
      </c>
      <c r="B1969" s="221" t="s">
        <v>4356</v>
      </c>
      <c r="C1969" s="222" t="s">
        <v>4357</v>
      </c>
      <c r="D1969" s="221" t="s">
        <v>3862</v>
      </c>
      <c r="E1969" s="221" t="s">
        <v>27</v>
      </c>
      <c r="F1969" s="223">
        <v>0</v>
      </c>
      <c r="G1969" s="221" t="s">
        <v>71</v>
      </c>
      <c r="H1969" s="221" t="s">
        <v>71</v>
      </c>
      <c r="I1969" s="224"/>
    </row>
    <row r="1970" ht="17.25" customHeight="1" spans="1:9" x14ac:dyDescent="0.25">
      <c r="A1970" s="220">
        <v>2025</v>
      </c>
      <c r="B1970" s="221" t="s">
        <v>4358</v>
      </c>
      <c r="C1970" s="222" t="s">
        <v>4359</v>
      </c>
      <c r="D1970" s="221" t="s">
        <v>3862</v>
      </c>
      <c r="E1970" s="221" t="s">
        <v>27</v>
      </c>
      <c r="F1970" s="223">
        <v>0</v>
      </c>
      <c r="G1970" s="221" t="s">
        <v>71</v>
      </c>
      <c r="H1970" s="221" t="s">
        <v>71</v>
      </c>
      <c r="I1970" s="224"/>
    </row>
    <row r="1971" ht="17.25" customHeight="1" spans="1:9" x14ac:dyDescent="0.25">
      <c r="A1971" s="220">
        <v>2026</v>
      </c>
      <c r="B1971" s="221" t="s">
        <v>4360</v>
      </c>
      <c r="C1971" s="222" t="s">
        <v>4361</v>
      </c>
      <c r="D1971" s="221" t="s">
        <v>3862</v>
      </c>
      <c r="E1971" s="221" t="s">
        <v>27</v>
      </c>
      <c r="F1971" s="223">
        <v>0</v>
      </c>
      <c r="G1971" s="221" t="s">
        <v>71</v>
      </c>
      <c r="H1971" s="221" t="s">
        <v>71</v>
      </c>
      <c r="I1971" s="224"/>
    </row>
    <row r="1972" ht="17.25" customHeight="1" spans="1:9" x14ac:dyDescent="0.25">
      <c r="A1972" s="220">
        <v>2027</v>
      </c>
      <c r="B1972" s="221" t="s">
        <v>4362</v>
      </c>
      <c r="C1972" s="222" t="s">
        <v>4363</v>
      </c>
      <c r="D1972" s="221" t="s">
        <v>3862</v>
      </c>
      <c r="E1972" s="221" t="s">
        <v>27</v>
      </c>
      <c r="F1972" s="223">
        <v>0</v>
      </c>
      <c r="G1972" s="221" t="s">
        <v>71</v>
      </c>
      <c r="H1972" s="221" t="s">
        <v>71</v>
      </c>
      <c r="I1972" s="224"/>
    </row>
    <row r="1973" ht="17.25" customHeight="1" spans="1:9" x14ac:dyDescent="0.25">
      <c r="A1973" s="220">
        <v>2028</v>
      </c>
      <c r="B1973" s="221" t="s">
        <v>4364</v>
      </c>
      <c r="C1973" s="222" t="s">
        <v>4365</v>
      </c>
      <c r="D1973" s="221" t="s">
        <v>3862</v>
      </c>
      <c r="E1973" s="221" t="s">
        <v>27</v>
      </c>
      <c r="F1973" s="223">
        <v>0</v>
      </c>
      <c r="G1973" s="221" t="s">
        <v>71</v>
      </c>
      <c r="H1973" s="221" t="s">
        <v>71</v>
      </c>
      <c r="I1973" s="224"/>
    </row>
    <row r="1974" ht="17.25" customHeight="1" spans="1:9" x14ac:dyDescent="0.25">
      <c r="A1974" s="220">
        <v>2029</v>
      </c>
      <c r="B1974" s="221" t="s">
        <v>4366</v>
      </c>
      <c r="C1974" s="222" t="s">
        <v>4367</v>
      </c>
      <c r="D1974" s="221" t="s">
        <v>3862</v>
      </c>
      <c r="E1974" s="221" t="s">
        <v>27</v>
      </c>
      <c r="F1974" s="223">
        <v>0</v>
      </c>
      <c r="G1974" s="221" t="s">
        <v>71</v>
      </c>
      <c r="H1974" s="221" t="s">
        <v>71</v>
      </c>
      <c r="I1974" s="224"/>
    </row>
    <row r="1975" ht="17.25" customHeight="1" spans="1:9" x14ac:dyDescent="0.25">
      <c r="A1975" s="220">
        <v>2030</v>
      </c>
      <c r="B1975" s="221" t="s">
        <v>4368</v>
      </c>
      <c r="C1975" s="222" t="s">
        <v>4008</v>
      </c>
      <c r="D1975" s="221" t="s">
        <v>3862</v>
      </c>
      <c r="E1975" s="221" t="s">
        <v>27</v>
      </c>
      <c r="F1975" s="223">
        <v>0</v>
      </c>
      <c r="G1975" s="221" t="s">
        <v>71</v>
      </c>
      <c r="H1975" s="221" t="s">
        <v>71</v>
      </c>
      <c r="I1975" s="224"/>
    </row>
    <row r="1976" ht="17.25" customHeight="1" spans="1:9" x14ac:dyDescent="0.25">
      <c r="A1976" s="220">
        <v>2031</v>
      </c>
      <c r="B1976" s="221" t="s">
        <v>4369</v>
      </c>
      <c r="C1976" s="222" t="s">
        <v>4370</v>
      </c>
      <c r="D1976" s="221" t="s">
        <v>3862</v>
      </c>
      <c r="E1976" s="221" t="s">
        <v>27</v>
      </c>
      <c r="F1976" s="223">
        <v>0</v>
      </c>
      <c r="G1976" s="221" t="s">
        <v>71</v>
      </c>
      <c r="H1976" s="221" t="s">
        <v>71</v>
      </c>
      <c r="I1976" s="224"/>
    </row>
    <row r="1977" ht="17.25" customHeight="1" spans="1:9" x14ac:dyDescent="0.25">
      <c r="A1977" s="220">
        <v>2032</v>
      </c>
      <c r="B1977" s="221" t="s">
        <v>4371</v>
      </c>
      <c r="C1977" s="222" t="s">
        <v>4372</v>
      </c>
      <c r="D1977" s="221" t="s">
        <v>3862</v>
      </c>
      <c r="E1977" s="221" t="s">
        <v>27</v>
      </c>
      <c r="F1977" s="223">
        <v>0</v>
      </c>
      <c r="G1977" s="221" t="s">
        <v>71</v>
      </c>
      <c r="H1977" s="221" t="s">
        <v>71</v>
      </c>
      <c r="I1977" s="224"/>
    </row>
    <row r="1978" ht="17.25" customHeight="1" spans="1:9" x14ac:dyDescent="0.25">
      <c r="A1978" s="220">
        <v>2033</v>
      </c>
      <c r="B1978" s="221" t="s">
        <v>4373</v>
      </c>
      <c r="C1978" s="222" t="s">
        <v>4374</v>
      </c>
      <c r="D1978" s="221" t="s">
        <v>3862</v>
      </c>
      <c r="E1978" s="221" t="s">
        <v>27</v>
      </c>
      <c r="F1978" s="223">
        <v>0</v>
      </c>
      <c r="G1978" s="221" t="s">
        <v>71</v>
      </c>
      <c r="H1978" s="221" t="s">
        <v>71</v>
      </c>
      <c r="I1978" s="224"/>
    </row>
    <row r="1979" ht="17.25" customHeight="1" spans="1:9" x14ac:dyDescent="0.25">
      <c r="A1979" s="220">
        <v>2034</v>
      </c>
      <c r="B1979" s="221" t="s">
        <v>4375</v>
      </c>
      <c r="C1979" s="222" t="s">
        <v>4376</v>
      </c>
      <c r="D1979" s="221" t="s">
        <v>3862</v>
      </c>
      <c r="E1979" s="221" t="s">
        <v>27</v>
      </c>
      <c r="F1979" s="223">
        <v>0</v>
      </c>
      <c r="G1979" s="221" t="s">
        <v>71</v>
      </c>
      <c r="H1979" s="221" t="s">
        <v>71</v>
      </c>
      <c r="I1979" s="224"/>
    </row>
    <row r="1980" ht="17.25" customHeight="1" spans="1:9" x14ac:dyDescent="0.25">
      <c r="A1980" s="220">
        <v>2035</v>
      </c>
      <c r="B1980" s="221" t="s">
        <v>4377</v>
      </c>
      <c r="C1980" s="222" t="s">
        <v>4378</v>
      </c>
      <c r="D1980" s="221" t="s">
        <v>3862</v>
      </c>
      <c r="E1980" s="221" t="s">
        <v>27</v>
      </c>
      <c r="F1980" s="223">
        <v>0</v>
      </c>
      <c r="G1980" s="221" t="s">
        <v>71</v>
      </c>
      <c r="H1980" s="221" t="s">
        <v>71</v>
      </c>
      <c r="I1980" s="224"/>
    </row>
    <row r="1981" ht="17.25" customHeight="1" spans="1:9" x14ac:dyDescent="0.25">
      <c r="A1981" s="220">
        <v>2037</v>
      </c>
      <c r="B1981" s="221" t="s">
        <v>4379</v>
      </c>
      <c r="C1981" s="222" t="s">
        <v>4380</v>
      </c>
      <c r="D1981" s="221" t="s">
        <v>3862</v>
      </c>
      <c r="E1981" s="221" t="s">
        <v>27</v>
      </c>
      <c r="F1981" s="223">
        <v>0</v>
      </c>
      <c r="G1981" s="221" t="s">
        <v>71</v>
      </c>
      <c r="H1981" s="221" t="s">
        <v>71</v>
      </c>
      <c r="I1981" s="224"/>
    </row>
    <row r="1982" ht="17.25" customHeight="1" spans="1:9" x14ac:dyDescent="0.25">
      <c r="A1982" s="220">
        <v>2039</v>
      </c>
      <c r="B1982" s="221" t="s">
        <v>4381</v>
      </c>
      <c r="C1982" s="222" t="s">
        <v>4382</v>
      </c>
      <c r="D1982" s="221" t="s">
        <v>3862</v>
      </c>
      <c r="E1982" s="221" t="s">
        <v>27</v>
      </c>
      <c r="F1982" s="223">
        <v>0</v>
      </c>
      <c r="G1982" s="221" t="s">
        <v>71</v>
      </c>
      <c r="H1982" s="221" t="s">
        <v>71</v>
      </c>
      <c r="I1982" s="224"/>
    </row>
    <row r="1983" ht="17.25" customHeight="1" spans="1:9" x14ac:dyDescent="0.25">
      <c r="A1983" s="220">
        <v>2040</v>
      </c>
      <c r="B1983" s="221" t="s">
        <v>4383</v>
      </c>
      <c r="C1983" s="222" t="s">
        <v>4384</v>
      </c>
      <c r="D1983" s="221" t="s">
        <v>3862</v>
      </c>
      <c r="E1983" s="221" t="s">
        <v>27</v>
      </c>
      <c r="F1983" s="223">
        <v>0</v>
      </c>
      <c r="G1983" s="221" t="s">
        <v>71</v>
      </c>
      <c r="H1983" s="221" t="s">
        <v>71</v>
      </c>
      <c r="I1983" s="224"/>
    </row>
    <row r="1984" ht="17.25" customHeight="1" spans="1:9" x14ac:dyDescent="0.25">
      <c r="A1984" s="220">
        <v>2041</v>
      </c>
      <c r="B1984" s="221" t="s">
        <v>4385</v>
      </c>
      <c r="C1984" s="222" t="s">
        <v>4386</v>
      </c>
      <c r="D1984" s="221" t="s">
        <v>3862</v>
      </c>
      <c r="E1984" s="221" t="s">
        <v>27</v>
      </c>
      <c r="F1984" s="223">
        <v>0</v>
      </c>
      <c r="G1984" s="221" t="s">
        <v>71</v>
      </c>
      <c r="H1984" s="221" t="s">
        <v>71</v>
      </c>
      <c r="I1984" s="224"/>
    </row>
    <row r="1985" ht="17.25" customHeight="1" spans="1:9" x14ac:dyDescent="0.25">
      <c r="A1985" s="220">
        <v>2042</v>
      </c>
      <c r="B1985" s="221" t="s">
        <v>4387</v>
      </c>
      <c r="C1985" s="222" t="s">
        <v>4388</v>
      </c>
      <c r="D1985" s="221" t="s">
        <v>3862</v>
      </c>
      <c r="E1985" s="221" t="s">
        <v>27</v>
      </c>
      <c r="F1985" s="223">
        <v>0</v>
      </c>
      <c r="G1985" s="221" t="s">
        <v>71</v>
      </c>
      <c r="H1985" s="221" t="s">
        <v>71</v>
      </c>
      <c r="I1985" s="222"/>
    </row>
    <row r="1986" ht="17.25" customHeight="1" spans="1:9" x14ac:dyDescent="0.25">
      <c r="A1986" s="220">
        <v>2043</v>
      </c>
      <c r="B1986" s="221" t="s">
        <v>4389</v>
      </c>
      <c r="C1986" s="222" t="s">
        <v>4390</v>
      </c>
      <c r="D1986" s="221" t="s">
        <v>3862</v>
      </c>
      <c r="E1986" s="221" t="s">
        <v>27</v>
      </c>
      <c r="F1986" s="223">
        <v>0</v>
      </c>
      <c r="G1986" s="221" t="s">
        <v>71</v>
      </c>
      <c r="H1986" s="221" t="s">
        <v>71</v>
      </c>
      <c r="I1986" s="224"/>
    </row>
    <row r="1987" ht="17.25" customHeight="1" spans="1:9" x14ac:dyDescent="0.25">
      <c r="A1987" s="220">
        <v>2044</v>
      </c>
      <c r="B1987" s="221" t="s">
        <v>4391</v>
      </c>
      <c r="C1987" s="222" t="s">
        <v>4392</v>
      </c>
      <c r="D1987" s="221" t="s">
        <v>3862</v>
      </c>
      <c r="E1987" s="221" t="s">
        <v>27</v>
      </c>
      <c r="F1987" s="223">
        <v>0</v>
      </c>
      <c r="G1987" s="221" t="s">
        <v>71</v>
      </c>
      <c r="H1987" s="221" t="s">
        <v>71</v>
      </c>
      <c r="I1987" s="224"/>
    </row>
    <row r="1988" ht="17.25" customHeight="1" spans="1:9" x14ac:dyDescent="0.25">
      <c r="A1988" s="220">
        <v>2045</v>
      </c>
      <c r="B1988" s="221" t="s">
        <v>4393</v>
      </c>
      <c r="C1988" s="222" t="s">
        <v>4394</v>
      </c>
      <c r="D1988" s="221" t="s">
        <v>3862</v>
      </c>
      <c r="E1988" s="221" t="s">
        <v>27</v>
      </c>
      <c r="F1988" s="223">
        <v>0</v>
      </c>
      <c r="G1988" s="221" t="s">
        <v>71</v>
      </c>
      <c r="H1988" s="221" t="s">
        <v>71</v>
      </c>
      <c r="I1988" s="224"/>
    </row>
    <row r="1989" ht="17.25" customHeight="1" spans="1:9" x14ac:dyDescent="0.25">
      <c r="A1989" s="220">
        <v>2046</v>
      </c>
      <c r="B1989" s="221" t="s">
        <v>4395</v>
      </c>
      <c r="C1989" s="222" t="s">
        <v>4396</v>
      </c>
      <c r="D1989" s="221" t="s">
        <v>3862</v>
      </c>
      <c r="E1989" s="221" t="s">
        <v>27</v>
      </c>
      <c r="F1989" s="223">
        <v>0</v>
      </c>
      <c r="G1989" s="221" t="s">
        <v>71</v>
      </c>
      <c r="H1989" s="221" t="s">
        <v>71</v>
      </c>
      <c r="I1989" s="224"/>
    </row>
    <row r="1990" ht="17.25" customHeight="1" spans="1:9" x14ac:dyDescent="0.25">
      <c r="A1990" s="220">
        <v>2047</v>
      </c>
      <c r="B1990" s="221" t="s">
        <v>4397</v>
      </c>
      <c r="C1990" s="222" t="s">
        <v>4398</v>
      </c>
      <c r="D1990" s="221" t="s">
        <v>3862</v>
      </c>
      <c r="E1990" s="221" t="s">
        <v>27</v>
      </c>
      <c r="F1990" s="223">
        <v>0</v>
      </c>
      <c r="G1990" s="221" t="s">
        <v>71</v>
      </c>
      <c r="H1990" s="221" t="s">
        <v>71</v>
      </c>
      <c r="I1990" s="224"/>
    </row>
    <row r="1991" ht="17.25" customHeight="1" spans="1:9" x14ac:dyDescent="0.25">
      <c r="A1991" s="220">
        <v>2048</v>
      </c>
      <c r="B1991" s="221" t="s">
        <v>4399</v>
      </c>
      <c r="C1991" s="222" t="s">
        <v>4400</v>
      </c>
      <c r="D1991" s="221" t="s">
        <v>3862</v>
      </c>
      <c r="E1991" s="221" t="s">
        <v>27</v>
      </c>
      <c r="F1991" s="223">
        <v>0</v>
      </c>
      <c r="G1991" s="221" t="s">
        <v>71</v>
      </c>
      <c r="H1991" s="221" t="s">
        <v>71</v>
      </c>
      <c r="I1991" s="224"/>
    </row>
    <row r="1992" ht="17.25" customHeight="1" spans="1:9" x14ac:dyDescent="0.25">
      <c r="A1992" s="220">
        <v>2049</v>
      </c>
      <c r="B1992" s="221" t="s">
        <v>4401</v>
      </c>
      <c r="C1992" s="222" t="s">
        <v>4402</v>
      </c>
      <c r="D1992" s="221" t="s">
        <v>3862</v>
      </c>
      <c r="E1992" s="221" t="s">
        <v>27</v>
      </c>
      <c r="F1992" s="223">
        <v>0</v>
      </c>
      <c r="G1992" s="221" t="s">
        <v>71</v>
      </c>
      <c r="H1992" s="221" t="s">
        <v>71</v>
      </c>
      <c r="I1992" s="224"/>
    </row>
    <row r="1993" ht="17.25" customHeight="1" spans="1:9" x14ac:dyDescent="0.25">
      <c r="A1993" s="220">
        <v>2050</v>
      </c>
      <c r="B1993" s="221" t="s">
        <v>4403</v>
      </c>
      <c r="C1993" s="222" t="s">
        <v>4404</v>
      </c>
      <c r="D1993" s="221" t="s">
        <v>3862</v>
      </c>
      <c r="E1993" s="221" t="s">
        <v>27</v>
      </c>
      <c r="F1993" s="223">
        <v>0</v>
      </c>
      <c r="G1993" s="221" t="s">
        <v>71</v>
      </c>
      <c r="H1993" s="221" t="s">
        <v>71</v>
      </c>
      <c r="I1993" s="224"/>
    </row>
    <row r="1994" ht="17.25" customHeight="1" spans="1:9" x14ac:dyDescent="0.25">
      <c r="A1994" s="220">
        <v>2051</v>
      </c>
      <c r="B1994" s="221" t="s">
        <v>4405</v>
      </c>
      <c r="C1994" s="222" t="s">
        <v>4406</v>
      </c>
      <c r="D1994" s="221" t="s">
        <v>3862</v>
      </c>
      <c r="E1994" s="221" t="s">
        <v>27</v>
      </c>
      <c r="F1994" s="223">
        <v>0</v>
      </c>
      <c r="G1994" s="221" t="s">
        <v>71</v>
      </c>
      <c r="H1994" s="221" t="s">
        <v>71</v>
      </c>
      <c r="I1994" s="224"/>
    </row>
    <row r="1995" ht="17.25" customHeight="1" spans="1:9" x14ac:dyDescent="0.25">
      <c r="A1995" s="220">
        <v>2052</v>
      </c>
      <c r="B1995" s="221" t="s">
        <v>4407</v>
      </c>
      <c r="C1995" s="222" t="s">
        <v>4408</v>
      </c>
      <c r="D1995" s="221" t="s">
        <v>3862</v>
      </c>
      <c r="E1995" s="221" t="s">
        <v>27</v>
      </c>
      <c r="F1995" s="223">
        <v>0</v>
      </c>
      <c r="G1995" s="221" t="s">
        <v>71</v>
      </c>
      <c r="H1995" s="221" t="s">
        <v>71</v>
      </c>
      <c r="I1995" s="224"/>
    </row>
    <row r="1996" ht="17.25" customHeight="1" spans="1:9" x14ac:dyDescent="0.25">
      <c r="A1996" s="220">
        <v>2053</v>
      </c>
      <c r="B1996" s="221" t="s">
        <v>4409</v>
      </c>
      <c r="C1996" s="222" t="s">
        <v>4410</v>
      </c>
      <c r="D1996" s="221" t="s">
        <v>4411</v>
      </c>
      <c r="E1996" s="221" t="s">
        <v>27</v>
      </c>
      <c r="F1996" s="223">
        <v>0</v>
      </c>
      <c r="G1996" s="221"/>
      <c r="H1996" s="221"/>
      <c r="I1996" s="224"/>
    </row>
    <row r="1997" ht="17.25" customHeight="1" spans="1:9" x14ac:dyDescent="0.25">
      <c r="A1997" s="220">
        <v>2054</v>
      </c>
      <c r="B1997" s="221" t="s">
        <v>4412</v>
      </c>
      <c r="C1997" s="222" t="s">
        <v>4413</v>
      </c>
      <c r="D1997" s="221" t="s">
        <v>4411</v>
      </c>
      <c r="E1997" s="221" t="s">
        <v>27</v>
      </c>
      <c r="F1997" s="223">
        <v>0</v>
      </c>
      <c r="G1997" s="221"/>
      <c r="H1997" s="221"/>
      <c r="I1997" s="224"/>
    </row>
    <row r="1998" ht="17.25" customHeight="1" spans="1:9" x14ac:dyDescent="0.25">
      <c r="A1998" s="220">
        <v>2055</v>
      </c>
      <c r="B1998" s="221" t="s">
        <v>4414</v>
      </c>
      <c r="C1998" s="222" t="s">
        <v>4415</v>
      </c>
      <c r="D1998" s="221" t="s">
        <v>4411</v>
      </c>
      <c r="E1998" s="221" t="s">
        <v>27</v>
      </c>
      <c r="F1998" s="223">
        <v>0</v>
      </c>
      <c r="G1998" s="221"/>
      <c r="H1998" s="221"/>
      <c r="I1998" s="224"/>
    </row>
    <row r="1999" ht="17.25" customHeight="1" spans="1:9" x14ac:dyDescent="0.25">
      <c r="A1999" s="220">
        <v>2056</v>
      </c>
      <c r="B1999" s="221" t="s">
        <v>4416</v>
      </c>
      <c r="C1999" s="222" t="s">
        <v>4417</v>
      </c>
      <c r="D1999" s="221" t="s">
        <v>4411</v>
      </c>
      <c r="E1999" s="221" t="s">
        <v>27</v>
      </c>
      <c r="F1999" s="223">
        <v>0</v>
      </c>
      <c r="G1999" s="221"/>
      <c r="H1999" s="221"/>
      <c r="I1999" s="224"/>
    </row>
    <row r="2000" ht="17.25" customHeight="1" spans="1:9" x14ac:dyDescent="0.25">
      <c r="A2000" s="220">
        <v>2057</v>
      </c>
      <c r="B2000" s="221" t="s">
        <v>4418</v>
      </c>
      <c r="C2000" s="222" t="s">
        <v>4419</v>
      </c>
      <c r="D2000" s="221" t="s">
        <v>4411</v>
      </c>
      <c r="E2000" s="221" t="s">
        <v>27</v>
      </c>
      <c r="F2000" s="223">
        <v>0</v>
      </c>
      <c r="G2000" s="221"/>
      <c r="H2000" s="221"/>
      <c r="I2000" s="224"/>
    </row>
    <row r="2001" ht="17.25" customHeight="1" spans="1:9" x14ac:dyDescent="0.25">
      <c r="A2001" s="220">
        <v>2058</v>
      </c>
      <c r="B2001" s="221" t="s">
        <v>4420</v>
      </c>
      <c r="C2001" s="222" t="s">
        <v>4421</v>
      </c>
      <c r="D2001" s="221" t="s">
        <v>4411</v>
      </c>
      <c r="E2001" s="221" t="s">
        <v>27</v>
      </c>
      <c r="F2001" s="223">
        <v>0</v>
      </c>
      <c r="G2001" s="221"/>
      <c r="H2001" s="221"/>
      <c r="I2001" s="224"/>
    </row>
    <row r="2002" ht="17.25" customHeight="1" spans="1:9" x14ac:dyDescent="0.25">
      <c r="A2002" s="220">
        <v>2059</v>
      </c>
      <c r="B2002" s="221" t="s">
        <v>4422</v>
      </c>
      <c r="C2002" s="222" t="s">
        <v>4423</v>
      </c>
      <c r="D2002" s="221" t="s">
        <v>4411</v>
      </c>
      <c r="E2002" s="221" t="s">
        <v>27</v>
      </c>
      <c r="F2002" s="223">
        <v>0</v>
      </c>
      <c r="G2002" s="221"/>
      <c r="H2002" s="221"/>
      <c r="I2002" s="224"/>
    </row>
    <row r="2003" ht="17.25" customHeight="1" spans="1:9" x14ac:dyDescent="0.25">
      <c r="A2003" s="220">
        <v>2060</v>
      </c>
      <c r="B2003" s="221" t="s">
        <v>4424</v>
      </c>
      <c r="C2003" s="222" t="s">
        <v>4425</v>
      </c>
      <c r="D2003" s="221" t="s">
        <v>4411</v>
      </c>
      <c r="E2003" s="221" t="s">
        <v>27</v>
      </c>
      <c r="F2003" s="223">
        <v>0</v>
      </c>
      <c r="G2003" s="221"/>
      <c r="H2003" s="221"/>
      <c r="I2003" s="224"/>
    </row>
    <row r="2004" ht="17.25" customHeight="1" spans="1:9" x14ac:dyDescent="0.25">
      <c r="A2004" s="220">
        <v>2061</v>
      </c>
      <c r="B2004" s="221" t="s">
        <v>4426</v>
      </c>
      <c r="C2004" s="222" t="s">
        <v>4427</v>
      </c>
      <c r="D2004" s="221" t="s">
        <v>4411</v>
      </c>
      <c r="E2004" s="221" t="s">
        <v>27</v>
      </c>
      <c r="F2004" s="223">
        <v>0</v>
      </c>
      <c r="G2004" s="221"/>
      <c r="H2004" s="221"/>
      <c r="I2004" s="224"/>
    </row>
    <row r="2005" ht="17.25" customHeight="1" spans="1:9" x14ac:dyDescent="0.25">
      <c r="A2005" s="220">
        <v>2062</v>
      </c>
      <c r="B2005" s="221" t="s">
        <v>4428</v>
      </c>
      <c r="C2005" s="222" t="s">
        <v>4429</v>
      </c>
      <c r="D2005" s="221" t="s">
        <v>4411</v>
      </c>
      <c r="E2005" s="221" t="s">
        <v>27</v>
      </c>
      <c r="F2005" s="223">
        <v>0</v>
      </c>
      <c r="G2005" s="221"/>
      <c r="H2005" s="221"/>
      <c r="I2005" s="224"/>
    </row>
    <row r="2006" ht="17.25" customHeight="1" spans="1:9" x14ac:dyDescent="0.25">
      <c r="A2006" s="220">
        <v>2063</v>
      </c>
      <c r="B2006" s="221" t="s">
        <v>4430</v>
      </c>
      <c r="C2006" s="222" t="s">
        <v>4431</v>
      </c>
      <c r="D2006" s="221" t="s">
        <v>4411</v>
      </c>
      <c r="E2006" s="221" t="s">
        <v>27</v>
      </c>
      <c r="F2006" s="223">
        <v>0</v>
      </c>
      <c r="G2006" s="221"/>
      <c r="H2006" s="221"/>
      <c r="I2006" s="224"/>
    </row>
    <row r="2007" ht="17.25" customHeight="1" spans="1:9" x14ac:dyDescent="0.25">
      <c r="A2007" s="220">
        <v>2064</v>
      </c>
      <c r="B2007" s="221" t="s">
        <v>4432</v>
      </c>
      <c r="C2007" s="222" t="s">
        <v>4433</v>
      </c>
      <c r="D2007" s="221" t="s">
        <v>4434</v>
      </c>
      <c r="E2007" s="221" t="s">
        <v>28</v>
      </c>
      <c r="F2007" s="223">
        <v>0</v>
      </c>
      <c r="G2007" s="221"/>
      <c r="H2007" s="221"/>
      <c r="I2007" s="224"/>
    </row>
    <row r="2008" ht="17.25" customHeight="1" spans="1:9" x14ac:dyDescent="0.25">
      <c r="A2008" s="220">
        <v>2065</v>
      </c>
      <c r="B2008" s="221" t="s">
        <v>4435</v>
      </c>
      <c r="C2008" s="222" t="s">
        <v>4436</v>
      </c>
      <c r="D2008" s="221" t="s">
        <v>4434</v>
      </c>
      <c r="E2008" s="221" t="s">
        <v>28</v>
      </c>
      <c r="F2008" s="223">
        <v>0</v>
      </c>
      <c r="G2008" s="221"/>
      <c r="H2008" s="221"/>
      <c r="I2008" s="224"/>
    </row>
    <row r="2009" ht="17.25" customHeight="1" spans="1:9" x14ac:dyDescent="0.25">
      <c r="A2009" s="220">
        <v>2066</v>
      </c>
      <c r="B2009" s="221" t="s">
        <v>4437</v>
      </c>
      <c r="C2009" s="222" t="s">
        <v>4438</v>
      </c>
      <c r="D2009" s="221" t="s">
        <v>4434</v>
      </c>
      <c r="E2009" s="221" t="s">
        <v>28</v>
      </c>
      <c r="F2009" s="223">
        <v>0</v>
      </c>
      <c r="G2009" s="221"/>
      <c r="H2009" s="221"/>
      <c r="I2009" s="224"/>
    </row>
    <row r="2010" ht="17.25" customHeight="1" spans="1:9" x14ac:dyDescent="0.25">
      <c r="A2010" s="220">
        <v>2067</v>
      </c>
      <c r="B2010" s="221" t="s">
        <v>4439</v>
      </c>
      <c r="C2010" s="222" t="s">
        <v>4440</v>
      </c>
      <c r="D2010" s="221" t="s">
        <v>4434</v>
      </c>
      <c r="E2010" s="221" t="s">
        <v>28</v>
      </c>
      <c r="F2010" s="223">
        <v>0</v>
      </c>
      <c r="G2010" s="221"/>
      <c r="H2010" s="221"/>
      <c r="I2010" s="224"/>
    </row>
    <row r="2011" ht="17.25" customHeight="1" spans="1:9" x14ac:dyDescent="0.25">
      <c r="A2011" s="220">
        <v>2068</v>
      </c>
      <c r="B2011" s="221" t="s">
        <v>4441</v>
      </c>
      <c r="C2011" s="222" t="s">
        <v>4442</v>
      </c>
      <c r="D2011" s="221" t="s">
        <v>4434</v>
      </c>
      <c r="E2011" s="221" t="s">
        <v>28</v>
      </c>
      <c r="F2011" s="223">
        <v>0</v>
      </c>
      <c r="G2011" s="221"/>
      <c r="H2011" s="221"/>
      <c r="I2011" s="224"/>
    </row>
    <row r="2012" ht="17.25" customHeight="1" spans="1:9" x14ac:dyDescent="0.25">
      <c r="A2012" s="220">
        <v>2069</v>
      </c>
      <c r="B2012" s="221" t="s">
        <v>4443</v>
      </c>
      <c r="C2012" s="222" t="s">
        <v>4444</v>
      </c>
      <c r="D2012" s="221" t="s">
        <v>4434</v>
      </c>
      <c r="E2012" s="221" t="s">
        <v>28</v>
      </c>
      <c r="F2012" s="223">
        <v>0</v>
      </c>
      <c r="G2012" s="221"/>
      <c r="H2012" s="221"/>
      <c r="I2012" s="224"/>
    </row>
    <row r="2013" ht="17.25" customHeight="1" spans="1:9" x14ac:dyDescent="0.25">
      <c r="A2013" s="220">
        <v>2070</v>
      </c>
      <c r="B2013" s="221" t="s">
        <v>4445</v>
      </c>
      <c r="C2013" s="222" t="s">
        <v>4446</v>
      </c>
      <c r="D2013" s="221" t="s">
        <v>4434</v>
      </c>
      <c r="E2013" s="221" t="s">
        <v>28</v>
      </c>
      <c r="F2013" s="223">
        <v>0</v>
      </c>
      <c r="G2013" s="221"/>
      <c r="H2013" s="221"/>
      <c r="I2013" s="224"/>
    </row>
    <row r="2014" ht="17.25" customHeight="1" spans="1:9" x14ac:dyDescent="0.25">
      <c r="A2014" s="220">
        <v>2071</v>
      </c>
      <c r="B2014" s="221" t="s">
        <v>4447</v>
      </c>
      <c r="C2014" s="222" t="s">
        <v>4448</v>
      </c>
      <c r="D2014" s="221" t="s">
        <v>4434</v>
      </c>
      <c r="E2014" s="221" t="s">
        <v>28</v>
      </c>
      <c r="F2014" s="223">
        <v>0</v>
      </c>
      <c r="G2014" s="221"/>
      <c r="H2014" s="221"/>
      <c r="I2014" s="224"/>
    </row>
    <row r="2015" ht="17.25" customHeight="1" spans="1:9" x14ac:dyDescent="0.25">
      <c r="A2015" s="220">
        <v>2072</v>
      </c>
      <c r="B2015" s="221" t="s">
        <v>4449</v>
      </c>
      <c r="C2015" s="222" t="s">
        <v>4450</v>
      </c>
      <c r="D2015" s="221" t="s">
        <v>4434</v>
      </c>
      <c r="E2015" s="221" t="s">
        <v>28</v>
      </c>
      <c r="F2015" s="223">
        <v>0</v>
      </c>
      <c r="G2015" s="221"/>
      <c r="H2015" s="221"/>
      <c r="I2015" s="224"/>
    </row>
    <row r="2016" ht="17.25" customHeight="1" spans="1:9" x14ac:dyDescent="0.25">
      <c r="A2016" s="220">
        <v>2073</v>
      </c>
      <c r="B2016" s="221" t="s">
        <v>4451</v>
      </c>
      <c r="C2016" s="222" t="s">
        <v>4452</v>
      </c>
      <c r="D2016" s="221" t="s">
        <v>4434</v>
      </c>
      <c r="E2016" s="221" t="s">
        <v>28</v>
      </c>
      <c r="F2016" s="223">
        <v>0</v>
      </c>
      <c r="G2016" s="221"/>
      <c r="H2016" s="221"/>
      <c r="I2016" s="224"/>
    </row>
    <row r="2017" ht="17.25" customHeight="1" spans="1:9" x14ac:dyDescent="0.25">
      <c r="A2017" s="220">
        <v>2074</v>
      </c>
      <c r="B2017" s="221" t="s">
        <v>4453</v>
      </c>
      <c r="C2017" s="222" t="s">
        <v>4454</v>
      </c>
      <c r="D2017" s="221" t="s">
        <v>4434</v>
      </c>
      <c r="E2017" s="221" t="s">
        <v>28</v>
      </c>
      <c r="F2017" s="223">
        <v>0</v>
      </c>
      <c r="G2017" s="221"/>
      <c r="H2017" s="221"/>
      <c r="I2017" s="224"/>
    </row>
    <row r="2018" ht="17.25" customHeight="1" spans="1:9" x14ac:dyDescent="0.25">
      <c r="A2018" s="220">
        <v>2075</v>
      </c>
      <c r="B2018" s="221" t="s">
        <v>4455</v>
      </c>
      <c r="C2018" s="222" t="s">
        <v>4456</v>
      </c>
      <c r="D2018" s="221" t="s">
        <v>4434</v>
      </c>
      <c r="E2018" s="221" t="s">
        <v>28</v>
      </c>
      <c r="F2018" s="223">
        <v>0</v>
      </c>
      <c r="G2018" s="221"/>
      <c r="H2018" s="221"/>
      <c r="I2018" s="224"/>
    </row>
    <row r="2019" ht="17.25" customHeight="1" spans="1:9" x14ac:dyDescent="0.25">
      <c r="A2019" s="220">
        <v>2076</v>
      </c>
      <c r="B2019" s="221" t="s">
        <v>4457</v>
      </c>
      <c r="C2019" s="222" t="s">
        <v>4458</v>
      </c>
      <c r="D2019" s="221" t="s">
        <v>205</v>
      </c>
      <c r="E2019" s="221" t="s">
        <v>395</v>
      </c>
      <c r="F2019" s="223">
        <v>0</v>
      </c>
      <c r="G2019" s="221" t="s">
        <v>71</v>
      </c>
      <c r="H2019" s="221" t="s">
        <v>71</v>
      </c>
      <c r="I2019" s="222"/>
    </row>
    <row r="2020" ht="17.25" customHeight="1" spans="1:9" x14ac:dyDescent="0.25">
      <c r="A2020" s="220">
        <v>2077</v>
      </c>
      <c r="B2020" s="221" t="s">
        <v>4459</v>
      </c>
      <c r="C2020" s="222" t="s">
        <v>4460</v>
      </c>
      <c r="D2020" s="221" t="s">
        <v>205</v>
      </c>
      <c r="E2020" s="221" t="s">
        <v>30</v>
      </c>
      <c r="F2020" s="223">
        <v>11000</v>
      </c>
      <c r="G2020" s="221" t="s">
        <v>71</v>
      </c>
      <c r="H2020" s="221" t="s">
        <v>71</v>
      </c>
      <c r="I2020" s="222"/>
    </row>
    <row r="2021" ht="17.25" customHeight="1" spans="1:9" x14ac:dyDescent="0.25">
      <c r="A2021" s="220">
        <v>2079</v>
      </c>
      <c r="B2021" s="221" t="s">
        <v>4461</v>
      </c>
      <c r="C2021" s="222" t="s">
        <v>4462</v>
      </c>
      <c r="D2021" s="221" t="s">
        <v>205</v>
      </c>
      <c r="E2021" s="221" t="s">
        <v>30</v>
      </c>
      <c r="F2021" s="223">
        <v>9500</v>
      </c>
      <c r="G2021" s="221" t="s">
        <v>71</v>
      </c>
      <c r="H2021" s="221" t="s">
        <v>71</v>
      </c>
      <c r="I2021" s="222"/>
    </row>
    <row r="2022" ht="17.25" customHeight="1" spans="1:9" x14ac:dyDescent="0.25">
      <c r="A2022" s="220">
        <v>2081</v>
      </c>
      <c r="B2022" s="221" t="s">
        <v>4463</v>
      </c>
      <c r="C2022" s="222" t="s">
        <v>4464</v>
      </c>
      <c r="D2022" s="221" t="s">
        <v>205</v>
      </c>
      <c r="E2022" s="221" t="s">
        <v>30</v>
      </c>
      <c r="F2022" s="223">
        <v>8500</v>
      </c>
      <c r="G2022" s="221" t="s">
        <v>71</v>
      </c>
      <c r="H2022" s="221" t="s">
        <v>71</v>
      </c>
      <c r="I2022" s="222"/>
    </row>
    <row r="2023" ht="17.25" customHeight="1" spans="1:9" x14ac:dyDescent="0.25">
      <c r="A2023" s="220">
        <v>2083</v>
      </c>
      <c r="B2023" s="221" t="s">
        <v>4465</v>
      </c>
      <c r="C2023" s="222" t="s">
        <v>4466</v>
      </c>
      <c r="D2023" s="221" t="s">
        <v>205</v>
      </c>
      <c r="E2023" s="221" t="s">
        <v>30</v>
      </c>
      <c r="F2023" s="223">
        <v>8500</v>
      </c>
      <c r="G2023" s="221" t="s">
        <v>71</v>
      </c>
      <c r="H2023" s="221" t="s">
        <v>71</v>
      </c>
      <c r="I2023" s="222"/>
    </row>
    <row r="2024" ht="17.25" customHeight="1" spans="1:9" x14ac:dyDescent="0.25">
      <c r="A2024" s="220">
        <v>2085</v>
      </c>
      <c r="B2024" s="221" t="s">
        <v>4467</v>
      </c>
      <c r="C2024" s="222" t="s">
        <v>4468</v>
      </c>
      <c r="D2024" s="221" t="s">
        <v>205</v>
      </c>
      <c r="E2024" s="221" t="s">
        <v>30</v>
      </c>
      <c r="F2024" s="223">
        <v>8500</v>
      </c>
      <c r="G2024" s="221" t="s">
        <v>71</v>
      </c>
      <c r="H2024" s="221" t="s">
        <v>71</v>
      </c>
      <c r="I2024" s="222"/>
    </row>
    <row r="2025" ht="17.25" customHeight="1" spans="1:9" x14ac:dyDescent="0.25">
      <c r="A2025" s="220">
        <v>2087</v>
      </c>
      <c r="B2025" s="221" t="s">
        <v>4469</v>
      </c>
      <c r="C2025" s="222" t="s">
        <v>4470</v>
      </c>
      <c r="D2025" s="221" t="s">
        <v>205</v>
      </c>
      <c r="E2025" s="221" t="s">
        <v>30</v>
      </c>
      <c r="F2025" s="223">
        <v>8500</v>
      </c>
      <c r="G2025" s="221" t="s">
        <v>71</v>
      </c>
      <c r="H2025" s="221" t="s">
        <v>71</v>
      </c>
      <c r="I2025" s="222"/>
    </row>
    <row r="2026" ht="17.25" customHeight="1" spans="1:9" x14ac:dyDescent="0.25">
      <c r="A2026" s="220">
        <v>2089</v>
      </c>
      <c r="B2026" s="221" t="s">
        <v>4471</v>
      </c>
      <c r="C2026" s="222" t="s">
        <v>4472</v>
      </c>
      <c r="D2026" s="221" t="s">
        <v>205</v>
      </c>
      <c r="E2026" s="221" t="s">
        <v>30</v>
      </c>
      <c r="F2026" s="223">
        <v>8500</v>
      </c>
      <c r="G2026" s="221" t="s">
        <v>71</v>
      </c>
      <c r="H2026" s="221" t="s">
        <v>71</v>
      </c>
      <c r="I2026" s="222"/>
    </row>
    <row r="2027" ht="17.25" customHeight="1" spans="1:9" x14ac:dyDescent="0.25">
      <c r="A2027" s="220">
        <v>2091</v>
      </c>
      <c r="B2027" s="221" t="s">
        <v>4473</v>
      </c>
      <c r="C2027" s="222" t="s">
        <v>4474</v>
      </c>
      <c r="D2027" s="221" t="s">
        <v>205</v>
      </c>
      <c r="E2027" s="221" t="s">
        <v>30</v>
      </c>
      <c r="F2027" s="223">
        <v>8500</v>
      </c>
      <c r="G2027" s="221" t="s">
        <v>71</v>
      </c>
      <c r="H2027" s="221" t="s">
        <v>71</v>
      </c>
      <c r="I2027" s="222"/>
    </row>
    <row r="2028" ht="17.25" customHeight="1" spans="1:9" x14ac:dyDescent="0.25">
      <c r="A2028" s="220">
        <v>2093</v>
      </c>
      <c r="B2028" s="221" t="s">
        <v>4475</v>
      </c>
      <c r="C2028" s="222" t="s">
        <v>4476</v>
      </c>
      <c r="D2028" s="221" t="s">
        <v>205</v>
      </c>
      <c r="E2028" s="221" t="s">
        <v>30</v>
      </c>
      <c r="F2028" s="223">
        <v>8500</v>
      </c>
      <c r="G2028" s="221" t="s">
        <v>71</v>
      </c>
      <c r="H2028" s="221" t="s">
        <v>71</v>
      </c>
      <c r="I2028" s="222"/>
    </row>
    <row r="2029" ht="17.25" customHeight="1" spans="1:9" x14ac:dyDescent="0.25">
      <c r="A2029" s="220">
        <v>2095</v>
      </c>
      <c r="B2029" s="221" t="s">
        <v>4477</v>
      </c>
      <c r="C2029" s="222" t="s">
        <v>4478</v>
      </c>
      <c r="D2029" s="221" t="s">
        <v>205</v>
      </c>
      <c r="E2029" s="221" t="s">
        <v>30</v>
      </c>
      <c r="F2029" s="223">
        <v>8500</v>
      </c>
      <c r="G2029" s="221" t="s">
        <v>71</v>
      </c>
      <c r="H2029" s="221" t="s">
        <v>71</v>
      </c>
      <c r="I2029" s="222"/>
    </row>
    <row r="2030" ht="17.25" customHeight="1" spans="1:9" x14ac:dyDescent="0.25">
      <c r="A2030" s="220">
        <v>2097</v>
      </c>
      <c r="B2030" s="221" t="s">
        <v>4479</v>
      </c>
      <c r="C2030" s="222" t="s">
        <v>4480</v>
      </c>
      <c r="D2030" s="221" t="s">
        <v>205</v>
      </c>
      <c r="E2030" s="221" t="s">
        <v>30</v>
      </c>
      <c r="F2030" s="223">
        <v>8500</v>
      </c>
      <c r="G2030" s="221" t="s">
        <v>71</v>
      </c>
      <c r="H2030" s="221" t="s">
        <v>71</v>
      </c>
      <c r="I2030" s="222"/>
    </row>
    <row r="2031" ht="17.25" customHeight="1" spans="1:9" x14ac:dyDescent="0.25">
      <c r="A2031" s="220">
        <v>2099</v>
      </c>
      <c r="B2031" s="221" t="s">
        <v>4481</v>
      </c>
      <c r="C2031" s="222" t="s">
        <v>4482</v>
      </c>
      <c r="D2031" s="221" t="s">
        <v>205</v>
      </c>
      <c r="E2031" s="221" t="s">
        <v>30</v>
      </c>
      <c r="F2031" s="223">
        <v>8500</v>
      </c>
      <c r="G2031" s="221" t="s">
        <v>71</v>
      </c>
      <c r="H2031" s="221" t="s">
        <v>71</v>
      </c>
      <c r="I2031" s="222"/>
    </row>
    <row r="2032" ht="17.25" customHeight="1" spans="1:9" x14ac:dyDescent="0.25">
      <c r="A2032" s="220">
        <v>2101</v>
      </c>
      <c r="B2032" s="221" t="s">
        <v>4483</v>
      </c>
      <c r="C2032" s="222" t="s">
        <v>4484</v>
      </c>
      <c r="D2032" s="221" t="s">
        <v>205</v>
      </c>
      <c r="E2032" s="221" t="s">
        <v>30</v>
      </c>
      <c r="F2032" s="223">
        <v>8500</v>
      </c>
      <c r="G2032" s="221" t="s">
        <v>71</v>
      </c>
      <c r="H2032" s="221" t="s">
        <v>71</v>
      </c>
      <c r="I2032" s="222"/>
    </row>
    <row r="2033" ht="17.25" customHeight="1" spans="1:9" x14ac:dyDescent="0.25">
      <c r="A2033" s="220">
        <v>2103</v>
      </c>
      <c r="B2033" s="221" t="s">
        <v>4485</v>
      </c>
      <c r="C2033" s="222" t="s">
        <v>4486</v>
      </c>
      <c r="D2033" s="221" t="s">
        <v>205</v>
      </c>
      <c r="E2033" s="221" t="s">
        <v>30</v>
      </c>
      <c r="F2033" s="223">
        <v>8500</v>
      </c>
      <c r="G2033" s="221" t="s">
        <v>71</v>
      </c>
      <c r="H2033" s="221" t="s">
        <v>71</v>
      </c>
      <c r="I2033" s="222"/>
    </row>
    <row r="2034" ht="17.25" customHeight="1" spans="1:9" x14ac:dyDescent="0.25">
      <c r="A2034" s="220">
        <v>2105</v>
      </c>
      <c r="B2034" s="221" t="s">
        <v>4487</v>
      </c>
      <c r="C2034" s="222" t="s">
        <v>4488</v>
      </c>
      <c r="D2034" s="221" t="s">
        <v>205</v>
      </c>
      <c r="E2034" s="221" t="s">
        <v>30</v>
      </c>
      <c r="F2034" s="223">
        <v>8500</v>
      </c>
      <c r="G2034" s="221" t="s">
        <v>71</v>
      </c>
      <c r="H2034" s="221" t="s">
        <v>71</v>
      </c>
      <c r="I2034" s="222"/>
    </row>
    <row r="2035" ht="17.25" customHeight="1" spans="1:9" x14ac:dyDescent="0.25">
      <c r="A2035" s="220">
        <v>2107</v>
      </c>
      <c r="B2035" s="221" t="s">
        <v>4489</v>
      </c>
      <c r="C2035" s="222" t="s">
        <v>4490</v>
      </c>
      <c r="D2035" s="221" t="s">
        <v>205</v>
      </c>
      <c r="E2035" s="221" t="s">
        <v>30</v>
      </c>
      <c r="F2035" s="223">
        <v>8500</v>
      </c>
      <c r="G2035" s="221" t="s">
        <v>71</v>
      </c>
      <c r="H2035" s="221" t="s">
        <v>71</v>
      </c>
      <c r="I2035" s="222"/>
    </row>
    <row r="2036" ht="17.25" customHeight="1" spans="1:9" x14ac:dyDescent="0.25">
      <c r="A2036" s="220">
        <v>2109</v>
      </c>
      <c r="B2036" s="221" t="s">
        <v>4491</v>
      </c>
      <c r="C2036" s="222" t="s">
        <v>4492</v>
      </c>
      <c r="D2036" s="221" t="s">
        <v>205</v>
      </c>
      <c r="E2036" s="221" t="s">
        <v>30</v>
      </c>
      <c r="F2036" s="223">
        <v>8500</v>
      </c>
      <c r="G2036" s="221" t="s">
        <v>71</v>
      </c>
      <c r="H2036" s="221" t="s">
        <v>71</v>
      </c>
      <c r="I2036" s="222"/>
    </row>
    <row r="2037" ht="17.25" customHeight="1" spans="1:9" x14ac:dyDescent="0.25">
      <c r="A2037" s="220">
        <v>2111</v>
      </c>
      <c r="B2037" s="221" t="s">
        <v>4493</v>
      </c>
      <c r="C2037" s="222" t="s">
        <v>4494</v>
      </c>
      <c r="D2037" s="221" t="s">
        <v>205</v>
      </c>
      <c r="E2037" s="221" t="s">
        <v>30</v>
      </c>
      <c r="F2037" s="223">
        <v>8500</v>
      </c>
      <c r="G2037" s="221" t="s">
        <v>71</v>
      </c>
      <c r="H2037" s="221" t="s">
        <v>71</v>
      </c>
      <c r="I2037" s="222"/>
    </row>
    <row r="2038" ht="17.25" customHeight="1" spans="1:9" x14ac:dyDescent="0.25">
      <c r="A2038" s="220">
        <v>2113</v>
      </c>
      <c r="B2038" s="221" t="s">
        <v>4495</v>
      </c>
      <c r="C2038" s="222" t="s">
        <v>4496</v>
      </c>
      <c r="D2038" s="221" t="s">
        <v>205</v>
      </c>
      <c r="E2038" s="221" t="s">
        <v>30</v>
      </c>
      <c r="F2038" s="223">
        <v>9500</v>
      </c>
      <c r="G2038" s="221" t="s">
        <v>71</v>
      </c>
      <c r="H2038" s="221" t="s">
        <v>71</v>
      </c>
      <c r="I2038" s="222"/>
    </row>
    <row r="2039" ht="17.25" customHeight="1" spans="1:9" x14ac:dyDescent="0.25">
      <c r="A2039" s="220">
        <v>2115</v>
      </c>
      <c r="B2039" s="221" t="s">
        <v>4497</v>
      </c>
      <c r="C2039" s="222" t="s">
        <v>4498</v>
      </c>
      <c r="D2039" s="221" t="s">
        <v>205</v>
      </c>
      <c r="E2039" s="221" t="s">
        <v>30</v>
      </c>
      <c r="F2039" s="223">
        <v>8500</v>
      </c>
      <c r="G2039" s="221" t="s">
        <v>71</v>
      </c>
      <c r="H2039" s="221" t="s">
        <v>71</v>
      </c>
      <c r="I2039" s="222"/>
    </row>
    <row r="2040" ht="17.25" customHeight="1" spans="1:9" x14ac:dyDescent="0.25">
      <c r="A2040" s="220">
        <v>2117</v>
      </c>
      <c r="B2040" s="221" t="s">
        <v>4499</v>
      </c>
      <c r="C2040" s="222" t="s">
        <v>4500</v>
      </c>
      <c r="D2040" s="221" t="s">
        <v>205</v>
      </c>
      <c r="E2040" s="221" t="s">
        <v>30</v>
      </c>
      <c r="F2040" s="223">
        <v>8500</v>
      </c>
      <c r="G2040" s="221" t="s">
        <v>71</v>
      </c>
      <c r="H2040" s="221" t="s">
        <v>71</v>
      </c>
      <c r="I2040" s="222"/>
    </row>
    <row r="2041" ht="17.25" customHeight="1" spans="1:9" x14ac:dyDescent="0.25">
      <c r="A2041" s="220">
        <v>2119</v>
      </c>
      <c r="B2041" s="221" t="s">
        <v>4501</v>
      </c>
      <c r="C2041" s="222" t="s">
        <v>4502</v>
      </c>
      <c r="D2041" s="221" t="s">
        <v>205</v>
      </c>
      <c r="E2041" s="221" t="s">
        <v>30</v>
      </c>
      <c r="F2041" s="223">
        <v>8500</v>
      </c>
      <c r="G2041" s="221" t="s">
        <v>71</v>
      </c>
      <c r="H2041" s="221" t="s">
        <v>71</v>
      </c>
      <c r="I2041" s="222"/>
    </row>
    <row r="2042" ht="17.25" customHeight="1" spans="1:9" x14ac:dyDescent="0.25">
      <c r="A2042" s="220">
        <v>2121</v>
      </c>
      <c r="B2042" s="221" t="s">
        <v>4503</v>
      </c>
      <c r="C2042" s="222" t="s">
        <v>4504</v>
      </c>
      <c r="D2042" s="221" t="s">
        <v>205</v>
      </c>
      <c r="E2042" s="221" t="s">
        <v>30</v>
      </c>
      <c r="F2042" s="223">
        <v>8500</v>
      </c>
      <c r="G2042" s="221" t="s">
        <v>71</v>
      </c>
      <c r="H2042" s="221" t="s">
        <v>71</v>
      </c>
      <c r="I2042" s="222"/>
    </row>
    <row r="2043" ht="17.25" customHeight="1" spans="1:9" x14ac:dyDescent="0.25">
      <c r="A2043" s="220">
        <v>2123</v>
      </c>
      <c r="B2043" s="221" t="s">
        <v>4505</v>
      </c>
      <c r="C2043" s="222" t="s">
        <v>4506</v>
      </c>
      <c r="D2043" s="221" t="s">
        <v>205</v>
      </c>
      <c r="E2043" s="221" t="s">
        <v>30</v>
      </c>
      <c r="F2043" s="223">
        <v>8500</v>
      </c>
      <c r="G2043" s="221" t="s">
        <v>71</v>
      </c>
      <c r="H2043" s="221" t="s">
        <v>71</v>
      </c>
      <c r="I2043" s="222"/>
    </row>
    <row r="2044" ht="17.25" customHeight="1" spans="1:9" x14ac:dyDescent="0.25">
      <c r="A2044" s="220">
        <v>2125</v>
      </c>
      <c r="B2044" s="221" t="s">
        <v>4507</v>
      </c>
      <c r="C2044" s="222" t="s">
        <v>4508</v>
      </c>
      <c r="D2044" s="221" t="s">
        <v>205</v>
      </c>
      <c r="E2044" s="221" t="s">
        <v>30</v>
      </c>
      <c r="F2044" s="223">
        <v>6800</v>
      </c>
      <c r="G2044" s="221" t="s">
        <v>71</v>
      </c>
      <c r="H2044" s="221" t="s">
        <v>71</v>
      </c>
      <c r="I2044" s="222"/>
    </row>
    <row r="2045" ht="17.25" customHeight="1" spans="1:9" x14ac:dyDescent="0.25">
      <c r="A2045" s="220">
        <v>2127</v>
      </c>
      <c r="B2045" s="221" t="s">
        <v>4509</v>
      </c>
      <c r="C2045" s="222" t="s">
        <v>4510</v>
      </c>
      <c r="D2045" s="221" t="s">
        <v>205</v>
      </c>
      <c r="E2045" s="221" t="s">
        <v>30</v>
      </c>
      <c r="F2045" s="223">
        <v>6800</v>
      </c>
      <c r="G2045" s="221" t="s">
        <v>71</v>
      </c>
      <c r="H2045" s="221" t="s">
        <v>71</v>
      </c>
      <c r="I2045" s="222"/>
    </row>
    <row r="2046" ht="17.25" customHeight="1" spans="1:9" x14ac:dyDescent="0.25">
      <c r="A2046" s="220">
        <v>2129</v>
      </c>
      <c r="B2046" s="221" t="s">
        <v>4511</v>
      </c>
      <c r="C2046" s="222" t="s">
        <v>4512</v>
      </c>
      <c r="D2046" s="221" t="s">
        <v>205</v>
      </c>
      <c r="E2046" s="221" t="s">
        <v>30</v>
      </c>
      <c r="F2046" s="223">
        <v>6800</v>
      </c>
      <c r="G2046" s="221" t="s">
        <v>71</v>
      </c>
      <c r="H2046" s="221" t="s">
        <v>71</v>
      </c>
      <c r="I2046" s="222"/>
    </row>
    <row r="2047" ht="17.25" customHeight="1" spans="1:9" x14ac:dyDescent="0.25">
      <c r="A2047" s="220">
        <v>2131</v>
      </c>
      <c r="B2047" s="221" t="s">
        <v>4513</v>
      </c>
      <c r="C2047" s="222" t="s">
        <v>4514</v>
      </c>
      <c r="D2047" s="221" t="s">
        <v>205</v>
      </c>
      <c r="E2047" s="221" t="s">
        <v>30</v>
      </c>
      <c r="F2047" s="223">
        <v>6800</v>
      </c>
      <c r="G2047" s="221" t="s">
        <v>71</v>
      </c>
      <c r="H2047" s="221" t="s">
        <v>71</v>
      </c>
      <c r="I2047" s="222"/>
    </row>
    <row r="2048" ht="17.25" customHeight="1" spans="1:9" x14ac:dyDescent="0.25">
      <c r="A2048" s="220">
        <v>2133</v>
      </c>
      <c r="B2048" s="221" t="s">
        <v>4515</v>
      </c>
      <c r="C2048" s="222" t="s">
        <v>4516</v>
      </c>
      <c r="D2048" s="221" t="s">
        <v>205</v>
      </c>
      <c r="E2048" s="221" t="s">
        <v>30</v>
      </c>
      <c r="F2048" s="223">
        <v>6800</v>
      </c>
      <c r="G2048" s="221" t="s">
        <v>71</v>
      </c>
      <c r="H2048" s="221" t="s">
        <v>71</v>
      </c>
      <c r="I2048" s="222"/>
    </row>
    <row r="2049" ht="17.25" customHeight="1" spans="1:9" x14ac:dyDescent="0.25">
      <c r="A2049" s="220">
        <v>2135</v>
      </c>
      <c r="B2049" s="221" t="s">
        <v>4517</v>
      </c>
      <c r="C2049" s="222" t="s">
        <v>4518</v>
      </c>
      <c r="D2049" s="221" t="s">
        <v>205</v>
      </c>
      <c r="E2049" s="221" t="s">
        <v>30</v>
      </c>
      <c r="F2049" s="223">
        <v>6800</v>
      </c>
      <c r="G2049" s="221" t="s">
        <v>71</v>
      </c>
      <c r="H2049" s="221" t="s">
        <v>71</v>
      </c>
      <c r="I2049" s="222"/>
    </row>
    <row r="2050" ht="17.25" customHeight="1" spans="1:9" x14ac:dyDescent="0.25">
      <c r="A2050" s="220">
        <v>2137</v>
      </c>
      <c r="B2050" s="221" t="s">
        <v>4519</v>
      </c>
      <c r="C2050" s="222" t="s">
        <v>4520</v>
      </c>
      <c r="D2050" s="221" t="s">
        <v>205</v>
      </c>
      <c r="E2050" s="221" t="s">
        <v>30</v>
      </c>
      <c r="F2050" s="223">
        <v>6800</v>
      </c>
      <c r="G2050" s="221" t="s">
        <v>71</v>
      </c>
      <c r="H2050" s="221" t="s">
        <v>71</v>
      </c>
      <c r="I2050" s="222"/>
    </row>
    <row r="2051" ht="17.25" customHeight="1" spans="1:9" x14ac:dyDescent="0.25">
      <c r="A2051" s="220">
        <v>2139</v>
      </c>
      <c r="B2051" s="221" t="s">
        <v>4521</v>
      </c>
      <c r="C2051" s="222" t="s">
        <v>4522</v>
      </c>
      <c r="D2051" s="221" t="s">
        <v>205</v>
      </c>
      <c r="E2051" s="221" t="s">
        <v>30</v>
      </c>
      <c r="F2051" s="223">
        <v>6800</v>
      </c>
      <c r="G2051" s="221" t="s">
        <v>71</v>
      </c>
      <c r="H2051" s="221" t="s">
        <v>71</v>
      </c>
      <c r="I2051" s="222"/>
    </row>
    <row r="2052" ht="17.25" customHeight="1" spans="1:9" x14ac:dyDescent="0.25">
      <c r="A2052" s="220">
        <v>2141</v>
      </c>
      <c r="B2052" s="221" t="s">
        <v>4523</v>
      </c>
      <c r="C2052" s="222" t="s">
        <v>4524</v>
      </c>
      <c r="D2052" s="221" t="s">
        <v>205</v>
      </c>
      <c r="E2052" s="221" t="s">
        <v>395</v>
      </c>
      <c r="F2052" s="223">
        <v>0</v>
      </c>
      <c r="G2052" s="221" t="s">
        <v>71</v>
      </c>
      <c r="H2052" s="221" t="s">
        <v>71</v>
      </c>
      <c r="I2052" s="222"/>
    </row>
    <row r="2053" ht="17.25" customHeight="1" spans="1:9" x14ac:dyDescent="0.25">
      <c r="A2053" s="220">
        <v>2142</v>
      </c>
      <c r="B2053" s="221" t="s">
        <v>4525</v>
      </c>
      <c r="C2053" s="222" t="s">
        <v>4526</v>
      </c>
      <c r="D2053" s="221" t="s">
        <v>573</v>
      </c>
      <c r="E2053" s="221" t="s">
        <v>27</v>
      </c>
      <c r="F2053" s="223">
        <v>0</v>
      </c>
      <c r="G2053" s="221" t="s">
        <v>48</v>
      </c>
      <c r="H2053" s="221" t="s">
        <v>48</v>
      </c>
      <c r="I2053" s="222"/>
    </row>
    <row r="2054" ht="17.25" customHeight="1" spans="1:9" x14ac:dyDescent="0.25">
      <c r="A2054" s="220">
        <v>2143</v>
      </c>
      <c r="B2054" s="221" t="s">
        <v>4527</v>
      </c>
      <c r="C2054" s="222" t="s">
        <v>4528</v>
      </c>
      <c r="D2054" s="221" t="s">
        <v>573</v>
      </c>
      <c r="E2054" s="221" t="s">
        <v>27</v>
      </c>
      <c r="F2054" s="223">
        <v>0</v>
      </c>
      <c r="G2054" s="221" t="s">
        <v>48</v>
      </c>
      <c r="H2054" s="221" t="s">
        <v>48</v>
      </c>
      <c r="I2054" s="224"/>
    </row>
    <row r="2055" ht="17.25" customHeight="1" spans="1:9" x14ac:dyDescent="0.25">
      <c r="A2055" s="220">
        <v>2144</v>
      </c>
      <c r="B2055" s="221" t="s">
        <v>4529</v>
      </c>
      <c r="C2055" s="222" t="s">
        <v>4530</v>
      </c>
      <c r="D2055" s="221" t="s">
        <v>573</v>
      </c>
      <c r="E2055" s="221" t="s">
        <v>27</v>
      </c>
      <c r="F2055" s="223">
        <v>0</v>
      </c>
      <c r="G2055" s="221" t="s">
        <v>48</v>
      </c>
      <c r="H2055" s="221" t="s">
        <v>48</v>
      </c>
      <c r="I2055" s="224"/>
    </row>
    <row r="2056" ht="17.25" customHeight="1" spans="1:9" x14ac:dyDescent="0.25">
      <c r="A2056" s="220">
        <v>2145</v>
      </c>
      <c r="B2056" s="221" t="s">
        <v>4531</v>
      </c>
      <c r="C2056" s="222" t="s">
        <v>4532</v>
      </c>
      <c r="D2056" s="221" t="s">
        <v>573</v>
      </c>
      <c r="E2056" s="221" t="s">
        <v>27</v>
      </c>
      <c r="F2056" s="223">
        <v>0</v>
      </c>
      <c r="G2056" s="221" t="s">
        <v>48</v>
      </c>
      <c r="H2056" s="221" t="s">
        <v>48</v>
      </c>
      <c r="I2056" s="224"/>
    </row>
    <row r="2057" ht="17.25" customHeight="1" spans="1:9" x14ac:dyDescent="0.25">
      <c r="A2057" s="220">
        <v>2146</v>
      </c>
      <c r="B2057" s="221" t="s">
        <v>4533</v>
      </c>
      <c r="C2057" s="222" t="s">
        <v>4534</v>
      </c>
      <c r="D2057" s="221" t="s">
        <v>573</v>
      </c>
      <c r="E2057" s="221" t="s">
        <v>27</v>
      </c>
      <c r="F2057" s="223">
        <v>0</v>
      </c>
      <c r="G2057" s="221" t="s">
        <v>48</v>
      </c>
      <c r="H2057" s="221" t="s">
        <v>48</v>
      </c>
      <c r="I2057" s="224"/>
    </row>
    <row r="2058" ht="17.25" customHeight="1" spans="1:9" x14ac:dyDescent="0.25">
      <c r="A2058" s="220">
        <v>2147</v>
      </c>
      <c r="B2058" s="221" t="s">
        <v>4535</v>
      </c>
      <c r="C2058" s="222" t="s">
        <v>4536</v>
      </c>
      <c r="D2058" s="221" t="s">
        <v>573</v>
      </c>
      <c r="E2058" s="221" t="s">
        <v>27</v>
      </c>
      <c r="F2058" s="223">
        <v>0</v>
      </c>
      <c r="G2058" s="221" t="s">
        <v>48</v>
      </c>
      <c r="H2058" s="221" t="s">
        <v>48</v>
      </c>
      <c r="I2058" s="224"/>
    </row>
    <row r="2059" ht="17.25" customHeight="1" spans="1:9" x14ac:dyDescent="0.25">
      <c r="A2059" s="220">
        <v>2148</v>
      </c>
      <c r="B2059" s="221" t="s">
        <v>4537</v>
      </c>
      <c r="C2059" s="222" t="s">
        <v>4538</v>
      </c>
      <c r="D2059" s="221" t="s">
        <v>573</v>
      </c>
      <c r="E2059" s="221" t="s">
        <v>27</v>
      </c>
      <c r="F2059" s="223">
        <v>0</v>
      </c>
      <c r="G2059" s="221" t="s">
        <v>48</v>
      </c>
      <c r="H2059" s="221" t="s">
        <v>48</v>
      </c>
      <c r="I2059" s="224"/>
    </row>
    <row r="2060" ht="17.25" customHeight="1" spans="1:9" x14ac:dyDescent="0.25">
      <c r="A2060" s="220">
        <v>2149</v>
      </c>
      <c r="B2060" s="221" t="s">
        <v>4539</v>
      </c>
      <c r="C2060" s="222" t="s">
        <v>4540</v>
      </c>
      <c r="D2060" s="221" t="s">
        <v>573</v>
      </c>
      <c r="E2060" s="221" t="s">
        <v>27</v>
      </c>
      <c r="F2060" s="223">
        <v>0</v>
      </c>
      <c r="G2060" s="221" t="s">
        <v>48</v>
      </c>
      <c r="H2060" s="221" t="s">
        <v>48</v>
      </c>
      <c r="I2060" s="222" t="s">
        <v>656</v>
      </c>
    </row>
    <row r="2061" ht="17.25" customHeight="1" spans="1:9" x14ac:dyDescent="0.25">
      <c r="A2061" s="220">
        <v>2150</v>
      </c>
      <c r="B2061" s="221" t="s">
        <v>4541</v>
      </c>
      <c r="C2061" s="222" t="s">
        <v>4542</v>
      </c>
      <c r="D2061" s="221" t="s">
        <v>573</v>
      </c>
      <c r="E2061" s="221" t="s">
        <v>27</v>
      </c>
      <c r="F2061" s="223">
        <v>0</v>
      </c>
      <c r="G2061" s="221" t="s">
        <v>48</v>
      </c>
      <c r="H2061" s="221" t="s">
        <v>48</v>
      </c>
      <c r="I2061" s="222" t="s">
        <v>656</v>
      </c>
    </row>
    <row r="2062" ht="17.25" customHeight="1" spans="1:9" x14ac:dyDescent="0.25">
      <c r="A2062" s="220">
        <v>2151</v>
      </c>
      <c r="B2062" s="221" t="s">
        <v>4543</v>
      </c>
      <c r="C2062" s="222" t="s">
        <v>4544</v>
      </c>
      <c r="D2062" s="221" t="s">
        <v>573</v>
      </c>
      <c r="E2062" s="221" t="s">
        <v>27</v>
      </c>
      <c r="F2062" s="223">
        <v>0</v>
      </c>
      <c r="G2062" s="221" t="s">
        <v>48</v>
      </c>
      <c r="H2062" s="221" t="s">
        <v>48</v>
      </c>
      <c r="I2062" s="224"/>
    </row>
    <row r="2063" ht="17.25" customHeight="1" spans="1:9" x14ac:dyDescent="0.25">
      <c r="A2063" s="220">
        <v>2152</v>
      </c>
      <c r="B2063" s="221" t="s">
        <v>4545</v>
      </c>
      <c r="C2063" s="222" t="s">
        <v>4546</v>
      </c>
      <c r="D2063" s="221" t="s">
        <v>1430</v>
      </c>
      <c r="E2063" s="221" t="s">
        <v>27</v>
      </c>
      <c r="F2063" s="223">
        <v>0</v>
      </c>
      <c r="G2063" s="221" t="s">
        <v>48</v>
      </c>
      <c r="H2063" s="221" t="s">
        <v>48</v>
      </c>
      <c r="I2063" s="222"/>
    </row>
    <row r="2064" ht="17.25" customHeight="1" spans="1:9" x14ac:dyDescent="0.25">
      <c r="A2064" s="220">
        <v>2153</v>
      </c>
      <c r="B2064" s="221" t="s">
        <v>4547</v>
      </c>
      <c r="C2064" s="222" t="s">
        <v>4548</v>
      </c>
      <c r="D2064" s="221" t="s">
        <v>2393</v>
      </c>
      <c r="E2064" s="221" t="s">
        <v>27</v>
      </c>
      <c r="F2064" s="223">
        <v>0</v>
      </c>
      <c r="G2064" s="221" t="s">
        <v>48</v>
      </c>
      <c r="H2064" s="221" t="s">
        <v>48</v>
      </c>
      <c r="I2064" s="222"/>
    </row>
    <row r="2065" ht="17.25" customHeight="1" spans="1:9" x14ac:dyDescent="0.25">
      <c r="A2065" s="220">
        <v>2155</v>
      </c>
      <c r="B2065" s="221" t="s">
        <v>4549</v>
      </c>
      <c r="C2065" s="222" t="s">
        <v>4550</v>
      </c>
      <c r="D2065" s="221" t="s">
        <v>205</v>
      </c>
      <c r="E2065" s="221" t="s">
        <v>30</v>
      </c>
      <c r="F2065" s="223">
        <v>12500</v>
      </c>
      <c r="G2065" s="221" t="s">
        <v>71</v>
      </c>
      <c r="H2065" s="221" t="s">
        <v>71</v>
      </c>
      <c r="I2065" s="222" t="s">
        <v>4551</v>
      </c>
    </row>
    <row r="2066" ht="17.25" customHeight="1" spans="1:9" x14ac:dyDescent="0.25">
      <c r="A2066" s="220">
        <v>2156</v>
      </c>
      <c r="B2066" s="221" t="s">
        <v>4552</v>
      </c>
      <c r="C2066" s="222" t="s">
        <v>4553</v>
      </c>
      <c r="D2066" s="221" t="s">
        <v>205</v>
      </c>
      <c r="E2066" s="221" t="s">
        <v>30</v>
      </c>
      <c r="F2066" s="223">
        <v>6800</v>
      </c>
      <c r="G2066" s="221" t="s">
        <v>71</v>
      </c>
      <c r="H2066" s="221" t="s">
        <v>71</v>
      </c>
      <c r="I2066" s="222"/>
    </row>
    <row r="2067" ht="17.25" customHeight="1" spans="1:9" x14ac:dyDescent="0.25">
      <c r="A2067" s="220">
        <v>2157</v>
      </c>
      <c r="B2067" s="221" t="s">
        <v>4554</v>
      </c>
      <c r="C2067" s="222" t="s">
        <v>4555</v>
      </c>
      <c r="D2067" s="221" t="s">
        <v>4556</v>
      </c>
      <c r="E2067" s="221" t="s">
        <v>30</v>
      </c>
      <c r="F2067" s="223">
        <v>8500</v>
      </c>
      <c r="G2067" s="221" t="s">
        <v>71</v>
      </c>
      <c r="H2067" s="221" t="s">
        <v>71</v>
      </c>
      <c r="I2067" s="222"/>
    </row>
    <row r="2068" ht="17.25" customHeight="1" spans="1:9" x14ac:dyDescent="0.25">
      <c r="A2068" s="220">
        <v>2158</v>
      </c>
      <c r="B2068" s="221" t="s">
        <v>4557</v>
      </c>
      <c r="C2068" s="222" t="s">
        <v>4558</v>
      </c>
      <c r="D2068" s="221" t="s">
        <v>4556</v>
      </c>
      <c r="E2068" s="221" t="s">
        <v>30</v>
      </c>
      <c r="F2068" s="223">
        <v>8500</v>
      </c>
      <c r="G2068" s="221" t="s">
        <v>71</v>
      </c>
      <c r="H2068" s="221" t="s">
        <v>71</v>
      </c>
      <c r="I2068" s="222"/>
    </row>
    <row r="2069" ht="17.25" customHeight="1" spans="1:9" x14ac:dyDescent="0.25">
      <c r="A2069" s="220">
        <v>2159</v>
      </c>
      <c r="B2069" s="221" t="s">
        <v>4559</v>
      </c>
      <c r="C2069" s="222" t="s">
        <v>4560</v>
      </c>
      <c r="D2069" s="221" t="s">
        <v>4556</v>
      </c>
      <c r="E2069" s="221" t="s">
        <v>30</v>
      </c>
      <c r="F2069" s="223">
        <v>8500</v>
      </c>
      <c r="G2069" s="221" t="s">
        <v>71</v>
      </c>
      <c r="H2069" s="221" t="s">
        <v>71</v>
      </c>
      <c r="I2069" s="222"/>
    </row>
    <row r="2070" ht="17.25" customHeight="1" spans="1:9" x14ac:dyDescent="0.25">
      <c r="A2070" s="220">
        <v>2160</v>
      </c>
      <c r="B2070" s="221" t="s">
        <v>4561</v>
      </c>
      <c r="C2070" s="222" t="s">
        <v>4562</v>
      </c>
      <c r="D2070" s="221" t="s">
        <v>4556</v>
      </c>
      <c r="E2070" s="221" t="s">
        <v>30</v>
      </c>
      <c r="F2070" s="223">
        <v>8500</v>
      </c>
      <c r="G2070" s="221" t="s">
        <v>71</v>
      </c>
      <c r="H2070" s="221" t="s">
        <v>71</v>
      </c>
      <c r="I2070" s="222"/>
    </row>
    <row r="2071" ht="17.25" customHeight="1" spans="1:9" x14ac:dyDescent="0.25">
      <c r="A2071" s="220">
        <v>2161</v>
      </c>
      <c r="B2071" s="221" t="s">
        <v>4563</v>
      </c>
      <c r="C2071" s="222" t="s">
        <v>4564</v>
      </c>
      <c r="D2071" s="221" t="s">
        <v>805</v>
      </c>
      <c r="E2071" s="221" t="s">
        <v>27</v>
      </c>
      <c r="F2071" s="223">
        <v>0</v>
      </c>
      <c r="G2071" s="221" t="s">
        <v>48</v>
      </c>
      <c r="H2071" s="221" t="s">
        <v>48</v>
      </c>
      <c r="I2071" s="222"/>
    </row>
    <row r="2072" ht="17.25" customHeight="1" spans="1:9" x14ac:dyDescent="0.25">
      <c r="A2072" s="220">
        <v>2163</v>
      </c>
      <c r="B2072" s="221" t="s">
        <v>4565</v>
      </c>
      <c r="C2072" s="222" t="s">
        <v>4566</v>
      </c>
      <c r="D2072" s="221" t="s">
        <v>205</v>
      </c>
      <c r="E2072" s="221" t="s">
        <v>30</v>
      </c>
      <c r="F2072" s="223">
        <v>9500</v>
      </c>
      <c r="G2072" s="221" t="s">
        <v>71</v>
      </c>
      <c r="H2072" s="221" t="s">
        <v>71</v>
      </c>
      <c r="I2072" s="222"/>
    </row>
    <row r="2073" ht="17.25" customHeight="1" spans="1:9" x14ac:dyDescent="0.25">
      <c r="A2073" s="220">
        <v>2165</v>
      </c>
      <c r="B2073" s="221" t="s">
        <v>4567</v>
      </c>
      <c r="C2073" s="222" t="s">
        <v>4568</v>
      </c>
      <c r="D2073" s="221" t="s">
        <v>92</v>
      </c>
      <c r="E2073" s="221" t="s">
        <v>395</v>
      </c>
      <c r="F2073" s="223">
        <v>650</v>
      </c>
      <c r="G2073" s="221" t="s">
        <v>71</v>
      </c>
      <c r="H2073" s="221" t="s">
        <v>48</v>
      </c>
      <c r="I2073" s="222"/>
    </row>
    <row r="2074" ht="17.25" customHeight="1" spans="1:9" x14ac:dyDescent="0.25">
      <c r="A2074" s="220">
        <v>2166</v>
      </c>
      <c r="B2074" s="221" t="s">
        <v>4569</v>
      </c>
      <c r="C2074" s="222" t="s">
        <v>4570</v>
      </c>
      <c r="D2074" s="221" t="s">
        <v>205</v>
      </c>
      <c r="E2074" s="221" t="s">
        <v>395</v>
      </c>
      <c r="F2074" s="223">
        <v>0</v>
      </c>
      <c r="G2074" s="221" t="s">
        <v>71</v>
      </c>
      <c r="H2074" s="221" t="s">
        <v>71</v>
      </c>
      <c r="I2074" s="222"/>
    </row>
    <row r="2075" ht="17.25" customHeight="1" spans="1:9" x14ac:dyDescent="0.25">
      <c r="A2075" s="220">
        <v>2167</v>
      </c>
      <c r="B2075" s="221" t="s">
        <v>4571</v>
      </c>
      <c r="C2075" s="222" t="s">
        <v>4572</v>
      </c>
      <c r="D2075" s="221" t="s">
        <v>1948</v>
      </c>
      <c r="E2075" s="221" t="s">
        <v>27</v>
      </c>
      <c r="F2075" s="223">
        <v>0</v>
      </c>
      <c r="G2075" s="221" t="s">
        <v>48</v>
      </c>
      <c r="H2075" s="221" t="s">
        <v>48</v>
      </c>
      <c r="I2075" s="222"/>
    </row>
    <row r="2076" ht="17.25" customHeight="1" spans="1:9" x14ac:dyDescent="0.25">
      <c r="A2076" s="220">
        <v>2168</v>
      </c>
      <c r="B2076" s="221" t="s">
        <v>4573</v>
      </c>
      <c r="C2076" s="222" t="s">
        <v>4574</v>
      </c>
      <c r="D2076" s="221" t="s">
        <v>92</v>
      </c>
      <c r="E2076" s="221" t="s">
        <v>395</v>
      </c>
      <c r="F2076" s="223">
        <v>950</v>
      </c>
      <c r="G2076" s="221" t="s">
        <v>71</v>
      </c>
      <c r="H2076" s="221" t="s">
        <v>48</v>
      </c>
      <c r="I2076" s="222"/>
    </row>
    <row r="2077" ht="17.25" customHeight="1" spans="1:9" x14ac:dyDescent="0.25">
      <c r="A2077" s="220">
        <v>2169</v>
      </c>
      <c r="B2077" s="221" t="s">
        <v>4575</v>
      </c>
      <c r="C2077" s="222" t="s">
        <v>4576</v>
      </c>
      <c r="D2077" s="221" t="s">
        <v>92</v>
      </c>
      <c r="E2077" s="221" t="s">
        <v>395</v>
      </c>
      <c r="F2077" s="223">
        <v>650</v>
      </c>
      <c r="G2077" s="221" t="s">
        <v>71</v>
      </c>
      <c r="H2077" s="221" t="s">
        <v>48</v>
      </c>
      <c r="I2077" s="222"/>
    </row>
    <row r="2078" ht="17.25" customHeight="1" spans="1:9" x14ac:dyDescent="0.25">
      <c r="A2078" s="220">
        <v>2170</v>
      </c>
      <c r="B2078" s="221" t="s">
        <v>4577</v>
      </c>
      <c r="C2078" s="222" t="s">
        <v>4578</v>
      </c>
      <c r="D2078" s="221" t="s">
        <v>92</v>
      </c>
      <c r="E2078" s="221" t="s">
        <v>395</v>
      </c>
      <c r="F2078" s="223">
        <v>950</v>
      </c>
      <c r="G2078" s="221" t="s">
        <v>71</v>
      </c>
      <c r="H2078" s="221" t="s">
        <v>48</v>
      </c>
      <c r="I2078" s="222"/>
    </row>
    <row r="2079" ht="17.25" customHeight="1" spans="1:9" x14ac:dyDescent="0.25">
      <c r="A2079" s="220">
        <v>2171</v>
      </c>
      <c r="B2079" s="221" t="s">
        <v>4579</v>
      </c>
      <c r="C2079" s="222" t="s">
        <v>4580</v>
      </c>
      <c r="D2079" s="221" t="s">
        <v>92</v>
      </c>
      <c r="E2079" s="221" t="s">
        <v>395</v>
      </c>
      <c r="F2079" s="223">
        <v>950</v>
      </c>
      <c r="G2079" s="221" t="s">
        <v>71</v>
      </c>
      <c r="H2079" s="221" t="s">
        <v>48</v>
      </c>
      <c r="I2079" s="222"/>
    </row>
    <row r="2080" ht="17.25" customHeight="1" spans="1:9" x14ac:dyDescent="0.25">
      <c r="A2080" s="220">
        <v>2172</v>
      </c>
      <c r="B2080" s="221" t="s">
        <v>4581</v>
      </c>
      <c r="C2080" s="222" t="s">
        <v>4582</v>
      </c>
      <c r="D2080" s="221" t="s">
        <v>805</v>
      </c>
      <c r="E2080" s="221" t="s">
        <v>27</v>
      </c>
      <c r="F2080" s="223">
        <v>0</v>
      </c>
      <c r="G2080" s="221" t="s">
        <v>48</v>
      </c>
      <c r="H2080" s="221" t="s">
        <v>48</v>
      </c>
      <c r="I2080" s="222"/>
    </row>
    <row r="2081" ht="17.25" customHeight="1" spans="1:9" x14ac:dyDescent="0.25">
      <c r="A2081" s="220">
        <v>2173</v>
      </c>
      <c r="B2081" s="221" t="s">
        <v>1563</v>
      </c>
      <c r="C2081" s="222" t="s">
        <v>4583</v>
      </c>
      <c r="D2081" s="221" t="s">
        <v>1535</v>
      </c>
      <c r="E2081" s="221" t="s">
        <v>29</v>
      </c>
      <c r="F2081" s="223">
        <v>6300</v>
      </c>
      <c r="G2081" s="221" t="s">
        <v>71</v>
      </c>
      <c r="H2081" s="221" t="s">
        <v>71</v>
      </c>
      <c r="I2081" s="222"/>
    </row>
    <row r="2082" ht="17.25" customHeight="1" spans="1:9" x14ac:dyDescent="0.25">
      <c r="A2082" s="220">
        <v>2174</v>
      </c>
      <c r="B2082" s="221" t="s">
        <v>4584</v>
      </c>
      <c r="C2082" s="222" t="s">
        <v>4585</v>
      </c>
      <c r="D2082" s="221" t="s">
        <v>1535</v>
      </c>
      <c r="E2082" s="221" t="s">
        <v>29</v>
      </c>
      <c r="F2082" s="223">
        <v>6300</v>
      </c>
      <c r="G2082" s="221" t="s">
        <v>71</v>
      </c>
      <c r="H2082" s="221" t="s">
        <v>71</v>
      </c>
      <c r="I2082" s="222"/>
    </row>
    <row r="2083" ht="17.25" customHeight="1" spans="1:9" x14ac:dyDescent="0.25">
      <c r="A2083" s="220">
        <v>2175</v>
      </c>
      <c r="B2083" s="221" t="s">
        <v>4586</v>
      </c>
      <c r="C2083" s="222" t="s">
        <v>4587</v>
      </c>
      <c r="D2083" s="221" t="s">
        <v>1948</v>
      </c>
      <c r="E2083" s="221" t="s">
        <v>27</v>
      </c>
      <c r="F2083" s="223">
        <v>0</v>
      </c>
      <c r="G2083" s="221" t="s">
        <v>48</v>
      </c>
      <c r="H2083" s="221" t="s">
        <v>48</v>
      </c>
      <c r="I2083" s="222"/>
    </row>
    <row r="2084" ht="17.25" customHeight="1" spans="1:9" x14ac:dyDescent="0.25">
      <c r="A2084" s="220">
        <v>2176</v>
      </c>
      <c r="B2084" s="221" t="s">
        <v>4588</v>
      </c>
      <c r="C2084" s="222" t="s">
        <v>4589</v>
      </c>
      <c r="D2084" s="221" t="s">
        <v>2320</v>
      </c>
      <c r="E2084" s="221" t="s">
        <v>27</v>
      </c>
      <c r="F2084" s="223">
        <v>0</v>
      </c>
      <c r="G2084" s="221" t="s">
        <v>48</v>
      </c>
      <c r="H2084" s="221" t="s">
        <v>48</v>
      </c>
      <c r="I2084" s="222"/>
    </row>
    <row r="2085" ht="17.25" customHeight="1" spans="1:9" x14ac:dyDescent="0.25">
      <c r="A2085" s="220">
        <v>2177</v>
      </c>
      <c r="B2085" s="221" t="s">
        <v>4590</v>
      </c>
      <c r="C2085" s="222" t="s">
        <v>4591</v>
      </c>
      <c r="D2085" s="221" t="s">
        <v>3862</v>
      </c>
      <c r="E2085" s="221" t="s">
        <v>27</v>
      </c>
      <c r="F2085" s="223">
        <v>0</v>
      </c>
      <c r="G2085" s="221" t="s">
        <v>71</v>
      </c>
      <c r="H2085" s="221" t="s">
        <v>71</v>
      </c>
      <c r="I2085" s="222"/>
    </row>
    <row r="2086" ht="17.25" customHeight="1" spans="1:9" x14ac:dyDescent="0.25">
      <c r="A2086" s="220">
        <v>2178</v>
      </c>
      <c r="B2086" s="221" t="s">
        <v>4563</v>
      </c>
      <c r="C2086" s="222" t="s">
        <v>4592</v>
      </c>
      <c r="D2086" s="221" t="s">
        <v>805</v>
      </c>
      <c r="E2086" s="221" t="s">
        <v>27</v>
      </c>
      <c r="F2086" s="223">
        <v>0</v>
      </c>
      <c r="G2086" s="221" t="s">
        <v>48</v>
      </c>
      <c r="H2086" s="221" t="s">
        <v>48</v>
      </c>
      <c r="I2086" s="222"/>
    </row>
    <row r="2087" ht="17.25" customHeight="1" spans="1:9" x14ac:dyDescent="0.25">
      <c r="A2087" s="220">
        <v>2179</v>
      </c>
      <c r="B2087" s="221" t="s">
        <v>4593</v>
      </c>
      <c r="C2087" s="222" t="s">
        <v>4594</v>
      </c>
      <c r="D2087" s="221" t="s">
        <v>805</v>
      </c>
      <c r="E2087" s="221" t="s">
        <v>27</v>
      </c>
      <c r="F2087" s="223">
        <v>0</v>
      </c>
      <c r="G2087" s="221" t="s">
        <v>48</v>
      </c>
      <c r="H2087" s="221" t="s">
        <v>48</v>
      </c>
      <c r="I2087" s="222"/>
    </row>
    <row r="2088" ht="17.25" customHeight="1" spans="1:9" x14ac:dyDescent="0.25">
      <c r="A2088" s="220">
        <v>2180</v>
      </c>
      <c r="B2088" s="221" t="s">
        <v>4577</v>
      </c>
      <c r="C2088" s="222" t="s">
        <v>4595</v>
      </c>
      <c r="D2088" s="221" t="s">
        <v>92</v>
      </c>
      <c r="E2088" s="221" t="s">
        <v>395</v>
      </c>
      <c r="F2088" s="223">
        <v>650</v>
      </c>
      <c r="G2088" s="221" t="s">
        <v>71</v>
      </c>
      <c r="H2088" s="221" t="s">
        <v>48</v>
      </c>
      <c r="I2088" s="222"/>
    </row>
    <row r="2089" ht="17.25" customHeight="1" spans="1:9" x14ac:dyDescent="0.25">
      <c r="A2089" s="220">
        <v>2181</v>
      </c>
      <c r="B2089" s="221" t="s">
        <v>4596</v>
      </c>
      <c r="C2089" s="222" t="s">
        <v>4597</v>
      </c>
      <c r="D2089" s="221" t="s">
        <v>70</v>
      </c>
      <c r="E2089" s="221" t="s">
        <v>395</v>
      </c>
      <c r="F2089" s="223">
        <v>0</v>
      </c>
      <c r="G2089" s="221" t="s">
        <v>46</v>
      </c>
      <c r="H2089" s="221" t="s">
        <v>71</v>
      </c>
      <c r="I2089" s="222"/>
    </row>
    <row r="2090" ht="17.25" customHeight="1" spans="1:9" x14ac:dyDescent="0.25">
      <c r="A2090" s="220">
        <v>2182</v>
      </c>
      <c r="B2090" s="221" t="s">
        <v>4598</v>
      </c>
      <c r="C2090" s="222" t="s">
        <v>4599</v>
      </c>
      <c r="D2090" s="221" t="s">
        <v>4434</v>
      </c>
      <c r="E2090" s="221" t="s">
        <v>38</v>
      </c>
      <c r="F2090" s="223">
        <v>0</v>
      </c>
      <c r="G2090" s="221" t="s">
        <v>46</v>
      </c>
      <c r="H2090" s="221" t="s">
        <v>46</v>
      </c>
      <c r="I2090" s="222" t="s">
        <v>4600</v>
      </c>
    </row>
    <row r="2091" ht="17.25" customHeight="1" spans="1:9" x14ac:dyDescent="0.25">
      <c r="A2091" s="220">
        <v>2183</v>
      </c>
      <c r="B2091" s="221" t="s">
        <v>4601</v>
      </c>
      <c r="C2091" s="222" t="s">
        <v>4602</v>
      </c>
      <c r="D2091" s="221" t="s">
        <v>4434</v>
      </c>
      <c r="E2091" s="221" t="s">
        <v>38</v>
      </c>
      <c r="F2091" s="223">
        <v>0</v>
      </c>
      <c r="G2091" s="221" t="s">
        <v>46</v>
      </c>
      <c r="H2091" s="221" t="s">
        <v>46</v>
      </c>
      <c r="I2091" s="222" t="s">
        <v>4603</v>
      </c>
    </row>
    <row r="2092" ht="17.25" customHeight="1" spans="1:9" x14ac:dyDescent="0.25">
      <c r="A2092" s="220">
        <v>2184</v>
      </c>
      <c r="B2092" s="221" t="s">
        <v>4604</v>
      </c>
      <c r="C2092" s="222" t="s">
        <v>4605</v>
      </c>
      <c r="D2092" s="221" t="s">
        <v>4434</v>
      </c>
      <c r="E2092" s="221" t="s">
        <v>38</v>
      </c>
      <c r="F2092" s="223">
        <v>0</v>
      </c>
      <c r="G2092" s="221" t="s">
        <v>46</v>
      </c>
      <c r="H2092" s="221" t="s">
        <v>46</v>
      </c>
      <c r="I2092" s="222" t="s">
        <v>4606</v>
      </c>
    </row>
    <row r="2093" ht="17.25" customHeight="1" spans="1:9" x14ac:dyDescent="0.25">
      <c r="A2093" s="220">
        <v>2185</v>
      </c>
      <c r="B2093" s="221" t="s">
        <v>4607</v>
      </c>
      <c r="C2093" s="222" t="s">
        <v>4608</v>
      </c>
      <c r="D2093" s="221" t="s">
        <v>4434</v>
      </c>
      <c r="E2093" s="221" t="s">
        <v>38</v>
      </c>
      <c r="F2093" s="223">
        <v>0</v>
      </c>
      <c r="G2093" s="221" t="s">
        <v>46</v>
      </c>
      <c r="H2093" s="221" t="s">
        <v>46</v>
      </c>
      <c r="I2093" s="222" t="s">
        <v>4606</v>
      </c>
    </row>
    <row r="2094" ht="17.25" customHeight="1" spans="1:9" x14ac:dyDescent="0.25">
      <c r="A2094" s="220">
        <v>2186</v>
      </c>
      <c r="B2094" s="221" t="s">
        <v>4609</v>
      </c>
      <c r="C2094" s="222" t="s">
        <v>4610</v>
      </c>
      <c r="D2094" s="221" t="s">
        <v>4434</v>
      </c>
      <c r="E2094" s="221" t="s">
        <v>38</v>
      </c>
      <c r="F2094" s="223">
        <v>0</v>
      </c>
      <c r="G2094" s="221" t="s">
        <v>46</v>
      </c>
      <c r="H2094" s="221" t="s">
        <v>46</v>
      </c>
      <c r="I2094" s="222" t="s">
        <v>4606</v>
      </c>
    </row>
    <row r="2095" ht="17.25" customHeight="1" spans="1:9" x14ac:dyDescent="0.25">
      <c r="A2095" s="220">
        <v>2187</v>
      </c>
      <c r="B2095" s="221" t="s">
        <v>4611</v>
      </c>
      <c r="C2095" s="222" t="s">
        <v>1410</v>
      </c>
      <c r="D2095" s="221" t="s">
        <v>4434</v>
      </c>
      <c r="E2095" s="221" t="s">
        <v>38</v>
      </c>
      <c r="F2095" s="223">
        <v>0</v>
      </c>
      <c r="G2095" s="221" t="s">
        <v>46</v>
      </c>
      <c r="H2095" s="221" t="s">
        <v>46</v>
      </c>
      <c r="I2095" s="222" t="s">
        <v>4606</v>
      </c>
    </row>
    <row r="2096" ht="17.25" customHeight="1" spans="1:9" x14ac:dyDescent="0.25">
      <c r="A2096" s="220">
        <v>2188</v>
      </c>
      <c r="B2096" s="221" t="s">
        <v>4612</v>
      </c>
      <c r="C2096" s="222" t="s">
        <v>4613</v>
      </c>
      <c r="D2096" s="221" t="s">
        <v>4434</v>
      </c>
      <c r="E2096" s="221" t="s">
        <v>38</v>
      </c>
      <c r="F2096" s="223">
        <v>0</v>
      </c>
      <c r="G2096" s="221" t="s">
        <v>46</v>
      </c>
      <c r="H2096" s="221" t="s">
        <v>46</v>
      </c>
      <c r="I2096" s="222" t="s">
        <v>4606</v>
      </c>
    </row>
    <row r="2097" ht="17.25" customHeight="1" spans="1:9" x14ac:dyDescent="0.25">
      <c r="A2097" s="220">
        <v>2189</v>
      </c>
      <c r="B2097" s="221" t="s">
        <v>4614</v>
      </c>
      <c r="C2097" s="222" t="s">
        <v>4615</v>
      </c>
      <c r="D2097" s="221" t="s">
        <v>4434</v>
      </c>
      <c r="E2097" s="221" t="s">
        <v>38</v>
      </c>
      <c r="F2097" s="223">
        <v>0</v>
      </c>
      <c r="G2097" s="221" t="s">
        <v>46</v>
      </c>
      <c r="H2097" s="221" t="s">
        <v>46</v>
      </c>
      <c r="I2097" s="222" t="s">
        <v>4606</v>
      </c>
    </row>
    <row r="2098" ht="17.25" customHeight="1" spans="1:9" x14ac:dyDescent="0.25">
      <c r="A2098" s="220">
        <v>2190</v>
      </c>
      <c r="B2098" s="221" t="s">
        <v>4616</v>
      </c>
      <c r="C2098" s="222" t="s">
        <v>4617</v>
      </c>
      <c r="D2098" s="221" t="s">
        <v>4434</v>
      </c>
      <c r="E2098" s="221" t="s">
        <v>38</v>
      </c>
      <c r="F2098" s="223">
        <v>0</v>
      </c>
      <c r="G2098" s="221" t="s">
        <v>46</v>
      </c>
      <c r="H2098" s="221" t="s">
        <v>46</v>
      </c>
      <c r="I2098" s="222" t="s">
        <v>4606</v>
      </c>
    </row>
    <row r="2099" ht="17.25" customHeight="1" spans="1:9" x14ac:dyDescent="0.25">
      <c r="A2099" s="220">
        <v>2191</v>
      </c>
      <c r="B2099" s="221" t="s">
        <v>4618</v>
      </c>
      <c r="C2099" s="222" t="s">
        <v>164</v>
      </c>
      <c r="D2099" s="221" t="s">
        <v>4434</v>
      </c>
      <c r="E2099" s="221" t="s">
        <v>38</v>
      </c>
      <c r="F2099" s="223">
        <v>0</v>
      </c>
      <c r="G2099" s="221" t="s">
        <v>46</v>
      </c>
      <c r="H2099" s="221" t="s">
        <v>46</v>
      </c>
      <c r="I2099" s="222" t="s">
        <v>4606</v>
      </c>
    </row>
    <row r="2100" ht="17.25" customHeight="1" spans="1:9" x14ac:dyDescent="0.25">
      <c r="A2100" s="220">
        <v>2192</v>
      </c>
      <c r="B2100" s="221" t="s">
        <v>4619</v>
      </c>
      <c r="C2100" s="222" t="s">
        <v>4620</v>
      </c>
      <c r="D2100" s="221" t="s">
        <v>4434</v>
      </c>
      <c r="E2100" s="221" t="s">
        <v>38</v>
      </c>
      <c r="F2100" s="223">
        <v>0</v>
      </c>
      <c r="G2100" s="221" t="s">
        <v>48</v>
      </c>
      <c r="H2100" s="221" t="s">
        <v>48</v>
      </c>
      <c r="I2100" s="222" t="s">
        <v>4606</v>
      </c>
    </row>
    <row r="2101" ht="17.25" customHeight="1" spans="1:9" x14ac:dyDescent="0.25">
      <c r="A2101" s="220">
        <v>2193</v>
      </c>
      <c r="B2101" s="221" t="s">
        <v>4621</v>
      </c>
      <c r="C2101" s="222" t="s">
        <v>4622</v>
      </c>
      <c r="D2101" s="221" t="s">
        <v>4434</v>
      </c>
      <c r="E2101" s="221" t="s">
        <v>38</v>
      </c>
      <c r="F2101" s="223">
        <v>0</v>
      </c>
      <c r="G2101" s="221" t="s">
        <v>71</v>
      </c>
      <c r="H2101" s="221" t="s">
        <v>71</v>
      </c>
      <c r="I2101" s="222" t="s">
        <v>4606</v>
      </c>
    </row>
    <row r="2102" ht="17.25" customHeight="1" spans="1:9" x14ac:dyDescent="0.25">
      <c r="A2102" s="220">
        <v>2194</v>
      </c>
      <c r="B2102" s="221" t="s">
        <v>4623</v>
      </c>
      <c r="C2102" s="222" t="s">
        <v>1950</v>
      </c>
      <c r="D2102" s="221" t="s">
        <v>4434</v>
      </c>
      <c r="E2102" s="221" t="s">
        <v>38</v>
      </c>
      <c r="F2102" s="223">
        <v>0</v>
      </c>
      <c r="G2102" s="221" t="s">
        <v>46</v>
      </c>
      <c r="H2102" s="221" t="s">
        <v>46</v>
      </c>
      <c r="I2102" s="222" t="s">
        <v>4606</v>
      </c>
    </row>
    <row r="2103" ht="17.25" customHeight="1" spans="1:9" x14ac:dyDescent="0.25">
      <c r="A2103" s="220">
        <v>2195</v>
      </c>
      <c r="B2103" s="221" t="s">
        <v>4624</v>
      </c>
      <c r="C2103" s="222" t="s">
        <v>4625</v>
      </c>
      <c r="D2103" s="221" t="s">
        <v>4434</v>
      </c>
      <c r="E2103" s="221" t="s">
        <v>38</v>
      </c>
      <c r="F2103" s="223">
        <v>0</v>
      </c>
      <c r="G2103" s="221" t="s">
        <v>46</v>
      </c>
      <c r="H2103" s="221" t="s">
        <v>46</v>
      </c>
      <c r="I2103" s="222" t="s">
        <v>4606</v>
      </c>
    </row>
    <row r="2104" ht="17.25" customHeight="1" spans="1:9" x14ac:dyDescent="0.25">
      <c r="A2104" s="220">
        <v>2196</v>
      </c>
      <c r="B2104" s="221" t="s">
        <v>4626</v>
      </c>
      <c r="C2104" s="222" t="s">
        <v>4627</v>
      </c>
      <c r="D2104" s="221" t="s">
        <v>4434</v>
      </c>
      <c r="E2104" s="221" t="s">
        <v>38</v>
      </c>
      <c r="F2104" s="223">
        <v>0</v>
      </c>
      <c r="G2104" s="221" t="s">
        <v>46</v>
      </c>
      <c r="H2104" s="221" t="s">
        <v>46</v>
      </c>
      <c r="I2104" s="222" t="s">
        <v>4606</v>
      </c>
    </row>
    <row r="2105" ht="17.25" customHeight="1" spans="1:9" x14ac:dyDescent="0.25">
      <c r="A2105" s="220">
        <v>2197</v>
      </c>
      <c r="B2105" s="221" t="s">
        <v>4628</v>
      </c>
      <c r="C2105" s="222" t="s">
        <v>4625</v>
      </c>
      <c r="D2105" s="221" t="s">
        <v>4434</v>
      </c>
      <c r="E2105" s="221" t="s">
        <v>38</v>
      </c>
      <c r="F2105" s="223">
        <v>0</v>
      </c>
      <c r="G2105" s="221" t="s">
        <v>46</v>
      </c>
      <c r="H2105" s="221" t="s">
        <v>46</v>
      </c>
      <c r="I2105" s="222" t="s">
        <v>4606</v>
      </c>
    </row>
    <row r="2106" ht="17.25" customHeight="1" spans="1:9" x14ac:dyDescent="0.25">
      <c r="A2106" s="220">
        <v>2198</v>
      </c>
      <c r="B2106" s="221" t="s">
        <v>4629</v>
      </c>
      <c r="C2106" s="222" t="s">
        <v>4630</v>
      </c>
      <c r="D2106" s="221" t="s">
        <v>4434</v>
      </c>
      <c r="E2106" s="221" t="s">
        <v>38</v>
      </c>
      <c r="F2106" s="223">
        <v>0</v>
      </c>
      <c r="G2106" s="221" t="s">
        <v>46</v>
      </c>
      <c r="H2106" s="221" t="s">
        <v>46</v>
      </c>
      <c r="I2106" s="222" t="s">
        <v>4606</v>
      </c>
    </row>
    <row r="2107" ht="17.25" customHeight="1" spans="1:9" x14ac:dyDescent="0.25">
      <c r="A2107" s="220">
        <v>2199</v>
      </c>
      <c r="B2107" s="221" t="s">
        <v>4631</v>
      </c>
      <c r="C2107" s="222" t="s">
        <v>4632</v>
      </c>
      <c r="D2107" s="221" t="s">
        <v>4434</v>
      </c>
      <c r="E2107" s="221" t="s">
        <v>38</v>
      </c>
      <c r="F2107" s="223">
        <v>0</v>
      </c>
      <c r="G2107" s="221" t="s">
        <v>46</v>
      </c>
      <c r="H2107" s="221" t="s">
        <v>46</v>
      </c>
      <c r="I2107" s="222" t="s">
        <v>4606</v>
      </c>
    </row>
    <row r="2108" ht="17.25" customHeight="1" spans="1:9" x14ac:dyDescent="0.25">
      <c r="A2108" s="220">
        <v>2200</v>
      </c>
      <c r="B2108" s="221" t="s">
        <v>4633</v>
      </c>
      <c r="C2108" s="222" t="s">
        <v>4634</v>
      </c>
      <c r="D2108" s="221" t="s">
        <v>4434</v>
      </c>
      <c r="E2108" s="221" t="s">
        <v>38</v>
      </c>
      <c r="F2108" s="223">
        <v>0</v>
      </c>
      <c r="G2108" s="221" t="s">
        <v>46</v>
      </c>
      <c r="H2108" s="221" t="s">
        <v>46</v>
      </c>
      <c r="I2108" s="222" t="s">
        <v>4606</v>
      </c>
    </row>
    <row r="2109" ht="17.25" customHeight="1" spans="1:9" x14ac:dyDescent="0.25">
      <c r="A2109" s="220">
        <v>2201</v>
      </c>
      <c r="B2109" s="221" t="s">
        <v>4635</v>
      </c>
      <c r="C2109" s="222" t="s">
        <v>4636</v>
      </c>
      <c r="D2109" s="221" t="s">
        <v>4434</v>
      </c>
      <c r="E2109" s="221" t="s">
        <v>38</v>
      </c>
      <c r="F2109" s="223">
        <v>0</v>
      </c>
      <c r="G2109" s="221" t="s">
        <v>46</v>
      </c>
      <c r="H2109" s="221" t="s">
        <v>46</v>
      </c>
      <c r="I2109" s="222" t="s">
        <v>4606</v>
      </c>
    </row>
    <row r="2110" ht="17.25" customHeight="1" spans="1:9" x14ac:dyDescent="0.25">
      <c r="A2110" s="220">
        <v>2202</v>
      </c>
      <c r="B2110" s="221" t="s">
        <v>4637</v>
      </c>
      <c r="C2110" s="222" t="s">
        <v>2742</v>
      </c>
      <c r="D2110" s="221" t="s">
        <v>4434</v>
      </c>
      <c r="E2110" s="221" t="s">
        <v>38</v>
      </c>
      <c r="F2110" s="223">
        <v>0</v>
      </c>
      <c r="G2110" s="221" t="s">
        <v>46</v>
      </c>
      <c r="H2110" s="221" t="s">
        <v>46</v>
      </c>
      <c r="I2110" s="222" t="s">
        <v>4606</v>
      </c>
    </row>
    <row r="2111" ht="17.25" customHeight="1" spans="1:9" x14ac:dyDescent="0.25">
      <c r="A2111" s="220">
        <v>2203</v>
      </c>
      <c r="B2111" s="221" t="s">
        <v>4638</v>
      </c>
      <c r="C2111" s="222" t="s">
        <v>4639</v>
      </c>
      <c r="D2111" s="221" t="s">
        <v>4434</v>
      </c>
      <c r="E2111" s="221" t="s">
        <v>38</v>
      </c>
      <c r="F2111" s="223">
        <v>0</v>
      </c>
      <c r="G2111" s="221" t="s">
        <v>46</v>
      </c>
      <c r="H2111" s="221" t="s">
        <v>46</v>
      </c>
      <c r="I2111" s="222" t="s">
        <v>4606</v>
      </c>
    </row>
    <row r="2112" ht="17.25" customHeight="1" spans="1:9" x14ac:dyDescent="0.25">
      <c r="A2112" s="220">
        <v>2204</v>
      </c>
      <c r="B2112" s="221" t="s">
        <v>4640</v>
      </c>
      <c r="C2112" s="222" t="s">
        <v>4641</v>
      </c>
      <c r="D2112" s="221" t="s">
        <v>4434</v>
      </c>
      <c r="E2112" s="221" t="s">
        <v>38</v>
      </c>
      <c r="F2112" s="223">
        <v>0</v>
      </c>
      <c r="G2112" s="221" t="s">
        <v>46</v>
      </c>
      <c r="H2112" s="221" t="s">
        <v>46</v>
      </c>
      <c r="I2112" s="222" t="s">
        <v>4606</v>
      </c>
    </row>
    <row r="2113" ht="17.25" customHeight="1" spans="1:9" x14ac:dyDescent="0.25">
      <c r="A2113" s="220">
        <v>2205</v>
      </c>
      <c r="B2113" s="221" t="s">
        <v>4642</v>
      </c>
      <c r="C2113" s="222" t="s">
        <v>4643</v>
      </c>
      <c r="D2113" s="221" t="s">
        <v>4434</v>
      </c>
      <c r="E2113" s="221" t="s">
        <v>38</v>
      </c>
      <c r="F2113" s="223">
        <v>0</v>
      </c>
      <c r="G2113" s="221" t="s">
        <v>46</v>
      </c>
      <c r="H2113" s="221" t="s">
        <v>46</v>
      </c>
      <c r="I2113" s="222" t="s">
        <v>4606</v>
      </c>
    </row>
    <row r="2114" ht="17.25" customHeight="1" spans="1:9" x14ac:dyDescent="0.25">
      <c r="A2114" s="220">
        <v>2206</v>
      </c>
      <c r="B2114" s="221" t="s">
        <v>4644</v>
      </c>
      <c r="C2114" s="222" t="s">
        <v>3745</v>
      </c>
      <c r="D2114" s="221" t="s">
        <v>4434</v>
      </c>
      <c r="E2114" s="221" t="s">
        <v>38</v>
      </c>
      <c r="F2114" s="223">
        <v>0</v>
      </c>
      <c r="G2114" s="221" t="s">
        <v>46</v>
      </c>
      <c r="H2114" s="221" t="s">
        <v>46</v>
      </c>
      <c r="I2114" s="222" t="s">
        <v>4606</v>
      </c>
    </row>
    <row r="2115" ht="17.25" customHeight="1" spans="1:9" x14ac:dyDescent="0.25">
      <c r="A2115" s="220">
        <v>2207</v>
      </c>
      <c r="B2115" s="221" t="s">
        <v>4645</v>
      </c>
      <c r="C2115" s="222" t="s">
        <v>4646</v>
      </c>
      <c r="D2115" s="221" t="s">
        <v>4434</v>
      </c>
      <c r="E2115" s="221" t="s">
        <v>38</v>
      </c>
      <c r="F2115" s="223">
        <v>0</v>
      </c>
      <c r="G2115" s="221" t="s">
        <v>46</v>
      </c>
      <c r="H2115" s="221" t="s">
        <v>46</v>
      </c>
      <c r="I2115" s="222" t="s">
        <v>4606</v>
      </c>
    </row>
    <row r="2116" ht="17.25" customHeight="1" spans="1:9" x14ac:dyDescent="0.25">
      <c r="A2116" s="220">
        <v>2208</v>
      </c>
      <c r="B2116" s="221" t="s">
        <v>4647</v>
      </c>
      <c r="C2116" s="222" t="s">
        <v>4648</v>
      </c>
      <c r="D2116" s="221" t="s">
        <v>3862</v>
      </c>
      <c r="E2116" s="221" t="s">
        <v>27</v>
      </c>
      <c r="F2116" s="223">
        <v>0</v>
      </c>
      <c r="G2116" s="221" t="s">
        <v>71</v>
      </c>
      <c r="H2116" s="221" t="s">
        <v>71</v>
      </c>
      <c r="I2116" s="222"/>
    </row>
    <row r="2117" ht="17.25" customHeight="1" spans="1:9" x14ac:dyDescent="0.25">
      <c r="A2117" s="220">
        <v>2209</v>
      </c>
      <c r="B2117" s="221" t="s">
        <v>4649</v>
      </c>
      <c r="C2117" s="222" t="s">
        <v>4650</v>
      </c>
      <c r="D2117" s="221" t="s">
        <v>3862</v>
      </c>
      <c r="E2117" s="221" t="s">
        <v>27</v>
      </c>
      <c r="F2117" s="223">
        <v>0</v>
      </c>
      <c r="G2117" s="221" t="s">
        <v>71</v>
      </c>
      <c r="H2117" s="221" t="s">
        <v>71</v>
      </c>
      <c r="I2117" s="222"/>
    </row>
    <row r="2118" ht="17.25" customHeight="1" spans="1:9" x14ac:dyDescent="0.25">
      <c r="A2118" s="220">
        <v>2210</v>
      </c>
      <c r="B2118" s="221" t="s">
        <v>4651</v>
      </c>
      <c r="C2118" s="222" t="s">
        <v>4652</v>
      </c>
      <c r="D2118" s="221" t="s">
        <v>3862</v>
      </c>
      <c r="E2118" s="221" t="s">
        <v>27</v>
      </c>
      <c r="F2118" s="223">
        <v>0</v>
      </c>
      <c r="G2118" s="221" t="s">
        <v>71</v>
      </c>
      <c r="H2118" s="221" t="s">
        <v>71</v>
      </c>
      <c r="I2118" s="222"/>
    </row>
    <row r="2119" ht="17.25" customHeight="1" spans="1:9" x14ac:dyDescent="0.25">
      <c r="A2119" s="220">
        <v>2211</v>
      </c>
      <c r="B2119" s="221" t="s">
        <v>4653</v>
      </c>
      <c r="C2119" s="222" t="s">
        <v>4654</v>
      </c>
      <c r="D2119" s="221" t="s">
        <v>3862</v>
      </c>
      <c r="E2119" s="221" t="s">
        <v>27</v>
      </c>
      <c r="F2119" s="223">
        <v>0</v>
      </c>
      <c r="G2119" s="221" t="s">
        <v>71</v>
      </c>
      <c r="H2119" s="221" t="s">
        <v>71</v>
      </c>
      <c r="I2119" s="222"/>
    </row>
    <row r="2120" ht="17.25" customHeight="1" spans="1:9" x14ac:dyDescent="0.25">
      <c r="A2120" s="220">
        <v>2212</v>
      </c>
      <c r="B2120" s="221" t="s">
        <v>4655</v>
      </c>
      <c r="C2120" s="222" t="s">
        <v>4656</v>
      </c>
      <c r="D2120" s="221" t="s">
        <v>3862</v>
      </c>
      <c r="E2120" s="221" t="s">
        <v>27</v>
      </c>
      <c r="F2120" s="223">
        <v>0</v>
      </c>
      <c r="G2120" s="221" t="s">
        <v>71</v>
      </c>
      <c r="H2120" s="221" t="s">
        <v>71</v>
      </c>
      <c r="I2120" s="222"/>
    </row>
    <row r="2121" ht="17.25" customHeight="1" spans="1:9" x14ac:dyDescent="0.25">
      <c r="A2121" s="220">
        <v>2215</v>
      </c>
      <c r="B2121" s="221" t="s">
        <v>4657</v>
      </c>
      <c r="C2121" s="222" t="s">
        <v>4658</v>
      </c>
      <c r="D2121" s="221" t="s">
        <v>3862</v>
      </c>
      <c r="E2121" s="221" t="s">
        <v>27</v>
      </c>
      <c r="F2121" s="223">
        <v>0</v>
      </c>
      <c r="G2121" s="221" t="s">
        <v>71</v>
      </c>
      <c r="H2121" s="221" t="s">
        <v>71</v>
      </c>
      <c r="I2121" s="222"/>
    </row>
    <row r="2122" ht="17.25" customHeight="1" spans="1:9" x14ac:dyDescent="0.25">
      <c r="A2122" s="220">
        <v>2216</v>
      </c>
      <c r="B2122" s="221" t="s">
        <v>4659</v>
      </c>
      <c r="C2122" s="222" t="s">
        <v>4660</v>
      </c>
      <c r="D2122" s="221" t="s">
        <v>360</v>
      </c>
      <c r="E2122" s="221" t="s">
        <v>27</v>
      </c>
      <c r="F2122" s="223">
        <v>0</v>
      </c>
      <c r="G2122" s="221" t="s">
        <v>48</v>
      </c>
      <c r="H2122" s="221" t="s">
        <v>48</v>
      </c>
      <c r="I2122" s="222"/>
    </row>
    <row r="2123" ht="17.25" customHeight="1" spans="1:9" x14ac:dyDescent="0.25">
      <c r="A2123" s="220">
        <v>2217</v>
      </c>
      <c r="B2123" s="221" t="s">
        <v>4661</v>
      </c>
      <c r="C2123" s="222" t="s">
        <v>4662</v>
      </c>
      <c r="D2123" s="221" t="s">
        <v>331</v>
      </c>
      <c r="E2123" s="221" t="s">
        <v>27</v>
      </c>
      <c r="F2123" s="223">
        <v>0</v>
      </c>
      <c r="G2123" s="221" t="s">
        <v>48</v>
      </c>
      <c r="H2123" s="221" t="s">
        <v>48</v>
      </c>
      <c r="I2123" s="222" t="s">
        <v>346</v>
      </c>
    </row>
    <row r="2124" ht="17.25" customHeight="1" spans="1:9" x14ac:dyDescent="0.25">
      <c r="A2124" s="220">
        <v>2218</v>
      </c>
      <c r="B2124" s="221" t="s">
        <v>4663</v>
      </c>
      <c r="C2124" s="222" t="s">
        <v>4664</v>
      </c>
      <c r="D2124" s="221" t="s">
        <v>2587</v>
      </c>
      <c r="E2124" s="221" t="s">
        <v>27</v>
      </c>
      <c r="F2124" s="223">
        <v>0</v>
      </c>
      <c r="G2124" s="221" t="s">
        <v>48</v>
      </c>
      <c r="H2124" s="221" t="s">
        <v>48</v>
      </c>
      <c r="I2124" s="222" t="s">
        <v>2588</v>
      </c>
    </row>
    <row r="2125" ht="17.25" customHeight="1" spans="1:9" x14ac:dyDescent="0.25">
      <c r="A2125" s="220">
        <v>2219</v>
      </c>
      <c r="B2125" s="221" t="s">
        <v>4665</v>
      </c>
      <c r="C2125" s="222" t="s">
        <v>4666</v>
      </c>
      <c r="D2125" s="221" t="s">
        <v>92</v>
      </c>
      <c r="E2125" s="221" t="s">
        <v>395</v>
      </c>
      <c r="F2125" s="223">
        <v>650</v>
      </c>
      <c r="G2125" s="221" t="s">
        <v>71</v>
      </c>
      <c r="H2125" s="221" t="s">
        <v>48</v>
      </c>
      <c r="I2125" s="222"/>
    </row>
    <row r="2126" ht="17.25" customHeight="1" spans="1:9" x14ac:dyDescent="0.25">
      <c r="A2126" s="220">
        <v>2220</v>
      </c>
      <c r="B2126" s="221" t="s">
        <v>4667</v>
      </c>
      <c r="C2126" s="222" t="s">
        <v>4668</v>
      </c>
      <c r="D2126" s="221" t="s">
        <v>4556</v>
      </c>
      <c r="E2126" s="221" t="s">
        <v>30</v>
      </c>
      <c r="F2126" s="223">
        <v>11000</v>
      </c>
      <c r="G2126" s="221" t="s">
        <v>71</v>
      </c>
      <c r="H2126" s="221" t="s">
        <v>71</v>
      </c>
      <c r="I2126" s="222" t="s">
        <v>4669</v>
      </c>
    </row>
    <row r="2127" ht="17.25" customHeight="1" spans="1:9" x14ac:dyDescent="0.25">
      <c r="A2127" s="220">
        <v>2221</v>
      </c>
      <c r="B2127" s="221" t="s">
        <v>4670</v>
      </c>
      <c r="C2127" s="222" t="s">
        <v>4671</v>
      </c>
      <c r="D2127" s="221" t="s">
        <v>70</v>
      </c>
      <c r="E2127" s="221" t="s">
        <v>395</v>
      </c>
      <c r="F2127" s="223">
        <v>0</v>
      </c>
      <c r="G2127" s="221" t="s">
        <v>46</v>
      </c>
      <c r="H2127" s="221" t="s">
        <v>71</v>
      </c>
      <c r="I2127" s="222"/>
    </row>
    <row r="2128" ht="17.25" customHeight="1" spans="1:9" x14ac:dyDescent="0.25">
      <c r="A2128" s="220">
        <v>2222</v>
      </c>
      <c r="B2128" s="221" t="s">
        <v>958</v>
      </c>
      <c r="C2128" s="222" t="s">
        <v>4672</v>
      </c>
      <c r="D2128" s="221" t="s">
        <v>805</v>
      </c>
      <c r="E2128" s="221" t="s">
        <v>27</v>
      </c>
      <c r="F2128" s="223">
        <v>0</v>
      </c>
      <c r="G2128" s="221" t="s">
        <v>48</v>
      </c>
      <c r="H2128" s="221" t="s">
        <v>48</v>
      </c>
      <c r="I2128" s="222"/>
    </row>
    <row r="2129" ht="17.25" customHeight="1" spans="1:9" x14ac:dyDescent="0.25">
      <c r="A2129" s="220">
        <v>2223</v>
      </c>
      <c r="B2129" s="221" t="s">
        <v>960</v>
      </c>
      <c r="C2129" s="222" t="s">
        <v>4673</v>
      </c>
      <c r="D2129" s="221" t="s">
        <v>805</v>
      </c>
      <c r="E2129" s="221" t="s">
        <v>27</v>
      </c>
      <c r="F2129" s="223">
        <v>0</v>
      </c>
      <c r="G2129" s="221" t="s">
        <v>48</v>
      </c>
      <c r="H2129" s="221" t="s">
        <v>48</v>
      </c>
      <c r="I2129" s="222"/>
    </row>
    <row r="2130" ht="17.25" customHeight="1" spans="1:9" x14ac:dyDescent="0.25">
      <c r="A2130" s="220">
        <v>2224</v>
      </c>
      <c r="B2130" s="221" t="s">
        <v>4674</v>
      </c>
      <c r="C2130" s="222" t="s">
        <v>4675</v>
      </c>
      <c r="D2130" s="221" t="s">
        <v>205</v>
      </c>
      <c r="E2130" s="221" t="s">
        <v>395</v>
      </c>
      <c r="F2130" s="223">
        <v>0</v>
      </c>
      <c r="G2130" s="221" t="s">
        <v>71</v>
      </c>
      <c r="H2130" s="221" t="s">
        <v>71</v>
      </c>
      <c r="I2130" s="222"/>
    </row>
    <row r="2131" ht="17.25" customHeight="1" spans="1:9" x14ac:dyDescent="0.25">
      <c r="A2131" s="220">
        <v>2226</v>
      </c>
      <c r="B2131" s="221" t="s">
        <v>4676</v>
      </c>
      <c r="C2131" s="222" t="s">
        <v>4677</v>
      </c>
      <c r="D2131" s="221" t="s">
        <v>4556</v>
      </c>
      <c r="E2131" s="221" t="s">
        <v>30</v>
      </c>
      <c r="F2131" s="223">
        <v>9500</v>
      </c>
      <c r="G2131" s="221" t="s">
        <v>71</v>
      </c>
      <c r="H2131" s="221" t="s">
        <v>71</v>
      </c>
      <c r="I2131" s="222"/>
    </row>
    <row r="2132" ht="17.25" customHeight="1" spans="1:9" x14ac:dyDescent="0.25">
      <c r="A2132" s="220">
        <v>2227</v>
      </c>
      <c r="B2132" s="221" t="s">
        <v>4678</v>
      </c>
      <c r="C2132" s="222" t="s">
        <v>4679</v>
      </c>
      <c r="D2132" s="221" t="s">
        <v>573</v>
      </c>
      <c r="E2132" s="221" t="s">
        <v>27</v>
      </c>
      <c r="F2132" s="223">
        <v>0</v>
      </c>
      <c r="G2132" s="221" t="s">
        <v>48</v>
      </c>
      <c r="H2132" s="221" t="s">
        <v>48</v>
      </c>
      <c r="I2132" s="222" t="s">
        <v>4680</v>
      </c>
    </row>
    <row r="2133" ht="17.25" customHeight="1" spans="1:9" x14ac:dyDescent="0.25">
      <c r="A2133" s="220">
        <v>2230</v>
      </c>
      <c r="B2133" s="221" t="s">
        <v>4681</v>
      </c>
      <c r="C2133" s="222" t="s">
        <v>4682</v>
      </c>
      <c r="D2133" s="221" t="s">
        <v>805</v>
      </c>
      <c r="E2133" s="221" t="s">
        <v>27</v>
      </c>
      <c r="F2133" s="223">
        <v>0</v>
      </c>
      <c r="G2133" s="221" t="s">
        <v>48</v>
      </c>
      <c r="H2133" s="221" t="s">
        <v>48</v>
      </c>
      <c r="I2133" s="222"/>
    </row>
    <row r="2134" ht="17.25" customHeight="1" spans="1:9" x14ac:dyDescent="0.25">
      <c r="A2134" s="220">
        <v>2231</v>
      </c>
      <c r="B2134" s="221" t="s">
        <v>4683</v>
      </c>
      <c r="C2134" s="222" t="s">
        <v>4684</v>
      </c>
      <c r="D2134" s="221" t="s">
        <v>964</v>
      </c>
      <c r="E2134" s="221" t="s">
        <v>27</v>
      </c>
      <c r="F2134" s="223">
        <v>0</v>
      </c>
      <c r="G2134" s="221" t="s">
        <v>48</v>
      </c>
      <c r="H2134" s="221" t="s">
        <v>48</v>
      </c>
      <c r="I2134" s="222" t="s">
        <v>373</v>
      </c>
    </row>
    <row r="2135" ht="17.25" customHeight="1" spans="1:9" x14ac:dyDescent="0.25">
      <c r="A2135" s="220">
        <v>2232</v>
      </c>
      <c r="B2135" s="221" t="s">
        <v>4596</v>
      </c>
      <c r="C2135" s="222" t="s">
        <v>4685</v>
      </c>
      <c r="D2135" s="221" t="s">
        <v>70</v>
      </c>
      <c r="E2135" s="221" t="s">
        <v>395</v>
      </c>
      <c r="F2135" s="223">
        <v>0</v>
      </c>
      <c r="G2135" s="221" t="s">
        <v>46</v>
      </c>
      <c r="H2135" s="221" t="s">
        <v>71</v>
      </c>
      <c r="I2135" s="222"/>
    </row>
    <row r="2136" ht="17.25" customHeight="1" spans="1:9" x14ac:dyDescent="0.25">
      <c r="A2136" s="220">
        <v>2233</v>
      </c>
      <c r="B2136" s="221" t="s">
        <v>4686</v>
      </c>
      <c r="C2136" s="222" t="s">
        <v>4687</v>
      </c>
      <c r="D2136" s="221" t="s">
        <v>70</v>
      </c>
      <c r="E2136" s="221" t="s">
        <v>395</v>
      </c>
      <c r="F2136" s="223">
        <v>0</v>
      </c>
      <c r="G2136" s="221" t="s">
        <v>46</v>
      </c>
      <c r="H2136" s="221" t="s">
        <v>71</v>
      </c>
      <c r="I2136" s="222"/>
    </row>
    <row r="2137" ht="17.25" customHeight="1" spans="1:9" x14ac:dyDescent="0.25">
      <c r="A2137" s="220">
        <v>2234</v>
      </c>
      <c r="B2137" s="221" t="s">
        <v>4688</v>
      </c>
      <c r="C2137" s="222" t="s">
        <v>4689</v>
      </c>
      <c r="D2137" s="221" t="s">
        <v>4556</v>
      </c>
      <c r="E2137" s="221" t="s">
        <v>30</v>
      </c>
      <c r="F2137" s="223">
        <v>9500</v>
      </c>
      <c r="G2137" s="221" t="s">
        <v>71</v>
      </c>
      <c r="H2137" s="221" t="s">
        <v>71</v>
      </c>
      <c r="I2137" s="222"/>
    </row>
    <row r="2138" ht="17.25" customHeight="1" spans="1:9" x14ac:dyDescent="0.25">
      <c r="A2138" s="220">
        <v>2235</v>
      </c>
      <c r="B2138" s="221" t="s">
        <v>4690</v>
      </c>
      <c r="C2138" s="222" t="s">
        <v>4691</v>
      </c>
      <c r="D2138" s="221" t="s">
        <v>205</v>
      </c>
      <c r="E2138" s="221" t="s">
        <v>30</v>
      </c>
      <c r="F2138" s="223">
        <v>9500</v>
      </c>
      <c r="G2138" s="221" t="s">
        <v>71</v>
      </c>
      <c r="H2138" s="221" t="s">
        <v>71</v>
      </c>
      <c r="I2138" s="222"/>
    </row>
    <row r="2139" ht="17.25" customHeight="1" spans="1:9" x14ac:dyDescent="0.25">
      <c r="A2139" s="220">
        <v>2236</v>
      </c>
      <c r="B2139" s="221" t="s">
        <v>4692</v>
      </c>
      <c r="C2139" s="222" t="s">
        <v>4693</v>
      </c>
      <c r="D2139" s="221" t="s">
        <v>205</v>
      </c>
      <c r="E2139" s="221" t="s">
        <v>31</v>
      </c>
      <c r="F2139" s="223">
        <v>0</v>
      </c>
      <c r="G2139" s="221" t="s">
        <v>48</v>
      </c>
      <c r="H2139" s="221" t="s">
        <v>48</v>
      </c>
      <c r="I2139" s="222"/>
    </row>
    <row r="2140" ht="17.25" customHeight="1" spans="1:9" x14ac:dyDescent="0.25">
      <c r="A2140" s="220">
        <v>2237</v>
      </c>
      <c r="B2140" s="221" t="s">
        <v>4694</v>
      </c>
      <c r="C2140" s="222" t="s">
        <v>4695</v>
      </c>
      <c r="D2140" s="221" t="s">
        <v>205</v>
      </c>
      <c r="E2140" s="221" t="s">
        <v>31</v>
      </c>
      <c r="F2140" s="223">
        <v>0</v>
      </c>
      <c r="G2140" s="221" t="s">
        <v>48</v>
      </c>
      <c r="H2140" s="221" t="s">
        <v>48</v>
      </c>
      <c r="I2140" s="222"/>
    </row>
    <row r="2141" ht="17.25" customHeight="1" spans="1:9" x14ac:dyDescent="0.25">
      <c r="A2141" s="220">
        <v>2238</v>
      </c>
      <c r="B2141" s="221" t="s">
        <v>4696</v>
      </c>
      <c r="C2141" s="222" t="s">
        <v>4697</v>
      </c>
      <c r="D2141" s="221" t="s">
        <v>205</v>
      </c>
      <c r="E2141" s="221" t="s">
        <v>31</v>
      </c>
      <c r="F2141" s="223">
        <v>0</v>
      </c>
      <c r="G2141" s="221" t="s">
        <v>48</v>
      </c>
      <c r="H2141" s="221" t="s">
        <v>48</v>
      </c>
      <c r="I2141" s="222"/>
    </row>
    <row r="2142" ht="17.25" customHeight="1" spans="1:9" x14ac:dyDescent="0.25">
      <c r="A2142" s="220">
        <v>2239</v>
      </c>
      <c r="B2142" s="221" t="s">
        <v>4698</v>
      </c>
      <c r="C2142" s="222" t="s">
        <v>4699</v>
      </c>
      <c r="D2142" s="221" t="s">
        <v>205</v>
      </c>
      <c r="E2142" s="221" t="s">
        <v>31</v>
      </c>
      <c r="F2142" s="223">
        <v>0</v>
      </c>
      <c r="G2142" s="221" t="s">
        <v>48</v>
      </c>
      <c r="H2142" s="221" t="s">
        <v>48</v>
      </c>
      <c r="I2142" s="222"/>
    </row>
    <row r="2143" ht="17.25" customHeight="1" spans="1:9" x14ac:dyDescent="0.25">
      <c r="A2143" s="220">
        <v>2240</v>
      </c>
      <c r="B2143" s="221" t="s">
        <v>4700</v>
      </c>
      <c r="C2143" s="222" t="s">
        <v>135</v>
      </c>
      <c r="D2143" s="221" t="s">
        <v>205</v>
      </c>
      <c r="E2143" s="221" t="s">
        <v>31</v>
      </c>
      <c r="F2143" s="223">
        <v>0</v>
      </c>
      <c r="G2143" s="221" t="s">
        <v>48</v>
      </c>
      <c r="H2143" s="221" t="s">
        <v>48</v>
      </c>
      <c r="I2143" s="222"/>
    </row>
    <row r="2144" ht="17.25" customHeight="1" spans="1:9" x14ac:dyDescent="0.25">
      <c r="A2144" s="220">
        <v>2241</v>
      </c>
      <c r="B2144" s="221" t="s">
        <v>4701</v>
      </c>
      <c r="C2144" s="222" t="s">
        <v>4702</v>
      </c>
      <c r="D2144" s="221" t="s">
        <v>70</v>
      </c>
      <c r="E2144" s="221" t="s">
        <v>395</v>
      </c>
      <c r="F2144" s="223">
        <v>0</v>
      </c>
      <c r="G2144" s="221" t="s">
        <v>46</v>
      </c>
      <c r="H2144" s="221" t="s">
        <v>71</v>
      </c>
      <c r="I2144" s="222"/>
    </row>
    <row r="2145" ht="17.25" customHeight="1" spans="1:9" x14ac:dyDescent="0.25">
      <c r="A2145" s="220">
        <v>2242</v>
      </c>
      <c r="B2145" s="221" t="s">
        <v>4703</v>
      </c>
      <c r="C2145" s="222" t="s">
        <v>4704</v>
      </c>
      <c r="D2145" s="221" t="s">
        <v>205</v>
      </c>
      <c r="E2145" s="221" t="s">
        <v>395</v>
      </c>
      <c r="F2145" s="223">
        <v>0</v>
      </c>
      <c r="G2145" s="221" t="s">
        <v>71</v>
      </c>
      <c r="H2145" s="221" t="s">
        <v>71</v>
      </c>
      <c r="I2145" s="222"/>
    </row>
    <row r="2146" ht="17.25" customHeight="1" spans="1:9" x14ac:dyDescent="0.25">
      <c r="A2146" s="220">
        <v>2243</v>
      </c>
      <c r="B2146" s="221" t="s">
        <v>4705</v>
      </c>
      <c r="C2146" s="222" t="s">
        <v>4706</v>
      </c>
      <c r="D2146" s="221" t="s">
        <v>205</v>
      </c>
      <c r="E2146" s="221" t="s">
        <v>395</v>
      </c>
      <c r="F2146" s="223">
        <v>0</v>
      </c>
      <c r="G2146" s="221" t="s">
        <v>71</v>
      </c>
      <c r="H2146" s="221" t="s">
        <v>71</v>
      </c>
      <c r="I2146" s="222"/>
    </row>
    <row r="2147" ht="17.25" customHeight="1" spans="1:9" x14ac:dyDescent="0.25">
      <c r="A2147" s="220">
        <v>2244</v>
      </c>
      <c r="B2147" s="221" t="s">
        <v>4707</v>
      </c>
      <c r="C2147" s="222" t="s">
        <v>4708</v>
      </c>
      <c r="D2147" s="221" t="s">
        <v>205</v>
      </c>
      <c r="E2147" s="221" t="s">
        <v>395</v>
      </c>
      <c r="F2147" s="223">
        <v>0</v>
      </c>
      <c r="G2147" s="221" t="s">
        <v>71</v>
      </c>
      <c r="H2147" s="221" t="s">
        <v>71</v>
      </c>
      <c r="I2147" s="222"/>
    </row>
    <row r="2148" ht="17.25" customHeight="1" spans="1:9" x14ac:dyDescent="0.25">
      <c r="A2148" s="220">
        <v>2245</v>
      </c>
      <c r="B2148" s="221" t="s">
        <v>4709</v>
      </c>
      <c r="C2148" s="222" t="s">
        <v>4710</v>
      </c>
      <c r="D2148" s="221" t="s">
        <v>805</v>
      </c>
      <c r="E2148" s="221" t="s">
        <v>27</v>
      </c>
      <c r="F2148" s="223">
        <v>0</v>
      </c>
      <c r="G2148" s="221" t="s">
        <v>48</v>
      </c>
      <c r="H2148" s="221" t="s">
        <v>48</v>
      </c>
      <c r="I2148" s="222"/>
    </row>
    <row r="2149" ht="17.25" customHeight="1" spans="1:9" x14ac:dyDescent="0.25">
      <c r="A2149" s="220">
        <v>2246</v>
      </c>
      <c r="B2149" s="221" t="s">
        <v>4711</v>
      </c>
      <c r="C2149" s="222" t="s">
        <v>4712</v>
      </c>
      <c r="D2149" s="221" t="s">
        <v>331</v>
      </c>
      <c r="E2149" s="221" t="s">
        <v>27</v>
      </c>
      <c r="F2149" s="223">
        <v>0</v>
      </c>
      <c r="G2149" s="221" t="s">
        <v>48</v>
      </c>
      <c r="H2149" s="221" t="s">
        <v>48</v>
      </c>
      <c r="I2149" s="222" t="s">
        <v>4713</v>
      </c>
    </row>
    <row r="2150" ht="17.25" customHeight="1" spans="1:9" x14ac:dyDescent="0.25">
      <c r="A2150" s="220">
        <v>2253</v>
      </c>
      <c r="B2150" s="221" t="s">
        <v>4714</v>
      </c>
      <c r="C2150" s="222" t="s">
        <v>4715</v>
      </c>
      <c r="D2150" s="221" t="s">
        <v>4434</v>
      </c>
      <c r="E2150" s="221" t="s">
        <v>38</v>
      </c>
      <c r="F2150" s="223">
        <v>0</v>
      </c>
      <c r="G2150" s="221" t="s">
        <v>46</v>
      </c>
      <c r="H2150" s="221" t="s">
        <v>46</v>
      </c>
      <c r="I2150" s="222"/>
    </row>
    <row r="2151" ht="17.25" customHeight="1" spans="1:9" x14ac:dyDescent="0.25">
      <c r="A2151" s="220">
        <v>2254</v>
      </c>
      <c r="B2151" s="221" t="s">
        <v>4716</v>
      </c>
      <c r="C2151" s="222" t="s">
        <v>4717</v>
      </c>
      <c r="D2151" s="221" t="s">
        <v>4434</v>
      </c>
      <c r="E2151" s="221" t="s">
        <v>38</v>
      </c>
      <c r="F2151" s="223">
        <v>0</v>
      </c>
      <c r="G2151" s="221" t="s">
        <v>46</v>
      </c>
      <c r="H2151" s="221" t="s">
        <v>46</v>
      </c>
      <c r="I2151" s="222"/>
    </row>
    <row r="2152" ht="17.25" customHeight="1" spans="1:9" x14ac:dyDescent="0.25">
      <c r="A2152" s="220">
        <v>2255</v>
      </c>
      <c r="B2152" s="221" t="s">
        <v>4718</v>
      </c>
      <c r="C2152" s="222" t="s">
        <v>4719</v>
      </c>
      <c r="D2152" s="221" t="s">
        <v>4434</v>
      </c>
      <c r="E2152" s="221" t="s">
        <v>38</v>
      </c>
      <c r="F2152" s="223">
        <v>0</v>
      </c>
      <c r="G2152" s="221" t="s">
        <v>46</v>
      </c>
      <c r="H2152" s="221" t="s">
        <v>46</v>
      </c>
      <c r="I2152" s="222"/>
    </row>
    <row r="2153" ht="17.25" customHeight="1" spans="1:9" x14ac:dyDescent="0.25">
      <c r="A2153" s="220">
        <v>2256</v>
      </c>
      <c r="B2153" s="221" t="s">
        <v>4720</v>
      </c>
      <c r="C2153" s="222" t="s">
        <v>4721</v>
      </c>
      <c r="D2153" s="221" t="s">
        <v>4434</v>
      </c>
      <c r="E2153" s="221" t="s">
        <v>38</v>
      </c>
      <c r="F2153" s="223">
        <v>0</v>
      </c>
      <c r="G2153" s="221" t="s">
        <v>46</v>
      </c>
      <c r="H2153" s="221" t="s">
        <v>46</v>
      </c>
      <c r="I2153" s="222"/>
    </row>
    <row r="2154" ht="17.25" customHeight="1" spans="1:9" x14ac:dyDescent="0.25">
      <c r="A2154" s="220">
        <v>2257</v>
      </c>
      <c r="B2154" s="221" t="s">
        <v>4722</v>
      </c>
      <c r="C2154" s="222" t="s">
        <v>4723</v>
      </c>
      <c r="D2154" s="221" t="s">
        <v>4434</v>
      </c>
      <c r="E2154" s="221" t="s">
        <v>38</v>
      </c>
      <c r="F2154" s="223">
        <v>0</v>
      </c>
      <c r="G2154" s="221" t="s">
        <v>46</v>
      </c>
      <c r="H2154" s="221" t="s">
        <v>46</v>
      </c>
      <c r="I2154" s="222"/>
    </row>
    <row r="2155" ht="17.25" customHeight="1" spans="1:9" x14ac:dyDescent="0.25">
      <c r="A2155" s="220">
        <v>2258</v>
      </c>
      <c r="B2155" s="221" t="s">
        <v>4724</v>
      </c>
      <c r="C2155" s="222" t="s">
        <v>4725</v>
      </c>
      <c r="D2155" s="221" t="s">
        <v>4434</v>
      </c>
      <c r="E2155" s="221" t="s">
        <v>38</v>
      </c>
      <c r="F2155" s="223">
        <v>0</v>
      </c>
      <c r="G2155" s="221" t="s">
        <v>46</v>
      </c>
      <c r="H2155" s="221" t="s">
        <v>46</v>
      </c>
      <c r="I2155" s="222"/>
    </row>
    <row r="2156" ht="17.25" customHeight="1" spans="1:9" x14ac:dyDescent="0.25">
      <c r="A2156" s="220">
        <v>2259</v>
      </c>
      <c r="B2156" s="221" t="s">
        <v>4726</v>
      </c>
      <c r="C2156" s="222" t="s">
        <v>4727</v>
      </c>
      <c r="D2156" s="221" t="s">
        <v>4434</v>
      </c>
      <c r="E2156" s="221" t="s">
        <v>38</v>
      </c>
      <c r="F2156" s="223">
        <v>0</v>
      </c>
      <c r="G2156" s="221" t="s">
        <v>46</v>
      </c>
      <c r="H2156" s="221" t="s">
        <v>46</v>
      </c>
      <c r="I2156" s="222"/>
    </row>
    <row r="2157" ht="17.25" customHeight="1" spans="1:9" x14ac:dyDescent="0.25">
      <c r="A2157" s="220">
        <v>2260</v>
      </c>
      <c r="B2157" s="221" t="s">
        <v>4728</v>
      </c>
      <c r="C2157" s="222" t="s">
        <v>4729</v>
      </c>
      <c r="D2157" s="221" t="s">
        <v>4434</v>
      </c>
      <c r="E2157" s="221" t="s">
        <v>38</v>
      </c>
      <c r="F2157" s="223">
        <v>0</v>
      </c>
      <c r="G2157" s="221" t="s">
        <v>46</v>
      </c>
      <c r="H2157" s="221" t="s">
        <v>46</v>
      </c>
      <c r="I2157" s="222"/>
    </row>
    <row r="2158" ht="17.25" customHeight="1" spans="1:9" x14ac:dyDescent="0.25">
      <c r="A2158" s="220">
        <v>2261</v>
      </c>
      <c r="B2158" s="221" t="s">
        <v>4730</v>
      </c>
      <c r="C2158" s="222" t="s">
        <v>4731</v>
      </c>
      <c r="D2158" s="221" t="s">
        <v>4434</v>
      </c>
      <c r="E2158" s="221" t="s">
        <v>38</v>
      </c>
      <c r="F2158" s="223">
        <v>0</v>
      </c>
      <c r="G2158" s="221" t="s">
        <v>46</v>
      </c>
      <c r="H2158" s="221" t="s">
        <v>46</v>
      </c>
      <c r="I2158" s="222"/>
    </row>
    <row r="2159" ht="17.25" customHeight="1" spans="1:9" x14ac:dyDescent="0.25">
      <c r="A2159" s="220">
        <v>2262</v>
      </c>
      <c r="B2159" s="221" t="s">
        <v>4732</v>
      </c>
      <c r="C2159" s="222" t="s">
        <v>4733</v>
      </c>
      <c r="D2159" s="221" t="s">
        <v>4434</v>
      </c>
      <c r="E2159" s="221" t="s">
        <v>38</v>
      </c>
      <c r="F2159" s="223">
        <v>0</v>
      </c>
      <c r="G2159" s="221" t="s">
        <v>46</v>
      </c>
      <c r="H2159" s="221" t="s">
        <v>46</v>
      </c>
      <c r="I2159" s="222"/>
    </row>
    <row r="2160" ht="17.25" customHeight="1" spans="1:9" x14ac:dyDescent="0.25">
      <c r="A2160" s="220">
        <v>2263</v>
      </c>
      <c r="B2160" s="221" t="s">
        <v>4734</v>
      </c>
      <c r="C2160" s="222" t="s">
        <v>4735</v>
      </c>
      <c r="D2160" s="221" t="s">
        <v>205</v>
      </c>
      <c r="E2160" s="221" t="s">
        <v>395</v>
      </c>
      <c r="F2160" s="223">
        <v>0</v>
      </c>
      <c r="G2160" s="221" t="s">
        <v>71</v>
      </c>
      <c r="H2160" s="221" t="s">
        <v>71</v>
      </c>
      <c r="I2160" s="222"/>
    </row>
    <row r="2161" ht="17.25" customHeight="1" spans="1:9" x14ac:dyDescent="0.25">
      <c r="A2161" s="220">
        <v>2265</v>
      </c>
      <c r="B2161" s="221" t="s">
        <v>4736</v>
      </c>
      <c r="C2161" s="222" t="s">
        <v>4737</v>
      </c>
      <c r="D2161" s="221" t="s">
        <v>205</v>
      </c>
      <c r="E2161" s="221" t="s">
        <v>30</v>
      </c>
      <c r="F2161" s="223">
        <v>11000</v>
      </c>
      <c r="G2161" s="221" t="s">
        <v>71</v>
      </c>
      <c r="H2161" s="221" t="s">
        <v>71</v>
      </c>
      <c r="I2161" s="222"/>
    </row>
    <row r="2162" ht="17.25" customHeight="1" spans="1:9" x14ac:dyDescent="0.25">
      <c r="A2162" s="220">
        <v>2266</v>
      </c>
      <c r="B2162" s="221" t="s">
        <v>4738</v>
      </c>
      <c r="C2162" s="222" t="s">
        <v>4739</v>
      </c>
      <c r="D2162" s="221" t="s">
        <v>205</v>
      </c>
      <c r="E2162" s="221" t="s">
        <v>30</v>
      </c>
      <c r="F2162" s="223">
        <v>7000</v>
      </c>
      <c r="G2162" s="221" t="s">
        <v>71</v>
      </c>
      <c r="H2162" s="221" t="s">
        <v>71</v>
      </c>
      <c r="I2162" s="222"/>
    </row>
    <row r="2163" ht="17.25" customHeight="1" spans="1:9" x14ac:dyDescent="0.25">
      <c r="A2163" s="220">
        <v>2267</v>
      </c>
      <c r="B2163" s="221" t="s">
        <v>4740</v>
      </c>
      <c r="C2163" s="222" t="s">
        <v>4741</v>
      </c>
      <c r="D2163" s="221" t="s">
        <v>1535</v>
      </c>
      <c r="E2163" s="221" t="s">
        <v>29</v>
      </c>
      <c r="F2163" s="223">
        <v>6300</v>
      </c>
      <c r="G2163" s="221" t="s">
        <v>71</v>
      </c>
      <c r="H2163" s="221" t="s">
        <v>71</v>
      </c>
      <c r="I2163" s="222" t="s">
        <v>4742</v>
      </c>
    </row>
    <row r="2164" ht="17.25" customHeight="1" spans="1:9" x14ac:dyDescent="0.25">
      <c r="A2164" s="220">
        <v>2268</v>
      </c>
      <c r="B2164" s="221" t="s">
        <v>4743</v>
      </c>
      <c r="C2164" s="222" t="s">
        <v>4744</v>
      </c>
      <c r="D2164" s="221" t="s">
        <v>1535</v>
      </c>
      <c r="E2164" s="221" t="s">
        <v>29</v>
      </c>
      <c r="F2164" s="223">
        <v>6300</v>
      </c>
      <c r="G2164" s="221" t="s">
        <v>71</v>
      </c>
      <c r="H2164" s="221" t="s">
        <v>71</v>
      </c>
      <c r="I2164" s="222" t="s">
        <v>4745</v>
      </c>
    </row>
    <row r="2165" ht="17.25" customHeight="1" spans="1:9" x14ac:dyDescent="0.25">
      <c r="A2165" s="220">
        <v>2269</v>
      </c>
      <c r="B2165" s="221" t="s">
        <v>4746</v>
      </c>
      <c r="C2165" s="222" t="s">
        <v>4747</v>
      </c>
      <c r="D2165" s="221" t="s">
        <v>4556</v>
      </c>
      <c r="E2165" s="221" t="s">
        <v>30</v>
      </c>
      <c r="F2165" s="223">
        <v>12000</v>
      </c>
      <c r="G2165" s="221" t="s">
        <v>71</v>
      </c>
      <c r="H2165" s="221" t="s">
        <v>71</v>
      </c>
      <c r="I2165" s="222"/>
    </row>
    <row r="2166" ht="17.25" customHeight="1" spans="1:9" x14ac:dyDescent="0.25">
      <c r="A2166" s="220">
        <v>2270</v>
      </c>
      <c r="B2166" s="221" t="s">
        <v>4748</v>
      </c>
      <c r="C2166" s="222" t="s">
        <v>4749</v>
      </c>
      <c r="D2166" s="221" t="s">
        <v>4556</v>
      </c>
      <c r="E2166" s="221" t="s">
        <v>30</v>
      </c>
      <c r="F2166" s="223">
        <v>12000</v>
      </c>
      <c r="G2166" s="221" t="s">
        <v>71</v>
      </c>
      <c r="H2166" s="221" t="s">
        <v>71</v>
      </c>
      <c r="I2166" s="222"/>
    </row>
    <row r="2167" ht="17.25" customHeight="1" spans="1:9" x14ac:dyDescent="0.25">
      <c r="A2167" s="220">
        <v>2271</v>
      </c>
      <c r="B2167" s="221" t="s">
        <v>4750</v>
      </c>
      <c r="C2167" s="222" t="s">
        <v>4751</v>
      </c>
      <c r="D2167" s="221" t="s">
        <v>4556</v>
      </c>
      <c r="E2167" s="221" t="s">
        <v>30</v>
      </c>
      <c r="F2167" s="223">
        <v>12000</v>
      </c>
      <c r="G2167" s="221" t="s">
        <v>71</v>
      </c>
      <c r="H2167" s="221" t="s">
        <v>71</v>
      </c>
      <c r="I2167" s="222"/>
    </row>
    <row r="2168" ht="17.25" customHeight="1" spans="1:9" x14ac:dyDescent="0.25">
      <c r="A2168" s="220">
        <v>2272</v>
      </c>
      <c r="B2168" s="221" t="s">
        <v>4752</v>
      </c>
      <c r="C2168" s="222" t="s">
        <v>4753</v>
      </c>
      <c r="D2168" s="221" t="s">
        <v>746</v>
      </c>
      <c r="E2168" s="221" t="s">
        <v>27</v>
      </c>
      <c r="F2168" s="223">
        <v>0</v>
      </c>
      <c r="G2168" s="221" t="s">
        <v>48</v>
      </c>
      <c r="H2168" s="221" t="s">
        <v>48</v>
      </c>
      <c r="I2168" s="222" t="s">
        <v>747</v>
      </c>
    </row>
    <row r="2169" ht="17.25" customHeight="1" spans="1:9" x14ac:dyDescent="0.25">
      <c r="A2169" s="220">
        <v>2277</v>
      </c>
      <c r="B2169" s="221" t="s">
        <v>4754</v>
      </c>
      <c r="C2169" s="222" t="s">
        <v>4755</v>
      </c>
      <c r="D2169" s="221" t="s">
        <v>205</v>
      </c>
      <c r="E2169" s="221" t="s">
        <v>395</v>
      </c>
      <c r="F2169" s="223">
        <v>0</v>
      </c>
      <c r="G2169" s="221" t="s">
        <v>71</v>
      </c>
      <c r="H2169" s="221" t="s">
        <v>71</v>
      </c>
      <c r="I2169" s="222"/>
    </row>
    <row r="2170" ht="17.25" customHeight="1" spans="1:9" x14ac:dyDescent="0.25">
      <c r="A2170" s="220">
        <v>2280</v>
      </c>
      <c r="B2170" s="221"/>
      <c r="C2170" s="222" t="s">
        <v>4756</v>
      </c>
      <c r="D2170" s="221" t="s">
        <v>205</v>
      </c>
      <c r="E2170" s="221" t="s">
        <v>395</v>
      </c>
      <c r="F2170" s="223">
        <v>0</v>
      </c>
      <c r="G2170" s="221" t="s">
        <v>71</v>
      </c>
      <c r="H2170" s="221" t="s">
        <v>71</v>
      </c>
      <c r="I2170" s="222" t="s">
        <v>4757</v>
      </c>
    </row>
    <row r="2171" ht="17.25" customHeight="1" spans="1:9" x14ac:dyDescent="0.25">
      <c r="A2171" s="220">
        <v>2281</v>
      </c>
      <c r="B2171" s="221"/>
      <c r="C2171" s="222" t="s">
        <v>4758</v>
      </c>
      <c r="D2171" s="221" t="s">
        <v>205</v>
      </c>
      <c r="E2171" s="221" t="s">
        <v>395</v>
      </c>
      <c r="F2171" s="223">
        <v>0</v>
      </c>
      <c r="G2171" s="221" t="s">
        <v>71</v>
      </c>
      <c r="H2171" s="221" t="s">
        <v>71</v>
      </c>
      <c r="I2171" s="222" t="s">
        <v>4757</v>
      </c>
    </row>
    <row r="2172" ht="17.25" customHeight="1" spans="1:9" x14ac:dyDescent="0.25">
      <c r="A2172" s="220">
        <v>2282</v>
      </c>
      <c r="B2172" s="221" t="s">
        <v>4759</v>
      </c>
      <c r="C2172" s="222" t="s">
        <v>4760</v>
      </c>
      <c r="D2172" s="221" t="s">
        <v>205</v>
      </c>
      <c r="E2172" s="221" t="s">
        <v>30</v>
      </c>
      <c r="F2172" s="223">
        <v>9000</v>
      </c>
      <c r="G2172" s="221" t="s">
        <v>71</v>
      </c>
      <c r="H2172" s="221" t="s">
        <v>71</v>
      </c>
      <c r="I2172" s="222"/>
    </row>
    <row r="2173" ht="17.25" customHeight="1" spans="1:9" x14ac:dyDescent="0.25">
      <c r="A2173" s="220">
        <v>2283</v>
      </c>
      <c r="B2173" s="221"/>
      <c r="C2173" s="222" t="s">
        <v>4761</v>
      </c>
      <c r="D2173" s="221" t="s">
        <v>205</v>
      </c>
      <c r="E2173" s="221" t="s">
        <v>395</v>
      </c>
      <c r="F2173" s="223">
        <v>0</v>
      </c>
      <c r="G2173" s="221" t="s">
        <v>71</v>
      </c>
      <c r="H2173" s="221" t="s">
        <v>71</v>
      </c>
      <c r="I2173" s="222" t="s">
        <v>4757</v>
      </c>
    </row>
    <row r="2174" ht="17.25" customHeight="1" spans="1:9" x14ac:dyDescent="0.25">
      <c r="A2174" s="220">
        <v>2284</v>
      </c>
      <c r="B2174" s="221"/>
      <c r="C2174" s="222" t="s">
        <v>4762</v>
      </c>
      <c r="D2174" s="221" t="s">
        <v>205</v>
      </c>
      <c r="E2174" s="221" t="s">
        <v>395</v>
      </c>
      <c r="F2174" s="223">
        <v>0</v>
      </c>
      <c r="G2174" s="221" t="s">
        <v>71</v>
      </c>
      <c r="H2174" s="221" t="s">
        <v>71</v>
      </c>
      <c r="I2174" s="222" t="s">
        <v>4757</v>
      </c>
    </row>
    <row r="2175" ht="17.25" customHeight="1" spans="1:9" x14ac:dyDescent="0.25">
      <c r="A2175" s="220">
        <v>2285</v>
      </c>
      <c r="B2175" s="221"/>
      <c r="C2175" s="222" t="s">
        <v>4763</v>
      </c>
      <c r="D2175" s="221" t="s">
        <v>205</v>
      </c>
      <c r="E2175" s="221" t="s">
        <v>395</v>
      </c>
      <c r="F2175" s="223">
        <v>0</v>
      </c>
      <c r="G2175" s="221" t="s">
        <v>71</v>
      </c>
      <c r="H2175" s="221" t="s">
        <v>71</v>
      </c>
      <c r="I2175" s="222" t="s">
        <v>4764</v>
      </c>
    </row>
    <row r="2176" ht="17.25" customHeight="1" spans="1:9" x14ac:dyDescent="0.25">
      <c r="A2176" s="220">
        <v>2286</v>
      </c>
      <c r="B2176" s="221"/>
      <c r="C2176" s="222" t="s">
        <v>4765</v>
      </c>
      <c r="D2176" s="221" t="s">
        <v>205</v>
      </c>
      <c r="E2176" s="221" t="s">
        <v>395</v>
      </c>
      <c r="F2176" s="223">
        <v>0</v>
      </c>
      <c r="G2176" s="221" t="s">
        <v>71</v>
      </c>
      <c r="H2176" s="221" t="s">
        <v>71</v>
      </c>
      <c r="I2176" s="222" t="s">
        <v>4766</v>
      </c>
    </row>
    <row r="2177" ht="17.25" customHeight="1" spans="1:9" x14ac:dyDescent="0.25">
      <c r="A2177" s="220">
        <v>2287</v>
      </c>
      <c r="B2177" s="221"/>
      <c r="C2177" s="222" t="s">
        <v>4767</v>
      </c>
      <c r="D2177" s="221" t="s">
        <v>205</v>
      </c>
      <c r="E2177" s="221" t="s">
        <v>395</v>
      </c>
      <c r="F2177" s="223">
        <v>0</v>
      </c>
      <c r="G2177" s="221" t="s">
        <v>71</v>
      </c>
      <c r="H2177" s="221" t="s">
        <v>71</v>
      </c>
      <c r="I2177" s="222" t="s">
        <v>4768</v>
      </c>
    </row>
    <row r="2178" ht="17.25" customHeight="1" spans="1:9" x14ac:dyDescent="0.25">
      <c r="A2178" s="220">
        <v>2288</v>
      </c>
      <c r="B2178" s="221"/>
      <c r="C2178" s="222" t="s">
        <v>4769</v>
      </c>
      <c r="D2178" s="221" t="s">
        <v>205</v>
      </c>
      <c r="E2178" s="221" t="s">
        <v>395</v>
      </c>
      <c r="F2178" s="223">
        <v>0</v>
      </c>
      <c r="G2178" s="221" t="s">
        <v>71</v>
      </c>
      <c r="H2178" s="221" t="s">
        <v>71</v>
      </c>
      <c r="I2178" s="222" t="s">
        <v>4757</v>
      </c>
    </row>
    <row r="2179" ht="17.25" customHeight="1" spans="1:9" x14ac:dyDescent="0.25">
      <c r="A2179" s="220">
        <v>2289</v>
      </c>
      <c r="B2179" s="221"/>
      <c r="C2179" s="222" t="s">
        <v>4770</v>
      </c>
      <c r="D2179" s="221" t="s">
        <v>205</v>
      </c>
      <c r="E2179" s="221" t="s">
        <v>395</v>
      </c>
      <c r="F2179" s="223">
        <v>0</v>
      </c>
      <c r="G2179" s="221" t="s">
        <v>71</v>
      </c>
      <c r="H2179" s="221" t="s">
        <v>71</v>
      </c>
      <c r="I2179" s="222" t="s">
        <v>4768</v>
      </c>
    </row>
    <row r="2180" ht="17.25" customHeight="1" spans="1:9" x14ac:dyDescent="0.25">
      <c r="A2180" s="220">
        <v>2290</v>
      </c>
      <c r="B2180" s="221" t="s">
        <v>4771</v>
      </c>
      <c r="C2180" s="222" t="s">
        <v>4772</v>
      </c>
      <c r="D2180" s="221" t="s">
        <v>1386</v>
      </c>
      <c r="E2180" s="221" t="s">
        <v>27</v>
      </c>
      <c r="F2180" s="223">
        <v>0</v>
      </c>
      <c r="G2180" s="221" t="s">
        <v>48</v>
      </c>
      <c r="H2180" s="221" t="s">
        <v>48</v>
      </c>
      <c r="I2180" s="222"/>
    </row>
    <row r="2181" ht="17.25" customHeight="1" spans="1:9" x14ac:dyDescent="0.25">
      <c r="A2181" s="220">
        <v>2291</v>
      </c>
      <c r="B2181" s="221" t="s">
        <v>4773</v>
      </c>
      <c r="C2181" s="222" t="s">
        <v>4774</v>
      </c>
      <c r="D2181" s="221" t="s">
        <v>1386</v>
      </c>
      <c r="E2181" s="221" t="s">
        <v>27</v>
      </c>
      <c r="F2181" s="223">
        <v>0</v>
      </c>
      <c r="G2181" s="221" t="s">
        <v>48</v>
      </c>
      <c r="H2181" s="221" t="s">
        <v>48</v>
      </c>
      <c r="I2181" s="222" t="s">
        <v>4775</v>
      </c>
    </row>
    <row r="2182" ht="17.25" customHeight="1" spans="1:9" x14ac:dyDescent="0.25">
      <c r="A2182" s="220">
        <v>2292</v>
      </c>
      <c r="B2182" s="221" t="s">
        <v>4776</v>
      </c>
      <c r="C2182" s="222" t="s">
        <v>4777</v>
      </c>
      <c r="D2182" s="221" t="s">
        <v>44</v>
      </c>
      <c r="E2182" s="221" t="s">
        <v>27</v>
      </c>
      <c r="F2182" s="223">
        <v>0</v>
      </c>
      <c r="G2182" s="221" t="s">
        <v>48</v>
      </c>
      <c r="H2182" s="221" t="s">
        <v>48</v>
      </c>
      <c r="I2182" s="222"/>
    </row>
    <row r="2183" ht="17.25" customHeight="1" spans="1:9" x14ac:dyDescent="0.25">
      <c r="A2183" s="220">
        <v>2293</v>
      </c>
      <c r="B2183" s="221" t="s">
        <v>4778</v>
      </c>
      <c r="C2183" s="222" t="s">
        <v>4779</v>
      </c>
      <c r="D2183" s="221" t="s">
        <v>44</v>
      </c>
      <c r="E2183" s="221" t="s">
        <v>27</v>
      </c>
      <c r="F2183" s="223">
        <v>0</v>
      </c>
      <c r="G2183" s="221" t="s">
        <v>48</v>
      </c>
      <c r="H2183" s="221" t="s">
        <v>48</v>
      </c>
      <c r="I2183" s="222"/>
    </row>
    <row r="2184" ht="17.25" customHeight="1" spans="1:9" x14ac:dyDescent="0.25">
      <c r="A2184" s="220">
        <v>2294</v>
      </c>
      <c r="B2184" s="221" t="s">
        <v>4780</v>
      </c>
      <c r="C2184" s="222" t="s">
        <v>4781</v>
      </c>
      <c r="D2184" s="221" t="s">
        <v>4556</v>
      </c>
      <c r="E2184" s="221" t="s">
        <v>30</v>
      </c>
      <c r="F2184" s="223">
        <v>7000</v>
      </c>
      <c r="G2184" s="221" t="s">
        <v>71</v>
      </c>
      <c r="H2184" s="221" t="s">
        <v>71</v>
      </c>
      <c r="I2184" s="222"/>
    </row>
    <row r="2185" ht="17.25" customHeight="1" spans="1:9" x14ac:dyDescent="0.25">
      <c r="A2185" s="220">
        <v>2295</v>
      </c>
      <c r="B2185" s="221" t="s">
        <v>4782</v>
      </c>
      <c r="C2185" s="222" t="s">
        <v>4783</v>
      </c>
      <c r="D2185" s="221" t="s">
        <v>4556</v>
      </c>
      <c r="E2185" s="221" t="s">
        <v>30</v>
      </c>
      <c r="F2185" s="223">
        <v>11000</v>
      </c>
      <c r="G2185" s="221" t="s">
        <v>71</v>
      </c>
      <c r="H2185" s="221" t="s">
        <v>71</v>
      </c>
      <c r="I2185" s="222"/>
    </row>
    <row r="2186" ht="17.25" customHeight="1" spans="1:9" x14ac:dyDescent="0.25">
      <c r="A2186" s="220">
        <v>2296</v>
      </c>
      <c r="B2186" s="221" t="s">
        <v>4784</v>
      </c>
      <c r="C2186" s="222" t="s">
        <v>4785</v>
      </c>
      <c r="D2186" s="221" t="s">
        <v>4556</v>
      </c>
      <c r="E2186" s="221" t="s">
        <v>30</v>
      </c>
      <c r="F2186" s="223">
        <v>11000</v>
      </c>
      <c r="G2186" s="221" t="s">
        <v>71</v>
      </c>
      <c r="H2186" s="221" t="s">
        <v>71</v>
      </c>
      <c r="I2186" s="222"/>
    </row>
    <row r="2187" ht="17.25" customHeight="1" spans="1:9" x14ac:dyDescent="0.25">
      <c r="A2187" s="220">
        <v>2297</v>
      </c>
      <c r="B2187" s="221" t="s">
        <v>4786</v>
      </c>
      <c r="C2187" s="222" t="s">
        <v>4787</v>
      </c>
      <c r="D2187" s="221" t="s">
        <v>4556</v>
      </c>
      <c r="E2187" s="221" t="s">
        <v>30</v>
      </c>
      <c r="F2187" s="223">
        <v>11000</v>
      </c>
      <c r="G2187" s="221" t="s">
        <v>71</v>
      </c>
      <c r="H2187" s="221" t="s">
        <v>71</v>
      </c>
      <c r="I2187" s="222"/>
    </row>
    <row r="2188" ht="17.25" customHeight="1" spans="1:9" x14ac:dyDescent="0.25">
      <c r="A2188" s="220">
        <v>2298</v>
      </c>
      <c r="B2188" s="221" t="s">
        <v>4788</v>
      </c>
      <c r="C2188" s="222" t="s">
        <v>4789</v>
      </c>
      <c r="D2188" s="221" t="s">
        <v>4556</v>
      </c>
      <c r="E2188" s="221" t="s">
        <v>30</v>
      </c>
      <c r="F2188" s="223">
        <v>11000</v>
      </c>
      <c r="G2188" s="221" t="s">
        <v>71</v>
      </c>
      <c r="H2188" s="221" t="s">
        <v>71</v>
      </c>
      <c r="I2188" s="222"/>
    </row>
    <row r="2189" ht="17.25" customHeight="1" spans="1:9" x14ac:dyDescent="0.25">
      <c r="A2189" s="220">
        <v>2299</v>
      </c>
      <c r="B2189" s="221" t="s">
        <v>4790</v>
      </c>
      <c r="C2189" s="222" t="s">
        <v>4791</v>
      </c>
      <c r="D2189" s="221" t="s">
        <v>4556</v>
      </c>
      <c r="E2189" s="221" t="s">
        <v>30</v>
      </c>
      <c r="F2189" s="223">
        <v>11000</v>
      </c>
      <c r="G2189" s="221" t="s">
        <v>71</v>
      </c>
      <c r="H2189" s="221" t="s">
        <v>71</v>
      </c>
      <c r="I2189" s="222"/>
    </row>
    <row r="2190" ht="17.25" customHeight="1" spans="1:9" x14ac:dyDescent="0.25">
      <c r="A2190" s="220">
        <v>2300</v>
      </c>
      <c r="B2190" s="221" t="s">
        <v>4792</v>
      </c>
      <c r="C2190" s="222" t="s">
        <v>4793</v>
      </c>
      <c r="D2190" s="221" t="s">
        <v>44</v>
      </c>
      <c r="E2190" s="221" t="s">
        <v>27</v>
      </c>
      <c r="F2190" s="223">
        <v>0</v>
      </c>
      <c r="G2190" s="221" t="s">
        <v>48</v>
      </c>
      <c r="H2190" s="221" t="s">
        <v>48</v>
      </c>
      <c r="I2190" s="222" t="s">
        <v>2143</v>
      </c>
    </row>
    <row r="2191" ht="17.25" customHeight="1" spans="1:9" x14ac:dyDescent="0.25">
      <c r="A2191" s="220">
        <v>2301</v>
      </c>
      <c r="B2191" s="221" t="s">
        <v>4794</v>
      </c>
      <c r="C2191" s="222" t="s">
        <v>4795</v>
      </c>
      <c r="D2191" s="221" t="s">
        <v>70</v>
      </c>
      <c r="E2191" s="221" t="s">
        <v>395</v>
      </c>
      <c r="F2191" s="223">
        <v>0</v>
      </c>
      <c r="G2191" s="221" t="s">
        <v>46</v>
      </c>
      <c r="H2191" s="221" t="s">
        <v>71</v>
      </c>
      <c r="I2191" s="222"/>
    </row>
    <row r="2192" ht="17.25" customHeight="1" spans="1:9" x14ac:dyDescent="0.25">
      <c r="A2192" s="220">
        <v>2302</v>
      </c>
      <c r="B2192" s="221" t="s">
        <v>4796</v>
      </c>
      <c r="C2192" s="222" t="s">
        <v>4797</v>
      </c>
      <c r="D2192" s="221" t="s">
        <v>205</v>
      </c>
      <c r="E2192" s="221" t="s">
        <v>30</v>
      </c>
      <c r="F2192" s="223">
        <v>8500</v>
      </c>
      <c r="G2192" s="221" t="s">
        <v>71</v>
      </c>
      <c r="H2192" s="221" t="s">
        <v>71</v>
      </c>
      <c r="I2192" s="222"/>
    </row>
    <row r="2193" ht="17.25" customHeight="1" spans="1:9" x14ac:dyDescent="0.25">
      <c r="A2193" s="220">
        <v>2303</v>
      </c>
      <c r="B2193" s="221" t="s">
        <v>4798</v>
      </c>
      <c r="C2193" s="222" t="s">
        <v>4799</v>
      </c>
      <c r="D2193" s="221" t="s">
        <v>205</v>
      </c>
      <c r="E2193" s="221" t="s">
        <v>395</v>
      </c>
      <c r="F2193" s="223">
        <v>0</v>
      </c>
      <c r="G2193" s="221" t="s">
        <v>71</v>
      </c>
      <c r="H2193" s="221" t="s">
        <v>71</v>
      </c>
      <c r="I2193" s="222"/>
    </row>
    <row r="2194" ht="17.25" customHeight="1" spans="1:9" x14ac:dyDescent="0.25">
      <c r="A2194" s="220">
        <v>2304</v>
      </c>
      <c r="B2194" s="221" t="s">
        <v>4800</v>
      </c>
      <c r="C2194" s="222" t="s">
        <v>4801</v>
      </c>
      <c r="D2194" s="221" t="s">
        <v>70</v>
      </c>
      <c r="E2194" s="221" t="s">
        <v>30</v>
      </c>
      <c r="F2194" s="223">
        <v>7000</v>
      </c>
      <c r="G2194" s="221" t="s">
        <v>71</v>
      </c>
      <c r="H2194" s="221" t="s">
        <v>71</v>
      </c>
      <c r="I2194" s="222"/>
    </row>
    <row r="2195" ht="17.25" customHeight="1" spans="1:9" x14ac:dyDescent="0.25">
      <c r="A2195" s="220">
        <v>2305</v>
      </c>
      <c r="B2195" s="221" t="s">
        <v>4802</v>
      </c>
      <c r="C2195" s="222" t="s">
        <v>4803</v>
      </c>
      <c r="D2195" s="221" t="s">
        <v>70</v>
      </c>
      <c r="E2195" s="221" t="s">
        <v>30</v>
      </c>
      <c r="F2195" s="223">
        <v>7000</v>
      </c>
      <c r="G2195" s="221" t="s">
        <v>71</v>
      </c>
      <c r="H2195" s="221" t="s">
        <v>71</v>
      </c>
      <c r="I2195" s="222"/>
    </row>
    <row r="2196" ht="17.25" customHeight="1" spans="1:9" x14ac:dyDescent="0.25">
      <c r="A2196" s="220">
        <v>2306</v>
      </c>
      <c r="B2196" s="221" t="s">
        <v>4804</v>
      </c>
      <c r="C2196" s="222" t="s">
        <v>4805</v>
      </c>
      <c r="D2196" s="221" t="s">
        <v>70</v>
      </c>
      <c r="E2196" s="221" t="s">
        <v>30</v>
      </c>
      <c r="F2196" s="223">
        <v>7000</v>
      </c>
      <c r="G2196" s="221" t="s">
        <v>71</v>
      </c>
      <c r="H2196" s="221" t="s">
        <v>71</v>
      </c>
      <c r="I2196" s="222"/>
    </row>
    <row r="2197" ht="17.25" customHeight="1" spans="1:9" x14ac:dyDescent="0.25">
      <c r="A2197" s="220">
        <v>2307</v>
      </c>
      <c r="B2197" s="221" t="s">
        <v>4806</v>
      </c>
      <c r="C2197" s="222" t="s">
        <v>4807</v>
      </c>
      <c r="D2197" s="221" t="s">
        <v>70</v>
      </c>
      <c r="E2197" s="221" t="s">
        <v>30</v>
      </c>
      <c r="F2197" s="223">
        <v>7000</v>
      </c>
      <c r="G2197" s="221" t="s">
        <v>71</v>
      </c>
      <c r="H2197" s="221" t="s">
        <v>71</v>
      </c>
      <c r="I2197" s="222"/>
    </row>
    <row r="2198" ht="17.25" customHeight="1" spans="1:9" x14ac:dyDescent="0.25">
      <c r="A2198" s="220">
        <v>2308</v>
      </c>
      <c r="B2198" s="221" t="s">
        <v>4808</v>
      </c>
      <c r="C2198" s="222" t="s">
        <v>4809</v>
      </c>
      <c r="D2198" s="221" t="s">
        <v>70</v>
      </c>
      <c r="E2198" s="221" t="s">
        <v>30</v>
      </c>
      <c r="F2198" s="223">
        <v>7000</v>
      </c>
      <c r="G2198" s="221" t="s">
        <v>71</v>
      </c>
      <c r="H2198" s="221" t="s">
        <v>71</v>
      </c>
      <c r="I2198" s="222"/>
    </row>
    <row r="2199" ht="17.25" customHeight="1" spans="1:9" x14ac:dyDescent="0.25">
      <c r="A2199" s="220">
        <v>2309</v>
      </c>
      <c r="B2199" s="221" t="s">
        <v>4810</v>
      </c>
      <c r="C2199" s="222" t="s">
        <v>4811</v>
      </c>
      <c r="D2199" s="221" t="s">
        <v>70</v>
      </c>
      <c r="E2199" s="221" t="s">
        <v>30</v>
      </c>
      <c r="F2199" s="223">
        <v>7000</v>
      </c>
      <c r="G2199" s="221" t="s">
        <v>71</v>
      </c>
      <c r="H2199" s="221" t="s">
        <v>71</v>
      </c>
      <c r="I2199" s="222"/>
    </row>
    <row r="2200" ht="17.25" customHeight="1" spans="1:9" x14ac:dyDescent="0.25">
      <c r="A2200" s="220">
        <v>2310</v>
      </c>
      <c r="B2200" s="221" t="s">
        <v>4812</v>
      </c>
      <c r="C2200" s="222" t="s">
        <v>4813</v>
      </c>
      <c r="D2200" s="221" t="s">
        <v>70</v>
      </c>
      <c r="E2200" s="221" t="s">
        <v>30</v>
      </c>
      <c r="F2200" s="223">
        <v>7000</v>
      </c>
      <c r="G2200" s="221" t="s">
        <v>71</v>
      </c>
      <c r="H2200" s="221" t="s">
        <v>71</v>
      </c>
      <c r="I2200" s="222"/>
    </row>
    <row r="2201" ht="17.25" customHeight="1" spans="1:9" x14ac:dyDescent="0.25">
      <c r="A2201" s="220">
        <v>2311</v>
      </c>
      <c r="B2201" s="221" t="s">
        <v>4814</v>
      </c>
      <c r="C2201" s="222" t="s">
        <v>4815</v>
      </c>
      <c r="D2201" s="221" t="s">
        <v>70</v>
      </c>
      <c r="E2201" s="221" t="s">
        <v>30</v>
      </c>
      <c r="F2201" s="223">
        <v>7000</v>
      </c>
      <c r="G2201" s="221" t="s">
        <v>71</v>
      </c>
      <c r="H2201" s="221" t="s">
        <v>71</v>
      </c>
      <c r="I2201" s="222"/>
    </row>
    <row r="2202" ht="17.25" customHeight="1" spans="1:9" x14ac:dyDescent="0.25">
      <c r="A2202" s="220">
        <v>2312</v>
      </c>
      <c r="B2202" s="221" t="s">
        <v>4816</v>
      </c>
      <c r="C2202" s="222" t="s">
        <v>4817</v>
      </c>
      <c r="D2202" s="221" t="s">
        <v>70</v>
      </c>
      <c r="E2202" s="221" t="s">
        <v>30</v>
      </c>
      <c r="F2202" s="223">
        <v>7000</v>
      </c>
      <c r="G2202" s="221" t="s">
        <v>71</v>
      </c>
      <c r="H2202" s="221" t="s">
        <v>71</v>
      </c>
      <c r="I2202" s="222"/>
    </row>
    <row r="2203" ht="17.25" customHeight="1" spans="1:9" x14ac:dyDescent="0.25">
      <c r="A2203" s="220">
        <v>2313</v>
      </c>
      <c r="B2203" s="221" t="s">
        <v>4818</v>
      </c>
      <c r="C2203" s="222" t="s">
        <v>4819</v>
      </c>
      <c r="D2203" s="221" t="s">
        <v>70</v>
      </c>
      <c r="E2203" s="221" t="s">
        <v>30</v>
      </c>
      <c r="F2203" s="223">
        <v>6800</v>
      </c>
      <c r="G2203" s="221" t="s">
        <v>71</v>
      </c>
      <c r="H2203" s="221" t="s">
        <v>71</v>
      </c>
      <c r="I2203" s="222"/>
    </row>
    <row r="2204" ht="17.25" customHeight="1" spans="1:9" x14ac:dyDescent="0.25">
      <c r="A2204" s="220">
        <v>2314</v>
      </c>
      <c r="B2204" s="221" t="s">
        <v>4820</v>
      </c>
      <c r="C2204" s="222" t="s">
        <v>4821</v>
      </c>
      <c r="D2204" s="221" t="s">
        <v>70</v>
      </c>
      <c r="E2204" s="221" t="s">
        <v>30</v>
      </c>
      <c r="F2204" s="223">
        <v>6800</v>
      </c>
      <c r="G2204" s="221" t="s">
        <v>71</v>
      </c>
      <c r="H2204" s="221" t="s">
        <v>71</v>
      </c>
      <c r="I2204" s="222"/>
    </row>
    <row r="2205" ht="17.25" customHeight="1" spans="1:9" x14ac:dyDescent="0.25">
      <c r="A2205" s="220">
        <v>2315</v>
      </c>
      <c r="B2205" s="221" t="s">
        <v>4822</v>
      </c>
      <c r="C2205" s="222" t="s">
        <v>4823</v>
      </c>
      <c r="D2205" s="221" t="s">
        <v>70</v>
      </c>
      <c r="E2205" s="221" t="s">
        <v>30</v>
      </c>
      <c r="F2205" s="223">
        <v>6800</v>
      </c>
      <c r="G2205" s="221" t="s">
        <v>71</v>
      </c>
      <c r="H2205" s="221" t="s">
        <v>71</v>
      </c>
      <c r="I2205" s="222"/>
    </row>
    <row r="2206" ht="17.25" customHeight="1" spans="1:9" x14ac:dyDescent="0.25">
      <c r="A2206" s="220">
        <v>2316</v>
      </c>
      <c r="B2206" s="221" t="s">
        <v>4824</v>
      </c>
      <c r="C2206" s="222" t="s">
        <v>4825</v>
      </c>
      <c r="D2206" s="221" t="s">
        <v>70</v>
      </c>
      <c r="E2206" s="221" t="s">
        <v>30</v>
      </c>
      <c r="F2206" s="223">
        <v>6800</v>
      </c>
      <c r="G2206" s="221" t="s">
        <v>71</v>
      </c>
      <c r="H2206" s="221" t="s">
        <v>71</v>
      </c>
      <c r="I2206" s="222"/>
    </row>
    <row r="2207" ht="17.25" customHeight="1" spans="1:9" x14ac:dyDescent="0.25">
      <c r="A2207" s="220">
        <v>2317</v>
      </c>
      <c r="B2207" s="221" t="s">
        <v>4826</v>
      </c>
      <c r="C2207" s="222" t="s">
        <v>4827</v>
      </c>
      <c r="D2207" s="221" t="s">
        <v>70</v>
      </c>
      <c r="E2207" s="221" t="s">
        <v>30</v>
      </c>
      <c r="F2207" s="223">
        <v>6800</v>
      </c>
      <c r="G2207" s="221" t="s">
        <v>71</v>
      </c>
      <c r="H2207" s="221" t="s">
        <v>71</v>
      </c>
      <c r="I2207" s="222"/>
    </row>
    <row r="2208" ht="17.25" customHeight="1" spans="1:9" x14ac:dyDescent="0.25">
      <c r="A2208" s="220">
        <v>2318</v>
      </c>
      <c r="B2208" s="221" t="s">
        <v>4828</v>
      </c>
      <c r="C2208" s="222" t="s">
        <v>4829</v>
      </c>
      <c r="D2208" s="221" t="s">
        <v>70</v>
      </c>
      <c r="E2208" s="221" t="s">
        <v>30</v>
      </c>
      <c r="F2208" s="223">
        <v>6800</v>
      </c>
      <c r="G2208" s="221" t="s">
        <v>71</v>
      </c>
      <c r="H2208" s="221" t="s">
        <v>71</v>
      </c>
      <c r="I2208" s="222"/>
    </row>
    <row r="2209" ht="17.25" customHeight="1" spans="1:9" x14ac:dyDescent="0.25">
      <c r="A2209" s="220">
        <v>2319</v>
      </c>
      <c r="B2209" s="221" t="s">
        <v>4830</v>
      </c>
      <c r="C2209" s="222" t="s">
        <v>4831</v>
      </c>
      <c r="D2209" s="221" t="s">
        <v>70</v>
      </c>
      <c r="E2209" s="221" t="s">
        <v>30</v>
      </c>
      <c r="F2209" s="223">
        <v>6800</v>
      </c>
      <c r="G2209" s="221" t="s">
        <v>71</v>
      </c>
      <c r="H2209" s="221" t="s">
        <v>71</v>
      </c>
      <c r="I2209" s="222"/>
    </row>
    <row r="2210" ht="17.25" customHeight="1" spans="1:9" x14ac:dyDescent="0.25">
      <c r="A2210" s="220">
        <v>2320</v>
      </c>
      <c r="B2210" s="221" t="s">
        <v>4832</v>
      </c>
      <c r="C2210" s="222" t="s">
        <v>4833</v>
      </c>
      <c r="D2210" s="221" t="s">
        <v>70</v>
      </c>
      <c r="E2210" s="221" t="s">
        <v>30</v>
      </c>
      <c r="F2210" s="223">
        <v>6800</v>
      </c>
      <c r="G2210" s="221" t="s">
        <v>71</v>
      </c>
      <c r="H2210" s="221" t="s">
        <v>71</v>
      </c>
      <c r="I2210" s="222"/>
    </row>
    <row r="2211" ht="17.25" customHeight="1" spans="1:9" x14ac:dyDescent="0.25">
      <c r="A2211" s="220">
        <v>2321</v>
      </c>
      <c r="B2211" s="221" t="s">
        <v>4834</v>
      </c>
      <c r="C2211" s="222" t="s">
        <v>4835</v>
      </c>
      <c r="D2211" s="221" t="s">
        <v>70</v>
      </c>
      <c r="E2211" s="221" t="s">
        <v>30</v>
      </c>
      <c r="F2211" s="223">
        <v>6800</v>
      </c>
      <c r="G2211" s="221" t="s">
        <v>71</v>
      </c>
      <c r="H2211" s="221" t="s">
        <v>71</v>
      </c>
      <c r="I2211" s="222"/>
    </row>
    <row r="2212" ht="17.25" customHeight="1" spans="1:9" x14ac:dyDescent="0.25">
      <c r="A2212" s="220">
        <v>2322</v>
      </c>
      <c r="B2212" s="221" t="s">
        <v>4836</v>
      </c>
      <c r="C2212" s="222" t="s">
        <v>4837</v>
      </c>
      <c r="D2212" s="221" t="s">
        <v>70</v>
      </c>
      <c r="E2212" s="221" t="s">
        <v>395</v>
      </c>
      <c r="F2212" s="223">
        <v>0</v>
      </c>
      <c r="G2212" s="221" t="s">
        <v>46</v>
      </c>
      <c r="H2212" s="221" t="s">
        <v>71</v>
      </c>
      <c r="I2212" s="222"/>
    </row>
    <row r="2213" ht="17.25" customHeight="1" spans="1:9" x14ac:dyDescent="0.25">
      <c r="A2213" s="220">
        <v>2323</v>
      </c>
      <c r="B2213" s="221" t="s">
        <v>4838</v>
      </c>
      <c r="C2213" s="222" t="s">
        <v>4839</v>
      </c>
      <c r="D2213" s="221" t="s">
        <v>4556</v>
      </c>
      <c r="E2213" s="221" t="s">
        <v>30</v>
      </c>
      <c r="F2213" s="223">
        <v>8000</v>
      </c>
      <c r="G2213" s="221" t="s">
        <v>71</v>
      </c>
      <c r="H2213" s="221" t="s">
        <v>71</v>
      </c>
      <c r="I2213" s="222"/>
    </row>
    <row r="2214" ht="17.25" customHeight="1" spans="1:9" x14ac:dyDescent="0.25">
      <c r="A2214" s="220">
        <v>2324</v>
      </c>
      <c r="B2214" s="221" t="s">
        <v>4840</v>
      </c>
      <c r="C2214" s="222" t="s">
        <v>4841</v>
      </c>
      <c r="D2214" s="221" t="s">
        <v>4556</v>
      </c>
      <c r="E2214" s="221" t="s">
        <v>30</v>
      </c>
      <c r="F2214" s="223">
        <v>8000</v>
      </c>
      <c r="G2214" s="221" t="s">
        <v>71</v>
      </c>
      <c r="H2214" s="221" t="s">
        <v>71</v>
      </c>
      <c r="I2214" s="222"/>
    </row>
    <row r="2215" ht="17.25" customHeight="1" spans="1:9" x14ac:dyDescent="0.25">
      <c r="A2215" s="220">
        <v>2325</v>
      </c>
      <c r="B2215" s="221" t="s">
        <v>4842</v>
      </c>
      <c r="C2215" s="222" t="s">
        <v>4843</v>
      </c>
      <c r="D2215" s="221" t="s">
        <v>4556</v>
      </c>
      <c r="E2215" s="221" t="s">
        <v>30</v>
      </c>
      <c r="F2215" s="223">
        <v>8000</v>
      </c>
      <c r="G2215" s="221" t="s">
        <v>71</v>
      </c>
      <c r="H2215" s="221" t="s">
        <v>71</v>
      </c>
      <c r="I2215" s="222"/>
    </row>
    <row r="2216" ht="17.25" customHeight="1" spans="1:9" x14ac:dyDescent="0.25">
      <c r="A2216" s="220">
        <v>2326</v>
      </c>
      <c r="B2216" s="221" t="s">
        <v>4844</v>
      </c>
      <c r="C2216" s="222" t="s">
        <v>4845</v>
      </c>
      <c r="D2216" s="221" t="s">
        <v>4556</v>
      </c>
      <c r="E2216" s="221" t="s">
        <v>30</v>
      </c>
      <c r="F2216" s="223">
        <v>8000</v>
      </c>
      <c r="G2216" s="221" t="s">
        <v>71</v>
      </c>
      <c r="H2216" s="221" t="s">
        <v>71</v>
      </c>
      <c r="I2216" s="222"/>
    </row>
    <row r="2217" ht="17.25" customHeight="1" spans="1:9" x14ac:dyDescent="0.25">
      <c r="A2217" s="220">
        <v>2327</v>
      </c>
      <c r="B2217" s="221" t="s">
        <v>4846</v>
      </c>
      <c r="C2217" s="222" t="s">
        <v>4847</v>
      </c>
      <c r="D2217" s="221" t="s">
        <v>4556</v>
      </c>
      <c r="E2217" s="221" t="s">
        <v>30</v>
      </c>
      <c r="F2217" s="223">
        <v>8000</v>
      </c>
      <c r="G2217" s="221" t="s">
        <v>71</v>
      </c>
      <c r="H2217" s="221" t="s">
        <v>71</v>
      </c>
      <c r="I2217" s="222"/>
    </row>
    <row r="2218" ht="17.25" customHeight="1" spans="1:9" x14ac:dyDescent="0.25">
      <c r="A2218" s="220">
        <v>2328</v>
      </c>
      <c r="B2218" s="221" t="s">
        <v>4848</v>
      </c>
      <c r="C2218" s="222" t="s">
        <v>4849</v>
      </c>
      <c r="D2218" s="221" t="s">
        <v>4556</v>
      </c>
      <c r="E2218" s="221" t="s">
        <v>30</v>
      </c>
      <c r="F2218" s="223">
        <v>10000</v>
      </c>
      <c r="G2218" s="221" t="s">
        <v>71</v>
      </c>
      <c r="H2218" s="221" t="s">
        <v>71</v>
      </c>
      <c r="I2218" s="222"/>
    </row>
    <row r="2219" ht="17.25" customHeight="1" spans="1:9" x14ac:dyDescent="0.25">
      <c r="A2219" s="220">
        <v>2329</v>
      </c>
      <c r="B2219" s="221" t="s">
        <v>4850</v>
      </c>
      <c r="C2219" s="222" t="s">
        <v>4851</v>
      </c>
      <c r="D2219" s="221" t="s">
        <v>4556</v>
      </c>
      <c r="E2219" s="221" t="s">
        <v>30</v>
      </c>
      <c r="F2219" s="223">
        <v>10000</v>
      </c>
      <c r="G2219" s="221" t="s">
        <v>71</v>
      </c>
      <c r="H2219" s="221" t="s">
        <v>71</v>
      </c>
      <c r="I2219" s="222"/>
    </row>
    <row r="2220" ht="17.25" customHeight="1" spans="1:9" x14ac:dyDescent="0.25">
      <c r="A2220" s="220">
        <v>2330</v>
      </c>
      <c r="B2220" s="221" t="s">
        <v>4852</v>
      </c>
      <c r="C2220" s="222" t="s">
        <v>4853</v>
      </c>
      <c r="D2220" s="221" t="s">
        <v>4556</v>
      </c>
      <c r="E2220" s="221" t="s">
        <v>30</v>
      </c>
      <c r="F2220" s="223">
        <v>12500</v>
      </c>
      <c r="G2220" s="221" t="s">
        <v>71</v>
      </c>
      <c r="H2220" s="221" t="s">
        <v>71</v>
      </c>
      <c r="I2220" s="222" t="s">
        <v>4854</v>
      </c>
    </row>
    <row r="2221" ht="17.25" customHeight="1" spans="1:9" x14ac:dyDescent="0.25">
      <c r="A2221" s="220">
        <v>2331</v>
      </c>
      <c r="B2221" s="221" t="s">
        <v>4855</v>
      </c>
      <c r="C2221" s="222" t="s">
        <v>4856</v>
      </c>
      <c r="D2221" s="221" t="s">
        <v>1494</v>
      </c>
      <c r="E2221" s="221" t="s">
        <v>29</v>
      </c>
      <c r="F2221" s="223">
        <v>10000</v>
      </c>
      <c r="G2221" s="221" t="s">
        <v>71</v>
      </c>
      <c r="H2221" s="221" t="s">
        <v>71</v>
      </c>
      <c r="I2221" s="222"/>
    </row>
    <row r="2222" ht="17.25" customHeight="1" spans="1:9" x14ac:dyDescent="0.25">
      <c r="A2222" s="220">
        <v>2332</v>
      </c>
      <c r="B2222" s="221" t="s">
        <v>4857</v>
      </c>
      <c r="C2222" s="222" t="s">
        <v>4858</v>
      </c>
      <c r="D2222" s="221" t="s">
        <v>1494</v>
      </c>
      <c r="E2222" s="221" t="s">
        <v>29</v>
      </c>
      <c r="F2222" s="223">
        <v>9500</v>
      </c>
      <c r="G2222" s="221" t="s">
        <v>71</v>
      </c>
      <c r="H2222" s="221" t="s">
        <v>71</v>
      </c>
      <c r="I2222" s="222"/>
    </row>
    <row r="2223" ht="17.25" customHeight="1" spans="1:9" x14ac:dyDescent="0.25">
      <c r="A2223" s="220">
        <v>2333</v>
      </c>
      <c r="B2223" s="221" t="s">
        <v>4859</v>
      </c>
      <c r="C2223" s="222" t="s">
        <v>4860</v>
      </c>
      <c r="D2223" s="221" t="s">
        <v>1494</v>
      </c>
      <c r="E2223" s="221" t="s">
        <v>29</v>
      </c>
      <c r="F2223" s="223">
        <v>9000</v>
      </c>
      <c r="G2223" s="221" t="s">
        <v>71</v>
      </c>
      <c r="H2223" s="221" t="s">
        <v>71</v>
      </c>
      <c r="I2223" s="222"/>
    </row>
    <row r="2224" ht="17.25" customHeight="1" spans="1:9" x14ac:dyDescent="0.25">
      <c r="A2224" s="220">
        <v>2334</v>
      </c>
      <c r="B2224" s="221" t="s">
        <v>4861</v>
      </c>
      <c r="C2224" s="222" t="s">
        <v>4862</v>
      </c>
      <c r="D2224" s="221" t="s">
        <v>4556</v>
      </c>
      <c r="E2224" s="221" t="s">
        <v>30</v>
      </c>
      <c r="F2224" s="223">
        <v>7500</v>
      </c>
      <c r="G2224" s="221" t="s">
        <v>48</v>
      </c>
      <c r="H2224" s="221" t="s">
        <v>48</v>
      </c>
      <c r="I2224" s="222"/>
    </row>
    <row r="2225" ht="17.25" customHeight="1" spans="1:9" x14ac:dyDescent="0.25">
      <c r="A2225" s="220">
        <v>2335</v>
      </c>
      <c r="B2225" s="221" t="s">
        <v>4863</v>
      </c>
      <c r="C2225" s="222" t="s">
        <v>4864</v>
      </c>
      <c r="D2225" s="221" t="s">
        <v>4556</v>
      </c>
      <c r="E2225" s="221" t="s">
        <v>30</v>
      </c>
      <c r="F2225" s="223">
        <v>0</v>
      </c>
      <c r="G2225" s="221" t="s">
        <v>71</v>
      </c>
      <c r="H2225" s="221" t="s">
        <v>71</v>
      </c>
      <c r="I2225" s="222"/>
    </row>
    <row r="2226" ht="17.25" customHeight="1" spans="1:9" x14ac:dyDescent="0.25">
      <c r="A2226" s="220">
        <v>2336</v>
      </c>
      <c r="B2226" s="221" t="s">
        <v>4865</v>
      </c>
      <c r="C2226" s="222" t="s">
        <v>4866</v>
      </c>
      <c r="D2226" s="221" t="s">
        <v>4556</v>
      </c>
      <c r="E2226" s="221" t="s">
        <v>30</v>
      </c>
      <c r="F2226" s="223">
        <v>0</v>
      </c>
      <c r="G2226" s="221" t="s">
        <v>71</v>
      </c>
      <c r="H2226" s="221" t="s">
        <v>71</v>
      </c>
      <c r="I2226" s="222"/>
    </row>
    <row r="2227" ht="17.25" customHeight="1" spans="1:9" x14ac:dyDescent="0.25">
      <c r="A2227" s="220">
        <v>2337</v>
      </c>
      <c r="B2227" s="221" t="s">
        <v>4867</v>
      </c>
      <c r="C2227" s="222" t="s">
        <v>4868</v>
      </c>
      <c r="D2227" s="221" t="s">
        <v>4556</v>
      </c>
      <c r="E2227" s="221" t="s">
        <v>30</v>
      </c>
      <c r="F2227" s="223">
        <v>0</v>
      </c>
      <c r="G2227" s="221" t="s">
        <v>71</v>
      </c>
      <c r="H2227" s="221" t="s">
        <v>71</v>
      </c>
      <c r="I2227" s="222"/>
    </row>
    <row r="2228" ht="17.25" customHeight="1" spans="1:9" x14ac:dyDescent="0.25">
      <c r="A2228" s="220">
        <v>2338</v>
      </c>
      <c r="B2228" s="221" t="s">
        <v>4869</v>
      </c>
      <c r="C2228" s="222" t="s">
        <v>4870</v>
      </c>
      <c r="D2228" s="221" t="s">
        <v>4556</v>
      </c>
      <c r="E2228" s="221" t="s">
        <v>30</v>
      </c>
      <c r="F2228" s="223">
        <v>10000</v>
      </c>
      <c r="G2228" s="221" t="s">
        <v>71</v>
      </c>
      <c r="H2228" s="221" t="s">
        <v>71</v>
      </c>
      <c r="I2228" s="222"/>
    </row>
    <row r="2229" ht="17.25" customHeight="1" spans="1:9" x14ac:dyDescent="0.25">
      <c r="A2229" s="220">
        <v>2339</v>
      </c>
      <c r="B2229" s="221" t="s">
        <v>4871</v>
      </c>
      <c r="C2229" s="222" t="s">
        <v>4872</v>
      </c>
      <c r="D2229" s="221" t="s">
        <v>4556</v>
      </c>
      <c r="E2229" s="221" t="s">
        <v>30</v>
      </c>
      <c r="F2229" s="223">
        <v>0</v>
      </c>
      <c r="G2229" s="221" t="s">
        <v>71</v>
      </c>
      <c r="H2229" s="221" t="s">
        <v>71</v>
      </c>
      <c r="I2229" s="222"/>
    </row>
    <row r="2230" ht="17.25" customHeight="1" spans="1:9" x14ac:dyDescent="0.25">
      <c r="A2230" s="220">
        <v>2340</v>
      </c>
      <c r="B2230" s="221" t="s">
        <v>4873</v>
      </c>
      <c r="C2230" s="222" t="s">
        <v>4874</v>
      </c>
      <c r="D2230" s="221" t="s">
        <v>4556</v>
      </c>
      <c r="E2230" s="221" t="s">
        <v>30</v>
      </c>
      <c r="F2230" s="223">
        <v>0</v>
      </c>
      <c r="G2230" s="221" t="s">
        <v>71</v>
      </c>
      <c r="H2230" s="221" t="s">
        <v>71</v>
      </c>
      <c r="I2230" s="222"/>
    </row>
    <row r="2231" ht="17.25" customHeight="1" spans="1:9" x14ac:dyDescent="0.25">
      <c r="A2231" s="220">
        <v>2341</v>
      </c>
      <c r="B2231" s="221" t="s">
        <v>4875</v>
      </c>
      <c r="C2231" s="222" t="s">
        <v>4876</v>
      </c>
      <c r="D2231" s="221" t="s">
        <v>4556</v>
      </c>
      <c r="E2231" s="221" t="s">
        <v>30</v>
      </c>
      <c r="F2231" s="223">
        <v>0</v>
      </c>
      <c r="G2231" s="221" t="s">
        <v>71</v>
      </c>
      <c r="H2231" s="221" t="s">
        <v>71</v>
      </c>
      <c r="I2231" s="222"/>
    </row>
    <row r="2232" ht="17.25" customHeight="1" spans="1:9" x14ac:dyDescent="0.25">
      <c r="A2232" s="220">
        <v>2342</v>
      </c>
      <c r="B2232" s="221" t="s">
        <v>4877</v>
      </c>
      <c r="C2232" s="222" t="s">
        <v>4878</v>
      </c>
      <c r="D2232" s="221" t="s">
        <v>70</v>
      </c>
      <c r="E2232" s="221" t="s">
        <v>30</v>
      </c>
      <c r="F2232" s="223">
        <v>6800</v>
      </c>
      <c r="G2232" s="221" t="s">
        <v>71</v>
      </c>
      <c r="H2232" s="221" t="s">
        <v>71</v>
      </c>
      <c r="I2232" s="222"/>
    </row>
    <row r="2233" ht="17.25" customHeight="1" spans="1:9" x14ac:dyDescent="0.25">
      <c r="A2233" s="220">
        <v>2343</v>
      </c>
      <c r="B2233" s="221" t="s">
        <v>4879</v>
      </c>
      <c r="C2233" s="222" t="s">
        <v>4880</v>
      </c>
      <c r="D2233" s="221" t="s">
        <v>70</v>
      </c>
      <c r="E2233" s="221" t="s">
        <v>30</v>
      </c>
      <c r="F2233" s="223">
        <v>6800</v>
      </c>
      <c r="G2233" s="221" t="s">
        <v>71</v>
      </c>
      <c r="H2233" s="221" t="s">
        <v>71</v>
      </c>
      <c r="I2233" s="222"/>
    </row>
    <row r="2234" ht="17.25" customHeight="1" spans="1:9" x14ac:dyDescent="0.25">
      <c r="A2234" s="220">
        <v>2344</v>
      </c>
      <c r="B2234" s="221" t="s">
        <v>4881</v>
      </c>
      <c r="C2234" s="222" t="s">
        <v>4882</v>
      </c>
      <c r="D2234" s="221" t="s">
        <v>70</v>
      </c>
      <c r="E2234" s="221" t="s">
        <v>30</v>
      </c>
      <c r="F2234" s="223">
        <v>6800</v>
      </c>
      <c r="G2234" s="221" t="s">
        <v>71</v>
      </c>
      <c r="H2234" s="221" t="s">
        <v>71</v>
      </c>
      <c r="I2234" s="222"/>
    </row>
    <row r="2235" ht="17.25" customHeight="1" spans="1:9" x14ac:dyDescent="0.25">
      <c r="A2235" s="220">
        <v>2345</v>
      </c>
      <c r="B2235" s="221" t="s">
        <v>4883</v>
      </c>
      <c r="C2235" s="222" t="s">
        <v>4884</v>
      </c>
      <c r="D2235" s="221" t="s">
        <v>70</v>
      </c>
      <c r="E2235" s="221" t="s">
        <v>30</v>
      </c>
      <c r="F2235" s="223">
        <v>6800</v>
      </c>
      <c r="G2235" s="221" t="s">
        <v>71</v>
      </c>
      <c r="H2235" s="221" t="s">
        <v>71</v>
      </c>
      <c r="I2235" s="222"/>
    </row>
    <row r="2236" ht="17.25" customHeight="1" spans="1:9" x14ac:dyDescent="0.25">
      <c r="A2236" s="220">
        <v>2346</v>
      </c>
      <c r="B2236" s="221" t="s">
        <v>4885</v>
      </c>
      <c r="C2236" s="222" t="s">
        <v>4886</v>
      </c>
      <c r="D2236" s="221" t="s">
        <v>70</v>
      </c>
      <c r="E2236" s="221" t="s">
        <v>30</v>
      </c>
      <c r="F2236" s="223">
        <v>6800</v>
      </c>
      <c r="G2236" s="221" t="s">
        <v>71</v>
      </c>
      <c r="H2236" s="221" t="s">
        <v>71</v>
      </c>
      <c r="I2236" s="222"/>
    </row>
    <row r="2237" ht="17.25" customHeight="1" spans="1:9" x14ac:dyDescent="0.25">
      <c r="A2237" s="220">
        <v>2347</v>
      </c>
      <c r="B2237" s="221" t="s">
        <v>4887</v>
      </c>
      <c r="C2237" s="222" t="s">
        <v>4888</v>
      </c>
      <c r="D2237" s="221" t="s">
        <v>805</v>
      </c>
      <c r="E2237" s="221" t="s">
        <v>27</v>
      </c>
      <c r="F2237" s="223">
        <v>0</v>
      </c>
      <c r="G2237" s="221" t="s">
        <v>48</v>
      </c>
      <c r="H2237" s="221" t="s">
        <v>48</v>
      </c>
      <c r="I2237" s="222"/>
    </row>
    <row r="2238" ht="17.25" customHeight="1" spans="1:9" x14ac:dyDescent="0.25">
      <c r="A2238" s="220">
        <v>2348</v>
      </c>
      <c r="B2238" s="221" t="s">
        <v>4889</v>
      </c>
      <c r="C2238" s="222" t="s">
        <v>4890</v>
      </c>
      <c r="D2238" s="221" t="s">
        <v>2349</v>
      </c>
      <c r="E2238" s="221" t="s">
        <v>27</v>
      </c>
      <c r="F2238" s="223">
        <v>0</v>
      </c>
      <c r="G2238" s="221" t="s">
        <v>48</v>
      </c>
      <c r="H2238" s="221" t="s">
        <v>48</v>
      </c>
      <c r="I2238" s="222"/>
    </row>
    <row r="2239" ht="17.25" customHeight="1" spans="1:9" x14ac:dyDescent="0.25">
      <c r="A2239" s="220">
        <v>2349</v>
      </c>
      <c r="B2239" s="221" t="s">
        <v>4891</v>
      </c>
      <c r="C2239" s="222" t="s">
        <v>4892</v>
      </c>
      <c r="D2239" s="221" t="s">
        <v>2349</v>
      </c>
      <c r="E2239" s="221" t="s">
        <v>27</v>
      </c>
      <c r="F2239" s="223">
        <v>0</v>
      </c>
      <c r="G2239" s="221" t="s">
        <v>48</v>
      </c>
      <c r="H2239" s="221" t="s">
        <v>48</v>
      </c>
      <c r="I2239" s="222"/>
    </row>
    <row r="2240" ht="17.25" customHeight="1" spans="1:9" x14ac:dyDescent="0.25">
      <c r="A2240" s="220">
        <v>2350</v>
      </c>
      <c r="B2240" s="221" t="s">
        <v>4893</v>
      </c>
      <c r="C2240" s="222" t="s">
        <v>4894</v>
      </c>
      <c r="D2240" s="221" t="s">
        <v>1903</v>
      </c>
      <c r="E2240" s="221" t="s">
        <v>27</v>
      </c>
      <c r="F2240" s="223">
        <v>0</v>
      </c>
      <c r="G2240" s="221" t="s">
        <v>48</v>
      </c>
      <c r="H2240" s="221" t="s">
        <v>48</v>
      </c>
      <c r="I2240" s="222"/>
    </row>
    <row r="2241" ht="17.25" customHeight="1" spans="1:9" x14ac:dyDescent="0.25">
      <c r="A2241" s="220">
        <v>2351</v>
      </c>
      <c r="B2241" s="221" t="s">
        <v>4895</v>
      </c>
      <c r="C2241" s="222" t="s">
        <v>4896</v>
      </c>
      <c r="D2241" s="221" t="s">
        <v>1903</v>
      </c>
      <c r="E2241" s="221" t="s">
        <v>27</v>
      </c>
      <c r="F2241" s="223">
        <v>0</v>
      </c>
      <c r="G2241" s="221" t="s">
        <v>48</v>
      </c>
      <c r="H2241" s="221" t="s">
        <v>48</v>
      </c>
      <c r="I2241" s="222"/>
    </row>
    <row r="2242" ht="17.25" customHeight="1" spans="1:9" x14ac:dyDescent="0.25">
      <c r="A2242" s="220">
        <v>2355</v>
      </c>
      <c r="B2242" s="221" t="s">
        <v>4897</v>
      </c>
      <c r="C2242" s="222" t="s">
        <v>4898</v>
      </c>
      <c r="D2242" s="221" t="s">
        <v>205</v>
      </c>
      <c r="E2242" s="221" t="s">
        <v>395</v>
      </c>
      <c r="F2242" s="223">
        <v>0</v>
      </c>
      <c r="G2242" s="221" t="s">
        <v>71</v>
      </c>
      <c r="H2242" s="221" t="s">
        <v>71</v>
      </c>
      <c r="I2242" s="222"/>
    </row>
    <row r="2243" ht="17.25" customHeight="1" spans="1:9" x14ac:dyDescent="0.25">
      <c r="A2243" s="220">
        <v>2356</v>
      </c>
      <c r="B2243" s="221" t="s">
        <v>4899</v>
      </c>
      <c r="C2243" s="222" t="s">
        <v>4900</v>
      </c>
      <c r="D2243" s="221" t="s">
        <v>205</v>
      </c>
      <c r="E2243" s="221" t="s">
        <v>395</v>
      </c>
      <c r="F2243" s="223">
        <v>0</v>
      </c>
      <c r="G2243" s="221" t="s">
        <v>71</v>
      </c>
      <c r="H2243" s="221" t="s">
        <v>71</v>
      </c>
      <c r="I2243" s="222"/>
    </row>
    <row r="2244" ht="17.25" customHeight="1" spans="1:9" x14ac:dyDescent="0.25">
      <c r="A2244" s="220">
        <v>2357</v>
      </c>
      <c r="B2244" s="221" t="s">
        <v>4901</v>
      </c>
      <c r="C2244" s="222" t="s">
        <v>4902</v>
      </c>
      <c r="D2244" s="221" t="s">
        <v>4556</v>
      </c>
      <c r="E2244" s="221" t="s">
        <v>30</v>
      </c>
      <c r="F2244" s="223">
        <v>0</v>
      </c>
      <c r="G2244" s="221" t="s">
        <v>71</v>
      </c>
      <c r="H2244" s="221" t="s">
        <v>71</v>
      </c>
      <c r="I2244" s="222"/>
    </row>
    <row r="2245" ht="17.25" customHeight="1" spans="1:9" x14ac:dyDescent="0.25">
      <c r="A2245" s="220">
        <v>2358</v>
      </c>
      <c r="B2245" s="221" t="s">
        <v>4903</v>
      </c>
      <c r="C2245" s="222" t="s">
        <v>4904</v>
      </c>
      <c r="D2245" s="221" t="s">
        <v>4556</v>
      </c>
      <c r="E2245" s="221" t="s">
        <v>30</v>
      </c>
      <c r="F2245" s="223">
        <v>0</v>
      </c>
      <c r="G2245" s="221" t="s">
        <v>71</v>
      </c>
      <c r="H2245" s="221" t="s">
        <v>71</v>
      </c>
      <c r="I2245" s="222"/>
    </row>
    <row r="2246" ht="17.25" customHeight="1" spans="1:9" x14ac:dyDescent="0.25">
      <c r="A2246" s="220">
        <v>2359</v>
      </c>
      <c r="B2246" s="221" t="s">
        <v>4905</v>
      </c>
      <c r="C2246" s="222" t="s">
        <v>4906</v>
      </c>
      <c r="D2246" s="221" t="s">
        <v>4556</v>
      </c>
      <c r="E2246" s="221" t="s">
        <v>30</v>
      </c>
      <c r="F2246" s="223">
        <v>5600</v>
      </c>
      <c r="G2246" s="221" t="s">
        <v>71</v>
      </c>
      <c r="H2246" s="221" t="s">
        <v>71</v>
      </c>
      <c r="I2246" s="222"/>
    </row>
    <row r="2247" ht="17.25" customHeight="1" spans="1:9" x14ac:dyDescent="0.25">
      <c r="A2247" s="220">
        <v>2361</v>
      </c>
      <c r="B2247" s="221" t="s">
        <v>4907</v>
      </c>
      <c r="C2247" s="222" t="s">
        <v>4908</v>
      </c>
      <c r="D2247" s="221" t="s">
        <v>2320</v>
      </c>
      <c r="E2247" s="221" t="s">
        <v>27</v>
      </c>
      <c r="F2247" s="223">
        <v>0</v>
      </c>
      <c r="G2247" s="221" t="s">
        <v>48</v>
      </c>
      <c r="H2247" s="221" t="s">
        <v>48</v>
      </c>
      <c r="I2247" s="222"/>
    </row>
    <row r="2248" ht="17.25" customHeight="1" spans="1:9" x14ac:dyDescent="0.25">
      <c r="A2248" s="220">
        <v>2362</v>
      </c>
      <c r="B2248" s="221" t="s">
        <v>4909</v>
      </c>
      <c r="C2248" s="222" t="s">
        <v>4910</v>
      </c>
      <c r="D2248" s="221" t="s">
        <v>805</v>
      </c>
      <c r="E2248" s="221" t="s">
        <v>27</v>
      </c>
      <c r="F2248" s="223">
        <v>0</v>
      </c>
      <c r="G2248" s="221" t="s">
        <v>48</v>
      </c>
      <c r="H2248" s="221" t="s">
        <v>48</v>
      </c>
      <c r="I2248" s="222"/>
    </row>
    <row r="2249" ht="17.25" customHeight="1" spans="1:9" x14ac:dyDescent="0.25">
      <c r="A2249" s="220">
        <v>2363</v>
      </c>
      <c r="B2249" s="221" t="s">
        <v>4911</v>
      </c>
      <c r="C2249" s="222" t="s">
        <v>4912</v>
      </c>
      <c r="D2249" s="221" t="s">
        <v>2320</v>
      </c>
      <c r="E2249" s="221" t="s">
        <v>27</v>
      </c>
      <c r="F2249" s="223">
        <v>0</v>
      </c>
      <c r="G2249" s="221" t="s">
        <v>48</v>
      </c>
      <c r="H2249" s="221" t="s">
        <v>48</v>
      </c>
      <c r="I2249" s="222"/>
    </row>
    <row r="2250" ht="17.25" customHeight="1" spans="1:9" x14ac:dyDescent="0.25">
      <c r="A2250" s="220">
        <v>2364</v>
      </c>
      <c r="B2250" s="221" t="s">
        <v>4913</v>
      </c>
      <c r="C2250" s="222" t="s">
        <v>4914</v>
      </c>
      <c r="D2250" s="221" t="s">
        <v>2349</v>
      </c>
      <c r="E2250" s="221" t="s">
        <v>27</v>
      </c>
      <c r="F2250" s="223">
        <v>0</v>
      </c>
      <c r="G2250" s="221" t="s">
        <v>48</v>
      </c>
      <c r="H2250" s="221" t="s">
        <v>48</v>
      </c>
      <c r="I2250" s="222"/>
    </row>
    <row r="2251" ht="17.25" customHeight="1" spans="1:9" x14ac:dyDescent="0.25">
      <c r="A2251" s="220">
        <v>2366</v>
      </c>
      <c r="B2251" s="221" t="s">
        <v>4915</v>
      </c>
      <c r="C2251" s="222" t="s">
        <v>4916</v>
      </c>
      <c r="D2251" s="221" t="s">
        <v>70</v>
      </c>
      <c r="E2251" s="221" t="s">
        <v>395</v>
      </c>
      <c r="F2251" s="223">
        <v>0</v>
      </c>
      <c r="G2251" s="221" t="s">
        <v>46</v>
      </c>
      <c r="H2251" s="221" t="s">
        <v>71</v>
      </c>
      <c r="I2251" s="222"/>
    </row>
    <row r="2252" ht="17.25" customHeight="1" spans="1:9" x14ac:dyDescent="0.25">
      <c r="A2252" s="220">
        <v>2367</v>
      </c>
      <c r="B2252" s="221" t="s">
        <v>4917</v>
      </c>
      <c r="C2252" s="222" t="s">
        <v>4918</v>
      </c>
      <c r="D2252" s="221" t="s">
        <v>4434</v>
      </c>
      <c r="E2252" s="221" t="s">
        <v>38</v>
      </c>
      <c r="F2252" s="223">
        <v>0</v>
      </c>
      <c r="G2252" s="221" t="s">
        <v>46</v>
      </c>
      <c r="H2252" s="221" t="s">
        <v>46</v>
      </c>
      <c r="I2252" s="222"/>
    </row>
    <row r="2253" ht="17.25" customHeight="1" spans="1:9" x14ac:dyDescent="0.25">
      <c r="A2253" s="220">
        <v>2368</v>
      </c>
      <c r="B2253" s="221" t="s">
        <v>4919</v>
      </c>
      <c r="C2253" s="222" t="s">
        <v>4920</v>
      </c>
      <c r="D2253" s="221" t="s">
        <v>4556</v>
      </c>
      <c r="E2253" s="221" t="s">
        <v>30</v>
      </c>
      <c r="F2253" s="223">
        <v>3300</v>
      </c>
      <c r="G2253" s="221" t="s">
        <v>48</v>
      </c>
      <c r="H2253" s="221" t="s">
        <v>48</v>
      </c>
      <c r="I2253" s="222"/>
    </row>
    <row r="2254" ht="17.25" customHeight="1" spans="1:9" x14ac:dyDescent="0.25">
      <c r="A2254" s="220">
        <v>2369</v>
      </c>
      <c r="B2254" s="221" t="s">
        <v>4921</v>
      </c>
      <c r="C2254" s="222" t="s">
        <v>4922</v>
      </c>
      <c r="D2254" s="221" t="s">
        <v>4556</v>
      </c>
      <c r="E2254" s="221" t="s">
        <v>30</v>
      </c>
      <c r="F2254" s="223">
        <v>3100</v>
      </c>
      <c r="G2254" s="221" t="s">
        <v>48</v>
      </c>
      <c r="H2254" s="221" t="s">
        <v>48</v>
      </c>
      <c r="I2254" s="222"/>
    </row>
    <row r="2255" ht="17.25" customHeight="1" spans="1:9" x14ac:dyDescent="0.25">
      <c r="A2255" s="220">
        <v>2370</v>
      </c>
      <c r="B2255" s="221" t="s">
        <v>4923</v>
      </c>
      <c r="C2255" s="222" t="s">
        <v>4924</v>
      </c>
      <c r="D2255" s="221" t="s">
        <v>4556</v>
      </c>
      <c r="E2255" s="221" t="s">
        <v>30</v>
      </c>
      <c r="F2255" s="223">
        <v>3100</v>
      </c>
      <c r="G2255" s="221" t="s">
        <v>48</v>
      </c>
      <c r="H2255" s="221" t="s">
        <v>48</v>
      </c>
      <c r="I2255" s="222"/>
    </row>
    <row r="2256" ht="17.25" customHeight="1" spans="1:9" x14ac:dyDescent="0.25">
      <c r="A2256" s="220">
        <v>2371</v>
      </c>
      <c r="B2256" s="221" t="s">
        <v>4925</v>
      </c>
      <c r="C2256" s="222" t="s">
        <v>4926</v>
      </c>
      <c r="D2256" s="221" t="s">
        <v>360</v>
      </c>
      <c r="E2256" s="221" t="s">
        <v>27</v>
      </c>
      <c r="F2256" s="223">
        <v>0</v>
      </c>
      <c r="G2256" s="221" t="s">
        <v>48</v>
      </c>
      <c r="H2256" s="221" t="s">
        <v>48</v>
      </c>
      <c r="I2256" s="222"/>
    </row>
    <row r="2257" ht="17.25" customHeight="1" spans="1:9" x14ac:dyDescent="0.25">
      <c r="A2257" s="220">
        <v>2372</v>
      </c>
      <c r="B2257" s="221" t="s">
        <v>4927</v>
      </c>
      <c r="C2257" s="222" t="s">
        <v>4928</v>
      </c>
      <c r="D2257" s="221" t="s">
        <v>70</v>
      </c>
      <c r="E2257" s="221" t="s">
        <v>395</v>
      </c>
      <c r="F2257" s="223">
        <v>0</v>
      </c>
      <c r="G2257" s="221" t="s">
        <v>46</v>
      </c>
      <c r="H2257" s="221" t="s">
        <v>71</v>
      </c>
      <c r="I2257" s="222"/>
    </row>
    <row r="2258" ht="17.25" customHeight="1" spans="1:9" x14ac:dyDescent="0.25">
      <c r="A2258" s="220">
        <v>2373</v>
      </c>
      <c r="B2258" s="221" t="s">
        <v>4929</v>
      </c>
      <c r="C2258" s="222" t="s">
        <v>4930</v>
      </c>
      <c r="D2258" s="221" t="s">
        <v>1447</v>
      </c>
      <c r="E2258" s="221" t="s">
        <v>27</v>
      </c>
      <c r="F2258" s="223">
        <v>0</v>
      </c>
      <c r="G2258" s="221" t="s">
        <v>48</v>
      </c>
      <c r="H2258" s="221" t="s">
        <v>48</v>
      </c>
      <c r="I2258" s="222"/>
    </row>
    <row r="2259" ht="17.25" customHeight="1" spans="1:9" x14ac:dyDescent="0.25">
      <c r="A2259" s="220">
        <v>2374</v>
      </c>
      <c r="B2259" s="221" t="s">
        <v>4931</v>
      </c>
      <c r="C2259" s="222" t="s">
        <v>4932</v>
      </c>
      <c r="D2259" s="221" t="s">
        <v>70</v>
      </c>
      <c r="E2259" s="221" t="s">
        <v>30</v>
      </c>
      <c r="F2259" s="223">
        <v>6800</v>
      </c>
      <c r="G2259" s="221" t="s">
        <v>71</v>
      </c>
      <c r="H2259" s="221" t="s">
        <v>71</v>
      </c>
      <c r="I2259" s="222"/>
    </row>
    <row r="2260" ht="17.25" customHeight="1" spans="1:9" x14ac:dyDescent="0.25">
      <c r="A2260" s="220">
        <v>2375</v>
      </c>
      <c r="B2260" s="221" t="s">
        <v>4933</v>
      </c>
      <c r="C2260" s="222" t="s">
        <v>4934</v>
      </c>
      <c r="D2260" s="221" t="s">
        <v>2587</v>
      </c>
      <c r="E2260" s="221" t="s">
        <v>27</v>
      </c>
      <c r="F2260" s="223">
        <v>0</v>
      </c>
      <c r="G2260" s="221" t="s">
        <v>48</v>
      </c>
      <c r="H2260" s="221" t="s">
        <v>48</v>
      </c>
      <c r="I2260" s="222" t="s">
        <v>346</v>
      </c>
    </row>
    <row r="2261" ht="17.25" customHeight="1" spans="1:9" x14ac:dyDescent="0.25">
      <c r="A2261" s="220">
        <v>2377</v>
      </c>
      <c r="B2261" s="221" t="s">
        <v>4935</v>
      </c>
      <c r="C2261" s="222" t="s">
        <v>4936</v>
      </c>
      <c r="D2261" s="221" t="s">
        <v>4556</v>
      </c>
      <c r="E2261" s="221" t="s">
        <v>30</v>
      </c>
      <c r="F2261" s="223">
        <v>9500</v>
      </c>
      <c r="G2261" s="221" t="s">
        <v>71</v>
      </c>
      <c r="H2261" s="221" t="s">
        <v>71</v>
      </c>
      <c r="I2261" s="222"/>
    </row>
    <row r="2262" ht="17.25" customHeight="1" spans="1:9" x14ac:dyDescent="0.25">
      <c r="A2262" s="220">
        <v>2378</v>
      </c>
      <c r="B2262" s="221" t="s">
        <v>4937</v>
      </c>
      <c r="C2262" s="222" t="s">
        <v>4938</v>
      </c>
      <c r="D2262" s="221" t="s">
        <v>4556</v>
      </c>
      <c r="E2262" s="221" t="s">
        <v>30</v>
      </c>
      <c r="F2262" s="223">
        <v>9500</v>
      </c>
      <c r="G2262" s="221" t="s">
        <v>71</v>
      </c>
      <c r="H2262" s="221" t="s">
        <v>71</v>
      </c>
      <c r="I2262" s="222"/>
    </row>
    <row r="2263" ht="17.25" customHeight="1" spans="1:9" x14ac:dyDescent="0.25">
      <c r="A2263" s="220">
        <v>2379</v>
      </c>
      <c r="B2263" s="221" t="s">
        <v>4939</v>
      </c>
      <c r="C2263" s="222" t="s">
        <v>4940</v>
      </c>
      <c r="D2263" s="221" t="s">
        <v>4556</v>
      </c>
      <c r="E2263" s="221" t="s">
        <v>30</v>
      </c>
      <c r="F2263" s="223">
        <v>9500</v>
      </c>
      <c r="G2263" s="221" t="s">
        <v>71</v>
      </c>
      <c r="H2263" s="221" t="s">
        <v>71</v>
      </c>
      <c r="I2263" s="222"/>
    </row>
    <row r="2264" ht="17.25" customHeight="1" spans="1:9" x14ac:dyDescent="0.25">
      <c r="A2264" s="220">
        <v>2380</v>
      </c>
      <c r="B2264" s="221" t="s">
        <v>4941</v>
      </c>
      <c r="C2264" s="222" t="s">
        <v>4942</v>
      </c>
      <c r="D2264" s="221" t="s">
        <v>4556</v>
      </c>
      <c r="E2264" s="221" t="s">
        <v>30</v>
      </c>
      <c r="F2264" s="223">
        <v>0</v>
      </c>
      <c r="G2264" s="221" t="s">
        <v>71</v>
      </c>
      <c r="H2264" s="221" t="s">
        <v>71</v>
      </c>
      <c r="I2264" s="222"/>
    </row>
    <row r="2265" ht="17.25" customHeight="1" spans="1:9" x14ac:dyDescent="0.25">
      <c r="A2265" s="220">
        <v>2381</v>
      </c>
      <c r="B2265" s="221" t="s">
        <v>4943</v>
      </c>
      <c r="C2265" s="222" t="s">
        <v>4944</v>
      </c>
      <c r="D2265" s="221" t="s">
        <v>4556</v>
      </c>
      <c r="E2265" s="221" t="s">
        <v>30</v>
      </c>
      <c r="F2265" s="223">
        <v>0</v>
      </c>
      <c r="G2265" s="221" t="s">
        <v>71</v>
      </c>
      <c r="H2265" s="221" t="s">
        <v>71</v>
      </c>
      <c r="I2265" s="222"/>
    </row>
    <row r="2266" ht="17.25" customHeight="1" spans="1:9" x14ac:dyDescent="0.25">
      <c r="A2266" s="220">
        <v>2382</v>
      </c>
      <c r="B2266" s="221" t="s">
        <v>4945</v>
      </c>
      <c r="C2266" s="222" t="s">
        <v>4946</v>
      </c>
      <c r="D2266" s="221" t="s">
        <v>4556</v>
      </c>
      <c r="E2266" s="221" t="s">
        <v>30</v>
      </c>
      <c r="F2266" s="223">
        <v>0</v>
      </c>
      <c r="G2266" s="221" t="s">
        <v>71</v>
      </c>
      <c r="H2266" s="221" t="s">
        <v>71</v>
      </c>
      <c r="I2266" s="222"/>
    </row>
    <row r="2267" ht="17.25" customHeight="1" spans="1:9" x14ac:dyDescent="0.25">
      <c r="A2267" s="220">
        <v>2383</v>
      </c>
      <c r="B2267" s="221" t="s">
        <v>4947</v>
      </c>
      <c r="C2267" s="222" t="s">
        <v>4948</v>
      </c>
      <c r="D2267" s="221" t="s">
        <v>70</v>
      </c>
      <c r="E2267" s="221" t="s">
        <v>30</v>
      </c>
      <c r="F2267" s="223">
        <v>6800</v>
      </c>
      <c r="G2267" s="221" t="s">
        <v>71</v>
      </c>
      <c r="H2267" s="221" t="s">
        <v>71</v>
      </c>
      <c r="I2267" s="222"/>
    </row>
    <row r="2268" ht="17.25" customHeight="1" spans="1:9" x14ac:dyDescent="0.25">
      <c r="A2268" s="220">
        <v>2384</v>
      </c>
      <c r="B2268" s="221" t="s">
        <v>4949</v>
      </c>
      <c r="C2268" s="222" t="s">
        <v>4950</v>
      </c>
      <c r="D2268" s="221" t="s">
        <v>4556</v>
      </c>
      <c r="E2268" s="221" t="s">
        <v>30</v>
      </c>
      <c r="F2268" s="223">
        <v>5500</v>
      </c>
      <c r="G2268" s="221" t="s">
        <v>71</v>
      </c>
      <c r="H2268" s="221" t="s">
        <v>71</v>
      </c>
      <c r="I2268" s="222"/>
    </row>
    <row r="2269" ht="17.25" customHeight="1" spans="1:9" x14ac:dyDescent="0.25">
      <c r="A2269" s="220">
        <v>2385</v>
      </c>
      <c r="B2269" s="221" t="s">
        <v>4951</v>
      </c>
      <c r="C2269" s="222" t="s">
        <v>4952</v>
      </c>
      <c r="D2269" s="221" t="s">
        <v>205</v>
      </c>
      <c r="E2269" s="221" t="s">
        <v>30</v>
      </c>
      <c r="F2269" s="223">
        <v>8500</v>
      </c>
      <c r="G2269" s="221" t="s">
        <v>71</v>
      </c>
      <c r="H2269" s="221" t="s">
        <v>71</v>
      </c>
      <c r="I2269" s="222"/>
    </row>
    <row r="2270" ht="17.25" customHeight="1" spans="1:9" x14ac:dyDescent="0.25">
      <c r="A2270" s="220">
        <v>2386</v>
      </c>
      <c r="B2270" s="221" t="s">
        <v>4953</v>
      </c>
      <c r="C2270" s="222" t="s">
        <v>4954</v>
      </c>
      <c r="D2270" s="221" t="s">
        <v>205</v>
      </c>
      <c r="E2270" s="221" t="s">
        <v>30</v>
      </c>
      <c r="F2270" s="223">
        <v>8500</v>
      </c>
      <c r="G2270" s="221" t="s">
        <v>71</v>
      </c>
      <c r="H2270" s="221" t="s">
        <v>71</v>
      </c>
      <c r="I2270" s="222"/>
    </row>
    <row r="2271" ht="17.25" customHeight="1" spans="1:9" x14ac:dyDescent="0.25">
      <c r="A2271" s="220">
        <v>2387</v>
      </c>
      <c r="B2271" s="221" t="s">
        <v>4955</v>
      </c>
      <c r="C2271" s="222" t="s">
        <v>4956</v>
      </c>
      <c r="D2271" s="221" t="s">
        <v>205</v>
      </c>
      <c r="E2271" s="221" t="s">
        <v>30</v>
      </c>
      <c r="F2271" s="223">
        <v>8500</v>
      </c>
      <c r="G2271" s="221" t="s">
        <v>71</v>
      </c>
      <c r="H2271" s="221" t="s">
        <v>71</v>
      </c>
      <c r="I2271" s="222"/>
    </row>
    <row r="2272" ht="17.25" customHeight="1" spans="1:9" x14ac:dyDescent="0.25">
      <c r="A2272" s="220">
        <v>2388</v>
      </c>
      <c r="B2272" s="221" t="s">
        <v>4957</v>
      </c>
      <c r="C2272" s="222" t="s">
        <v>4958</v>
      </c>
      <c r="D2272" s="221" t="s">
        <v>205</v>
      </c>
      <c r="E2272" s="221" t="s">
        <v>30</v>
      </c>
      <c r="F2272" s="223">
        <v>11000</v>
      </c>
      <c r="G2272" s="221" t="s">
        <v>71</v>
      </c>
      <c r="H2272" s="221" t="s">
        <v>71</v>
      </c>
      <c r="I2272" s="222"/>
    </row>
    <row r="2273" ht="17.25" customHeight="1" spans="1:9" x14ac:dyDescent="0.25">
      <c r="A2273" s="220">
        <v>2389</v>
      </c>
      <c r="B2273" s="221" t="s">
        <v>4959</v>
      </c>
      <c r="C2273" s="222" t="s">
        <v>4960</v>
      </c>
      <c r="D2273" s="221" t="s">
        <v>4556</v>
      </c>
      <c r="E2273" s="221" t="s">
        <v>30</v>
      </c>
      <c r="F2273" s="223">
        <v>0</v>
      </c>
      <c r="G2273" s="221" t="s">
        <v>71</v>
      </c>
      <c r="H2273" s="221" t="s">
        <v>71</v>
      </c>
      <c r="I2273" s="222"/>
    </row>
    <row r="2274" ht="17.25" customHeight="1" spans="1:9" x14ac:dyDescent="0.25">
      <c r="A2274" s="220">
        <v>2390</v>
      </c>
      <c r="B2274" s="221" t="s">
        <v>4961</v>
      </c>
      <c r="C2274" s="222" t="s">
        <v>4962</v>
      </c>
      <c r="D2274" s="221" t="s">
        <v>1637</v>
      </c>
      <c r="E2274" s="221" t="s">
        <v>27</v>
      </c>
      <c r="F2274" s="223">
        <v>0</v>
      </c>
      <c r="G2274" s="221" t="s">
        <v>48</v>
      </c>
      <c r="H2274" s="221" t="s">
        <v>48</v>
      </c>
      <c r="I2274" s="222"/>
    </row>
    <row r="2275" ht="17.25" customHeight="1" spans="1:9" x14ac:dyDescent="0.25">
      <c r="A2275" s="220">
        <v>2391</v>
      </c>
      <c r="B2275" s="221" t="s">
        <v>4963</v>
      </c>
      <c r="C2275" s="222" t="s">
        <v>4964</v>
      </c>
      <c r="D2275" s="221" t="s">
        <v>205</v>
      </c>
      <c r="E2275" s="221" t="s">
        <v>30</v>
      </c>
      <c r="F2275" s="223">
        <v>11000</v>
      </c>
      <c r="G2275" s="221" t="s">
        <v>71</v>
      </c>
      <c r="H2275" s="221" t="s">
        <v>71</v>
      </c>
      <c r="I2275" s="222"/>
    </row>
    <row r="2276" ht="17.25" customHeight="1" spans="1:9" x14ac:dyDescent="0.25">
      <c r="A2276" s="220">
        <v>2392</v>
      </c>
      <c r="B2276" s="221" t="s">
        <v>4965</v>
      </c>
      <c r="C2276" s="222" t="s">
        <v>4966</v>
      </c>
      <c r="D2276" s="221" t="s">
        <v>70</v>
      </c>
      <c r="E2276" s="221" t="s">
        <v>30</v>
      </c>
      <c r="F2276" s="223">
        <v>7000</v>
      </c>
      <c r="G2276" s="221" t="s">
        <v>71</v>
      </c>
      <c r="H2276" s="221" t="s">
        <v>71</v>
      </c>
      <c r="I2276" s="222"/>
    </row>
    <row r="2277" ht="17.25" customHeight="1" spans="1:9" x14ac:dyDescent="0.25">
      <c r="A2277" s="220">
        <v>2393</v>
      </c>
      <c r="B2277" s="221" t="s">
        <v>4967</v>
      </c>
      <c r="C2277" s="222" t="s">
        <v>4968</v>
      </c>
      <c r="D2277" s="221" t="s">
        <v>70</v>
      </c>
      <c r="E2277" s="221" t="s">
        <v>30</v>
      </c>
      <c r="F2277" s="223">
        <v>7000</v>
      </c>
      <c r="G2277" s="221" t="s">
        <v>71</v>
      </c>
      <c r="H2277" s="221" t="s">
        <v>71</v>
      </c>
      <c r="I2277" s="222"/>
    </row>
    <row r="2278" ht="17.25" customHeight="1" spans="1:9" x14ac:dyDescent="0.25">
      <c r="A2278" s="220">
        <v>2394</v>
      </c>
      <c r="B2278" s="221" t="s">
        <v>4969</v>
      </c>
      <c r="C2278" s="222" t="s">
        <v>4970</v>
      </c>
      <c r="D2278" s="221" t="s">
        <v>4556</v>
      </c>
      <c r="E2278" s="221" t="s">
        <v>30</v>
      </c>
      <c r="F2278" s="223">
        <v>3300</v>
      </c>
      <c r="G2278" s="221" t="s">
        <v>48</v>
      </c>
      <c r="H2278" s="221" t="s">
        <v>48</v>
      </c>
      <c r="I2278" s="222"/>
    </row>
    <row r="2279" ht="17.25" customHeight="1" spans="1:9" x14ac:dyDescent="0.25">
      <c r="A2279" s="220">
        <v>2395</v>
      </c>
      <c r="B2279" s="221" t="s">
        <v>4971</v>
      </c>
      <c r="C2279" s="222" t="s">
        <v>4972</v>
      </c>
      <c r="D2279" s="221" t="s">
        <v>4556</v>
      </c>
      <c r="E2279" s="221" t="s">
        <v>30</v>
      </c>
      <c r="F2279" s="223">
        <v>3100</v>
      </c>
      <c r="G2279" s="221" t="s">
        <v>48</v>
      </c>
      <c r="H2279" s="221" t="s">
        <v>48</v>
      </c>
      <c r="I2279" s="222"/>
    </row>
    <row r="2280" ht="17.25" customHeight="1" spans="1:9" x14ac:dyDescent="0.25">
      <c r="A2280" s="220">
        <v>2396</v>
      </c>
      <c r="B2280" s="221" t="s">
        <v>4973</v>
      </c>
      <c r="C2280" s="222" t="s">
        <v>4974</v>
      </c>
      <c r="D2280" s="221" t="s">
        <v>4556</v>
      </c>
      <c r="E2280" s="221" t="s">
        <v>30</v>
      </c>
      <c r="F2280" s="223">
        <v>3100</v>
      </c>
      <c r="G2280" s="221" t="s">
        <v>48</v>
      </c>
      <c r="H2280" s="221" t="s">
        <v>48</v>
      </c>
      <c r="I2280" s="222"/>
    </row>
    <row r="2281" ht="17.25" customHeight="1" spans="1:9" x14ac:dyDescent="0.25">
      <c r="A2281" s="220">
        <v>2397</v>
      </c>
      <c r="B2281" s="221" t="s">
        <v>4975</v>
      </c>
      <c r="C2281" s="222" t="s">
        <v>4976</v>
      </c>
      <c r="D2281" s="221" t="s">
        <v>4556</v>
      </c>
      <c r="E2281" s="221" t="s">
        <v>30</v>
      </c>
      <c r="F2281" s="223">
        <v>3100</v>
      </c>
      <c r="G2281" s="221" t="s">
        <v>48</v>
      </c>
      <c r="H2281" s="221" t="s">
        <v>48</v>
      </c>
      <c r="I2281" s="222"/>
    </row>
    <row r="2282" ht="17.25" customHeight="1" spans="1:9" x14ac:dyDescent="0.25">
      <c r="A2282" s="220">
        <v>2398</v>
      </c>
      <c r="B2282" s="221" t="s">
        <v>4977</v>
      </c>
      <c r="C2282" s="222" t="s">
        <v>4978</v>
      </c>
      <c r="D2282" s="221" t="s">
        <v>4556</v>
      </c>
      <c r="E2282" s="221" t="s">
        <v>30</v>
      </c>
      <c r="F2282" s="223">
        <v>3100</v>
      </c>
      <c r="G2282" s="221" t="s">
        <v>48</v>
      </c>
      <c r="H2282" s="221" t="s">
        <v>48</v>
      </c>
      <c r="I2282" s="222"/>
    </row>
    <row r="2283" ht="17.25" customHeight="1" spans="1:9" x14ac:dyDescent="0.25">
      <c r="A2283" s="220">
        <v>2399</v>
      </c>
      <c r="B2283" s="221" t="s">
        <v>4979</v>
      </c>
      <c r="C2283" s="222" t="s">
        <v>4980</v>
      </c>
      <c r="D2283" s="221" t="s">
        <v>1494</v>
      </c>
      <c r="E2283" s="221" t="s">
        <v>29</v>
      </c>
      <c r="F2283" s="223">
        <v>10000</v>
      </c>
      <c r="G2283" s="221" t="s">
        <v>71</v>
      </c>
      <c r="H2283" s="221" t="s">
        <v>71</v>
      </c>
      <c r="I2283" s="222"/>
    </row>
    <row r="2284" ht="17.25" customHeight="1" spans="1:9" x14ac:dyDescent="0.25">
      <c r="A2284" s="220">
        <v>2400</v>
      </c>
      <c r="B2284" s="221" t="s">
        <v>4981</v>
      </c>
      <c r="C2284" s="222" t="s">
        <v>4982</v>
      </c>
      <c r="D2284" s="221" t="s">
        <v>1535</v>
      </c>
      <c r="E2284" s="221" t="s">
        <v>29</v>
      </c>
      <c r="F2284" s="223">
        <v>6300</v>
      </c>
      <c r="G2284" s="221" t="s">
        <v>71</v>
      </c>
      <c r="H2284" s="221" t="s">
        <v>71</v>
      </c>
      <c r="I2284" s="222"/>
    </row>
    <row r="2285" ht="17.25" customHeight="1" spans="1:9" x14ac:dyDescent="0.25">
      <c r="A2285" s="220">
        <v>2401</v>
      </c>
      <c r="B2285" s="221" t="s">
        <v>4983</v>
      </c>
      <c r="C2285" s="222" t="s">
        <v>4984</v>
      </c>
      <c r="D2285" s="221" t="s">
        <v>44</v>
      </c>
      <c r="E2285" s="221" t="s">
        <v>27</v>
      </c>
      <c r="F2285" s="223">
        <v>0</v>
      </c>
      <c r="G2285" s="221" t="s">
        <v>48</v>
      </c>
      <c r="H2285" s="221" t="s">
        <v>48</v>
      </c>
      <c r="I2285" s="222"/>
    </row>
    <row r="2286" ht="17.25" customHeight="1" spans="1:9" x14ac:dyDescent="0.25">
      <c r="A2286" s="220">
        <v>2402</v>
      </c>
      <c r="B2286" s="221" t="s">
        <v>4985</v>
      </c>
      <c r="C2286" s="222" t="s">
        <v>4986</v>
      </c>
      <c r="D2286" s="221" t="s">
        <v>44</v>
      </c>
      <c r="E2286" s="221" t="s">
        <v>27</v>
      </c>
      <c r="F2286" s="223">
        <v>0</v>
      </c>
      <c r="G2286" s="221" t="s">
        <v>48</v>
      </c>
      <c r="H2286" s="221" t="s">
        <v>48</v>
      </c>
      <c r="I2286" s="222"/>
    </row>
    <row r="2287" ht="17.25" customHeight="1" spans="1:9" x14ac:dyDescent="0.25">
      <c r="A2287" s="220">
        <v>2403</v>
      </c>
      <c r="B2287" s="221" t="s">
        <v>4987</v>
      </c>
      <c r="C2287" s="222" t="s">
        <v>4988</v>
      </c>
      <c r="D2287" s="221" t="s">
        <v>746</v>
      </c>
      <c r="E2287" s="221" t="s">
        <v>27</v>
      </c>
      <c r="F2287" s="223">
        <v>0</v>
      </c>
      <c r="G2287" s="221" t="s">
        <v>48</v>
      </c>
      <c r="H2287" s="221" t="s">
        <v>48</v>
      </c>
      <c r="I2287" s="222" t="s">
        <v>747</v>
      </c>
    </row>
    <row r="2288" ht="17.25" customHeight="1" spans="1:9" x14ac:dyDescent="0.25">
      <c r="A2288" s="220">
        <v>2404</v>
      </c>
      <c r="B2288" s="221" t="s">
        <v>4989</v>
      </c>
      <c r="C2288" s="222" t="s">
        <v>4990</v>
      </c>
      <c r="D2288" s="221" t="s">
        <v>2320</v>
      </c>
      <c r="E2288" s="221" t="s">
        <v>27</v>
      </c>
      <c r="F2288" s="223">
        <v>0</v>
      </c>
      <c r="G2288" s="221" t="s">
        <v>48</v>
      </c>
      <c r="H2288" s="221" t="s">
        <v>48</v>
      </c>
      <c r="I2288" s="222"/>
    </row>
    <row r="2289" ht="17.25" customHeight="1" spans="1:9" x14ac:dyDescent="0.25">
      <c r="A2289" s="220">
        <v>2405</v>
      </c>
      <c r="B2289" s="221" t="s">
        <v>4991</v>
      </c>
      <c r="C2289" s="222" t="s">
        <v>4992</v>
      </c>
      <c r="D2289" s="221" t="s">
        <v>205</v>
      </c>
      <c r="E2289" s="221" t="s">
        <v>30</v>
      </c>
      <c r="F2289" s="223">
        <v>8500</v>
      </c>
      <c r="G2289" s="221" t="s">
        <v>71</v>
      </c>
      <c r="H2289" s="221" t="s">
        <v>71</v>
      </c>
      <c r="I2289" s="222"/>
    </row>
    <row r="2290" ht="17.25" customHeight="1" spans="1:9" x14ac:dyDescent="0.25">
      <c r="A2290" s="220">
        <v>2406</v>
      </c>
      <c r="B2290" s="221" t="s">
        <v>4993</v>
      </c>
      <c r="C2290" s="222" t="s">
        <v>4994</v>
      </c>
      <c r="D2290" s="221" t="s">
        <v>70</v>
      </c>
      <c r="E2290" s="221" t="s">
        <v>395</v>
      </c>
      <c r="F2290" s="223">
        <v>0</v>
      </c>
      <c r="G2290" s="221" t="s">
        <v>46</v>
      </c>
      <c r="H2290" s="221" t="s">
        <v>71</v>
      </c>
      <c r="I2290" s="222"/>
    </row>
    <row r="2291" ht="17.25" customHeight="1" spans="1:9" x14ac:dyDescent="0.25">
      <c r="A2291" s="220">
        <v>2408</v>
      </c>
      <c r="B2291" s="221" t="s">
        <v>4995</v>
      </c>
      <c r="C2291" s="222" t="s">
        <v>4996</v>
      </c>
      <c r="D2291" s="221" t="s">
        <v>205</v>
      </c>
      <c r="E2291" s="221" t="s">
        <v>30</v>
      </c>
      <c r="F2291" s="223">
        <v>8500</v>
      </c>
      <c r="G2291" s="221" t="s">
        <v>71</v>
      </c>
      <c r="H2291" s="221" t="s">
        <v>71</v>
      </c>
      <c r="I2291" s="222"/>
    </row>
    <row r="2292" ht="17.25" customHeight="1" spans="1:9" x14ac:dyDescent="0.25">
      <c r="A2292" s="220">
        <v>2409</v>
      </c>
      <c r="B2292" s="221" t="s">
        <v>4997</v>
      </c>
      <c r="C2292" s="222" t="s">
        <v>4998</v>
      </c>
      <c r="D2292" s="221" t="s">
        <v>205</v>
      </c>
      <c r="E2292" s="221" t="s">
        <v>30</v>
      </c>
      <c r="F2292" s="223">
        <v>8500</v>
      </c>
      <c r="G2292" s="221" t="s">
        <v>71</v>
      </c>
      <c r="H2292" s="221" t="s">
        <v>71</v>
      </c>
      <c r="I2292" s="222"/>
    </row>
    <row r="2293" ht="17.25" customHeight="1" spans="1:9" x14ac:dyDescent="0.25">
      <c r="A2293" s="220">
        <v>2410</v>
      </c>
      <c r="B2293" s="221" t="s">
        <v>4999</v>
      </c>
      <c r="C2293" s="222" t="s">
        <v>5000</v>
      </c>
      <c r="D2293" s="221" t="s">
        <v>205</v>
      </c>
      <c r="E2293" s="221" t="s">
        <v>30</v>
      </c>
      <c r="F2293" s="223">
        <v>8500</v>
      </c>
      <c r="G2293" s="221" t="s">
        <v>71</v>
      </c>
      <c r="H2293" s="221" t="s">
        <v>71</v>
      </c>
      <c r="I2293" s="222"/>
    </row>
    <row r="2294" ht="17.25" customHeight="1" spans="1:9" x14ac:dyDescent="0.25">
      <c r="A2294" s="220">
        <v>2411</v>
      </c>
      <c r="B2294" s="221" t="s">
        <v>5001</v>
      </c>
      <c r="C2294" s="222" t="s">
        <v>5002</v>
      </c>
      <c r="D2294" s="221" t="s">
        <v>205</v>
      </c>
      <c r="E2294" s="221" t="s">
        <v>30</v>
      </c>
      <c r="F2294" s="223">
        <v>8500</v>
      </c>
      <c r="G2294" s="221" t="s">
        <v>71</v>
      </c>
      <c r="H2294" s="221" t="s">
        <v>71</v>
      </c>
      <c r="I2294" s="222"/>
    </row>
    <row r="2295" ht="17.25" customHeight="1" spans="1:9" x14ac:dyDescent="0.25">
      <c r="A2295" s="220">
        <v>2412</v>
      </c>
      <c r="B2295" s="221" t="s">
        <v>5003</v>
      </c>
      <c r="C2295" s="222" t="s">
        <v>5004</v>
      </c>
      <c r="D2295" s="221" t="s">
        <v>70</v>
      </c>
      <c r="E2295" s="221" t="s">
        <v>30</v>
      </c>
      <c r="F2295" s="223">
        <v>7000</v>
      </c>
      <c r="G2295" s="221" t="s">
        <v>71</v>
      </c>
      <c r="H2295" s="221" t="s">
        <v>71</v>
      </c>
      <c r="I2295" s="222"/>
    </row>
    <row r="2296" ht="17.25" customHeight="1" spans="1:9" x14ac:dyDescent="0.25">
      <c r="A2296" s="220">
        <v>2413</v>
      </c>
      <c r="B2296" s="221" t="s">
        <v>5005</v>
      </c>
      <c r="C2296" s="222" t="s">
        <v>5006</v>
      </c>
      <c r="D2296" s="221" t="s">
        <v>70</v>
      </c>
      <c r="E2296" s="221" t="s">
        <v>30</v>
      </c>
      <c r="F2296" s="223">
        <v>7000</v>
      </c>
      <c r="G2296" s="221" t="s">
        <v>71</v>
      </c>
      <c r="H2296" s="221" t="s">
        <v>71</v>
      </c>
      <c r="I2296" s="222"/>
    </row>
    <row r="2297" ht="17.25" customHeight="1" spans="1:9" x14ac:dyDescent="0.25">
      <c r="A2297" s="220">
        <v>2414</v>
      </c>
      <c r="B2297" s="221" t="s">
        <v>5007</v>
      </c>
      <c r="C2297" s="222" t="s">
        <v>5008</v>
      </c>
      <c r="D2297" s="221" t="s">
        <v>70</v>
      </c>
      <c r="E2297" s="221" t="s">
        <v>30</v>
      </c>
      <c r="F2297" s="223">
        <v>7000</v>
      </c>
      <c r="G2297" s="221" t="s">
        <v>71</v>
      </c>
      <c r="H2297" s="221" t="s">
        <v>71</v>
      </c>
      <c r="I2297" s="222"/>
    </row>
    <row r="2298" ht="17.25" customHeight="1" spans="1:9" x14ac:dyDescent="0.25">
      <c r="A2298" s="220">
        <v>2415</v>
      </c>
      <c r="B2298" s="221" t="s">
        <v>5009</v>
      </c>
      <c r="C2298" s="222" t="s">
        <v>5010</v>
      </c>
      <c r="D2298" s="221" t="s">
        <v>70</v>
      </c>
      <c r="E2298" s="221" t="s">
        <v>30</v>
      </c>
      <c r="F2298" s="223">
        <v>7000</v>
      </c>
      <c r="G2298" s="221" t="s">
        <v>71</v>
      </c>
      <c r="H2298" s="221" t="s">
        <v>71</v>
      </c>
      <c r="I2298" s="222"/>
    </row>
    <row r="2299" ht="17.25" customHeight="1" spans="1:9" x14ac:dyDescent="0.25">
      <c r="A2299" s="220">
        <v>2416</v>
      </c>
      <c r="B2299" s="221" t="s">
        <v>5011</v>
      </c>
      <c r="C2299" s="222" t="s">
        <v>5012</v>
      </c>
      <c r="D2299" s="221" t="s">
        <v>70</v>
      </c>
      <c r="E2299" s="221" t="s">
        <v>30</v>
      </c>
      <c r="F2299" s="223">
        <v>7000</v>
      </c>
      <c r="G2299" s="221" t="s">
        <v>71</v>
      </c>
      <c r="H2299" s="221" t="s">
        <v>71</v>
      </c>
      <c r="I2299" s="222"/>
    </row>
    <row r="2300" ht="17.25" customHeight="1" spans="1:9" x14ac:dyDescent="0.25">
      <c r="A2300" s="220">
        <v>2417</v>
      </c>
      <c r="B2300" s="221" t="s">
        <v>5013</v>
      </c>
      <c r="C2300" s="222" t="s">
        <v>5014</v>
      </c>
      <c r="D2300" s="221" t="s">
        <v>70</v>
      </c>
      <c r="E2300" s="221" t="s">
        <v>30</v>
      </c>
      <c r="F2300" s="223">
        <v>7000</v>
      </c>
      <c r="G2300" s="221" t="s">
        <v>71</v>
      </c>
      <c r="H2300" s="221" t="s">
        <v>71</v>
      </c>
      <c r="I2300" s="222"/>
    </row>
    <row r="2301" ht="17.25" customHeight="1" spans="1:9" x14ac:dyDescent="0.25">
      <c r="A2301" s="220">
        <v>2418</v>
      </c>
      <c r="B2301" s="221" t="s">
        <v>5015</v>
      </c>
      <c r="C2301" s="222" t="s">
        <v>5016</v>
      </c>
      <c r="D2301" s="221" t="s">
        <v>70</v>
      </c>
      <c r="E2301" s="221" t="s">
        <v>395</v>
      </c>
      <c r="F2301" s="223">
        <v>0</v>
      </c>
      <c r="G2301" s="221" t="s">
        <v>46</v>
      </c>
      <c r="H2301" s="221" t="s">
        <v>71</v>
      </c>
      <c r="I2301" s="222"/>
    </row>
    <row r="2302" ht="17.25" customHeight="1" spans="1:9" x14ac:dyDescent="0.25">
      <c r="A2302" s="220">
        <v>2419</v>
      </c>
      <c r="B2302" s="221" t="s">
        <v>5017</v>
      </c>
      <c r="C2302" s="222" t="s">
        <v>5018</v>
      </c>
      <c r="D2302" s="221" t="s">
        <v>92</v>
      </c>
      <c r="E2302" s="221" t="s">
        <v>395</v>
      </c>
      <c r="F2302" s="223">
        <v>650</v>
      </c>
      <c r="G2302" s="221" t="s">
        <v>71</v>
      </c>
      <c r="H2302" s="221" t="s">
        <v>48</v>
      </c>
      <c r="I2302" s="222"/>
    </row>
    <row r="2303" ht="17.25" customHeight="1" spans="1:9" x14ac:dyDescent="0.25">
      <c r="A2303" s="220">
        <v>2420</v>
      </c>
      <c r="B2303" s="221" t="s">
        <v>5019</v>
      </c>
      <c r="C2303" s="222" t="s">
        <v>5020</v>
      </c>
      <c r="D2303" s="221" t="s">
        <v>70</v>
      </c>
      <c r="E2303" s="221" t="s">
        <v>395</v>
      </c>
      <c r="F2303" s="223">
        <v>0</v>
      </c>
      <c r="G2303" s="221" t="s">
        <v>46</v>
      </c>
      <c r="H2303" s="221" t="s">
        <v>46</v>
      </c>
      <c r="I2303" s="222" t="s">
        <v>5021</v>
      </c>
    </row>
    <row r="2304" ht="17.25" customHeight="1" spans="1:9" x14ac:dyDescent="0.25">
      <c r="A2304" s="220">
        <v>2421</v>
      </c>
      <c r="B2304" s="221" t="s">
        <v>5022</v>
      </c>
      <c r="C2304" s="222" t="s">
        <v>5023</v>
      </c>
      <c r="D2304" s="221" t="s">
        <v>205</v>
      </c>
      <c r="E2304" s="221" t="s">
        <v>395</v>
      </c>
      <c r="F2304" s="223">
        <v>0</v>
      </c>
      <c r="G2304" s="221" t="s">
        <v>71</v>
      </c>
      <c r="H2304" s="221" t="s">
        <v>71</v>
      </c>
      <c r="I2304" s="222"/>
    </row>
    <row r="2305" ht="17.25" customHeight="1" spans="1:9" x14ac:dyDescent="0.25">
      <c r="A2305" s="220">
        <v>2422</v>
      </c>
      <c r="B2305" s="221" t="s">
        <v>5024</v>
      </c>
      <c r="C2305" s="222" t="s">
        <v>5025</v>
      </c>
      <c r="D2305" s="221" t="s">
        <v>205</v>
      </c>
      <c r="E2305" s="221" t="s">
        <v>395</v>
      </c>
      <c r="F2305" s="223">
        <v>0</v>
      </c>
      <c r="G2305" s="221" t="s">
        <v>71</v>
      </c>
      <c r="H2305" s="221" t="s">
        <v>71</v>
      </c>
      <c r="I2305" s="222" t="s">
        <v>5026</v>
      </c>
    </row>
    <row r="2306" ht="17.25" customHeight="1" spans="1:9" x14ac:dyDescent="0.25">
      <c r="A2306" s="220">
        <v>2423</v>
      </c>
      <c r="B2306" s="221" t="s">
        <v>5027</v>
      </c>
      <c r="C2306" s="222" t="s">
        <v>5028</v>
      </c>
      <c r="D2306" s="221" t="s">
        <v>205</v>
      </c>
      <c r="E2306" s="221" t="s">
        <v>395</v>
      </c>
      <c r="F2306" s="223">
        <v>0</v>
      </c>
      <c r="G2306" s="221" t="s">
        <v>71</v>
      </c>
      <c r="H2306" s="221" t="s">
        <v>71</v>
      </c>
      <c r="I2306" s="222"/>
    </row>
    <row r="2307" ht="17.25" customHeight="1" spans="1:9" x14ac:dyDescent="0.25">
      <c r="A2307" s="220">
        <v>2424</v>
      </c>
      <c r="B2307" s="221" t="s">
        <v>5029</v>
      </c>
      <c r="C2307" s="222" t="s">
        <v>5030</v>
      </c>
      <c r="D2307" s="221" t="s">
        <v>205</v>
      </c>
      <c r="E2307" s="221" t="s">
        <v>395</v>
      </c>
      <c r="F2307" s="223">
        <v>0</v>
      </c>
      <c r="G2307" s="221" t="s">
        <v>71</v>
      </c>
      <c r="H2307" s="221" t="s">
        <v>71</v>
      </c>
      <c r="I2307" s="222"/>
    </row>
    <row r="2308" ht="17.25" customHeight="1" spans="1:9" x14ac:dyDescent="0.25">
      <c r="A2308" s="220">
        <v>2427</v>
      </c>
      <c r="B2308" s="221" t="s">
        <v>5031</v>
      </c>
      <c r="C2308" s="222" t="s">
        <v>5032</v>
      </c>
      <c r="D2308" s="221" t="s">
        <v>70</v>
      </c>
      <c r="E2308" s="221" t="s">
        <v>395</v>
      </c>
      <c r="F2308" s="223">
        <v>0</v>
      </c>
      <c r="G2308" s="221" t="s">
        <v>46</v>
      </c>
      <c r="H2308" s="221" t="s">
        <v>71</v>
      </c>
      <c r="I2308" s="222"/>
    </row>
    <row r="2309" ht="17.25" customHeight="1" spans="1:9" x14ac:dyDescent="0.25">
      <c r="A2309" s="220">
        <v>2428</v>
      </c>
      <c r="B2309" s="221" t="s">
        <v>5033</v>
      </c>
      <c r="C2309" s="222" t="s">
        <v>5034</v>
      </c>
      <c r="D2309" s="221" t="s">
        <v>70</v>
      </c>
      <c r="E2309" s="221" t="s">
        <v>395</v>
      </c>
      <c r="F2309" s="223">
        <v>0</v>
      </c>
      <c r="G2309" s="221" t="s">
        <v>46</v>
      </c>
      <c r="H2309" s="221" t="s">
        <v>71</v>
      </c>
      <c r="I2309" s="222"/>
    </row>
    <row r="2310" ht="17.25" customHeight="1" spans="1:9" x14ac:dyDescent="0.25">
      <c r="A2310" s="220">
        <v>2429</v>
      </c>
      <c r="B2310" s="221" t="s">
        <v>5035</v>
      </c>
      <c r="C2310" s="222" t="s">
        <v>5036</v>
      </c>
      <c r="D2310" s="221" t="s">
        <v>92</v>
      </c>
      <c r="E2310" s="221" t="s">
        <v>395</v>
      </c>
      <c r="F2310" s="223">
        <v>650</v>
      </c>
      <c r="G2310" s="221" t="s">
        <v>71</v>
      </c>
      <c r="H2310" s="221" t="s">
        <v>48</v>
      </c>
      <c r="I2310" s="222"/>
    </row>
    <row r="2311" ht="17.25" customHeight="1" spans="1:9" x14ac:dyDescent="0.25">
      <c r="A2311" s="220">
        <v>2430</v>
      </c>
      <c r="B2311" s="221" t="s">
        <v>5037</v>
      </c>
      <c r="C2311" s="222" t="s">
        <v>5038</v>
      </c>
      <c r="D2311" s="221" t="s">
        <v>205</v>
      </c>
      <c r="E2311" s="221" t="s">
        <v>395</v>
      </c>
      <c r="F2311" s="223">
        <v>0</v>
      </c>
      <c r="G2311" s="221" t="s">
        <v>71</v>
      </c>
      <c r="H2311" s="221" t="s">
        <v>71</v>
      </c>
      <c r="I2311" s="222" t="s">
        <v>5039</v>
      </c>
    </row>
    <row r="2312" ht="17.25" customHeight="1" spans="1:9" x14ac:dyDescent="0.25">
      <c r="A2312" s="220">
        <v>2431</v>
      </c>
      <c r="B2312" s="221" t="s">
        <v>5040</v>
      </c>
      <c r="C2312" s="222" t="s">
        <v>5041</v>
      </c>
      <c r="D2312" s="221" t="s">
        <v>205</v>
      </c>
      <c r="E2312" s="221" t="s">
        <v>395</v>
      </c>
      <c r="F2312" s="223">
        <v>0</v>
      </c>
      <c r="G2312" s="221" t="s">
        <v>71</v>
      </c>
      <c r="H2312" s="221" t="s">
        <v>71</v>
      </c>
      <c r="I2312" s="222" t="s">
        <v>5042</v>
      </c>
    </row>
    <row r="2313" ht="17.25" customHeight="1" spans="1:9" x14ac:dyDescent="0.25">
      <c r="A2313" s="220">
        <v>2432</v>
      </c>
      <c r="B2313" s="221" t="s">
        <v>5043</v>
      </c>
      <c r="C2313" s="222" t="s">
        <v>5044</v>
      </c>
      <c r="D2313" s="221" t="s">
        <v>205</v>
      </c>
      <c r="E2313" s="221" t="s">
        <v>395</v>
      </c>
      <c r="F2313" s="223">
        <v>0</v>
      </c>
      <c r="G2313" s="221" t="s">
        <v>71</v>
      </c>
      <c r="H2313" s="221" t="s">
        <v>71</v>
      </c>
      <c r="I2313" s="222" t="s">
        <v>5042</v>
      </c>
    </row>
    <row r="2314" ht="17.25" customHeight="1" spans="1:9" x14ac:dyDescent="0.25">
      <c r="A2314" s="220">
        <v>2433</v>
      </c>
      <c r="B2314" s="221" t="s">
        <v>5045</v>
      </c>
      <c r="C2314" s="222" t="s">
        <v>5046</v>
      </c>
      <c r="D2314" s="221" t="s">
        <v>205</v>
      </c>
      <c r="E2314" s="221" t="s">
        <v>395</v>
      </c>
      <c r="F2314" s="223">
        <v>0</v>
      </c>
      <c r="G2314" s="221" t="s">
        <v>71</v>
      </c>
      <c r="H2314" s="221" t="s">
        <v>71</v>
      </c>
      <c r="I2314" s="222" t="s">
        <v>5042</v>
      </c>
    </row>
    <row r="2315" ht="17.25" customHeight="1" spans="1:9" x14ac:dyDescent="0.25">
      <c r="A2315" s="220">
        <v>2434</v>
      </c>
      <c r="B2315" s="221" t="s">
        <v>5047</v>
      </c>
      <c r="C2315" s="222" t="s">
        <v>5048</v>
      </c>
      <c r="D2315" s="221" t="s">
        <v>205</v>
      </c>
      <c r="E2315" s="221" t="s">
        <v>395</v>
      </c>
      <c r="F2315" s="223">
        <v>0</v>
      </c>
      <c r="G2315" s="221" t="s">
        <v>71</v>
      </c>
      <c r="H2315" s="221" t="s">
        <v>71</v>
      </c>
      <c r="I2315" s="222" t="s">
        <v>5049</v>
      </c>
    </row>
    <row r="2316" ht="17.25" customHeight="1" spans="1:9" x14ac:dyDescent="0.25">
      <c r="A2316" s="220">
        <v>2435</v>
      </c>
      <c r="B2316" s="221" t="s">
        <v>5050</v>
      </c>
      <c r="C2316" s="222" t="s">
        <v>5051</v>
      </c>
      <c r="D2316" s="221" t="s">
        <v>205</v>
      </c>
      <c r="E2316" s="221" t="s">
        <v>395</v>
      </c>
      <c r="F2316" s="223">
        <v>0</v>
      </c>
      <c r="G2316" s="221" t="s">
        <v>71</v>
      </c>
      <c r="H2316" s="221" t="s">
        <v>71</v>
      </c>
      <c r="I2316" s="222" t="s">
        <v>5049</v>
      </c>
    </row>
    <row r="2317" ht="17.25" customHeight="1" spans="1:9" x14ac:dyDescent="0.25">
      <c r="A2317" s="220">
        <v>2436</v>
      </c>
      <c r="B2317" s="221" t="s">
        <v>5052</v>
      </c>
      <c r="C2317" s="222" t="s">
        <v>5053</v>
      </c>
      <c r="D2317" s="221" t="s">
        <v>205</v>
      </c>
      <c r="E2317" s="221" t="s">
        <v>395</v>
      </c>
      <c r="F2317" s="223">
        <v>0</v>
      </c>
      <c r="G2317" s="221" t="s">
        <v>71</v>
      </c>
      <c r="H2317" s="221" t="s">
        <v>48</v>
      </c>
      <c r="I2317" s="222"/>
    </row>
    <row r="2318" ht="17.25" customHeight="1" spans="1:9" x14ac:dyDescent="0.25">
      <c r="A2318" s="220">
        <v>2437</v>
      </c>
      <c r="B2318" s="221" t="s">
        <v>5054</v>
      </c>
      <c r="C2318" s="222" t="s">
        <v>5055</v>
      </c>
      <c r="D2318" s="221" t="s">
        <v>360</v>
      </c>
      <c r="E2318" s="221" t="s">
        <v>27</v>
      </c>
      <c r="F2318" s="223">
        <v>0</v>
      </c>
      <c r="G2318" s="221" t="s">
        <v>48</v>
      </c>
      <c r="H2318" s="221" t="s">
        <v>48</v>
      </c>
      <c r="I2318" s="222"/>
    </row>
    <row r="2319" ht="17.25" customHeight="1" spans="1:9" x14ac:dyDescent="0.25">
      <c r="A2319" s="220">
        <v>2438</v>
      </c>
      <c r="B2319" s="221" t="s">
        <v>5056</v>
      </c>
      <c r="C2319" s="222" t="s">
        <v>5057</v>
      </c>
      <c r="D2319" s="221" t="s">
        <v>573</v>
      </c>
      <c r="E2319" s="221" t="s">
        <v>27</v>
      </c>
      <c r="F2319" s="223">
        <v>0</v>
      </c>
      <c r="G2319" s="221" t="s">
        <v>48</v>
      </c>
      <c r="H2319" s="221" t="s">
        <v>48</v>
      </c>
      <c r="I2319" s="222"/>
    </row>
    <row r="2320" ht="17.25" customHeight="1" spans="1:9" x14ac:dyDescent="0.25">
      <c r="A2320" s="220">
        <v>2439</v>
      </c>
      <c r="B2320" s="221" t="s">
        <v>5058</v>
      </c>
      <c r="C2320" s="222" t="s">
        <v>5059</v>
      </c>
      <c r="D2320" s="221" t="s">
        <v>205</v>
      </c>
      <c r="E2320" s="221" t="s">
        <v>30</v>
      </c>
      <c r="F2320" s="223">
        <v>8500</v>
      </c>
      <c r="G2320" s="221" t="s">
        <v>71</v>
      </c>
      <c r="H2320" s="221" t="s">
        <v>71</v>
      </c>
      <c r="I2320" s="222"/>
    </row>
    <row r="2321" ht="17.25" customHeight="1" spans="1:9" x14ac:dyDescent="0.25">
      <c r="A2321" s="220">
        <v>2440</v>
      </c>
      <c r="B2321" s="221" t="s">
        <v>5060</v>
      </c>
      <c r="C2321" s="222" t="s">
        <v>5061</v>
      </c>
      <c r="D2321" s="221" t="s">
        <v>360</v>
      </c>
      <c r="E2321" s="221" t="s">
        <v>27</v>
      </c>
      <c r="F2321" s="223">
        <v>0</v>
      </c>
      <c r="G2321" s="221" t="s">
        <v>48</v>
      </c>
      <c r="H2321" s="221" t="s">
        <v>48</v>
      </c>
      <c r="I2321" s="222"/>
    </row>
    <row r="2322" ht="17.25" customHeight="1" spans="1:9" x14ac:dyDescent="0.25">
      <c r="A2322" s="220">
        <v>2441</v>
      </c>
      <c r="B2322" s="221" t="s">
        <v>5062</v>
      </c>
      <c r="C2322" s="222" t="s">
        <v>5063</v>
      </c>
      <c r="D2322" s="221" t="s">
        <v>1999</v>
      </c>
      <c r="E2322" s="221" t="s">
        <v>27</v>
      </c>
      <c r="F2322" s="223">
        <v>0</v>
      </c>
      <c r="G2322" s="221" t="s">
        <v>71</v>
      </c>
      <c r="H2322" s="221" t="s">
        <v>71</v>
      </c>
      <c r="I2322" s="222"/>
    </row>
    <row r="2323" ht="17.25" customHeight="1" spans="1:9" x14ac:dyDescent="0.25">
      <c r="A2323" s="220">
        <v>2442</v>
      </c>
      <c r="B2323" s="221" t="s">
        <v>5064</v>
      </c>
      <c r="C2323" s="222" t="s">
        <v>5065</v>
      </c>
      <c r="D2323" s="221" t="s">
        <v>1999</v>
      </c>
      <c r="E2323" s="221" t="s">
        <v>27</v>
      </c>
      <c r="F2323" s="223">
        <v>0</v>
      </c>
      <c r="G2323" s="221" t="s">
        <v>71</v>
      </c>
      <c r="H2323" s="221" t="s">
        <v>71</v>
      </c>
      <c r="I2323" s="222" t="s">
        <v>2043</v>
      </c>
    </row>
    <row r="2324" ht="17.25" customHeight="1" spans="1:9" x14ac:dyDescent="0.25">
      <c r="A2324" s="220">
        <v>2444</v>
      </c>
      <c r="B2324" s="221" t="s">
        <v>5066</v>
      </c>
      <c r="C2324" s="222" t="s">
        <v>5067</v>
      </c>
      <c r="D2324" s="221" t="s">
        <v>44</v>
      </c>
      <c r="E2324" s="221" t="s">
        <v>27</v>
      </c>
      <c r="F2324" s="223">
        <v>0</v>
      </c>
      <c r="G2324" s="221" t="s">
        <v>48</v>
      </c>
      <c r="H2324" s="221" t="s">
        <v>48</v>
      </c>
      <c r="I2324" s="222" t="s">
        <v>2126</v>
      </c>
    </row>
    <row r="2325" ht="17.25" customHeight="1" spans="1:9" x14ac:dyDescent="0.25">
      <c r="A2325" s="220">
        <v>2445</v>
      </c>
      <c r="B2325" s="221" t="s">
        <v>5068</v>
      </c>
      <c r="C2325" s="222" t="s">
        <v>5069</v>
      </c>
      <c r="D2325" s="221" t="s">
        <v>1447</v>
      </c>
      <c r="E2325" s="221" t="s">
        <v>27</v>
      </c>
      <c r="F2325" s="223">
        <v>0</v>
      </c>
      <c r="G2325" s="221" t="s">
        <v>48</v>
      </c>
      <c r="H2325" s="221" t="s">
        <v>48</v>
      </c>
      <c r="I2325" s="222"/>
    </row>
    <row r="2326" ht="17.25" customHeight="1" spans="1:9" x14ac:dyDescent="0.25">
      <c r="A2326" s="220">
        <v>2446</v>
      </c>
      <c r="B2326" s="221" t="s">
        <v>5070</v>
      </c>
      <c r="C2326" s="222" t="s">
        <v>5071</v>
      </c>
      <c r="D2326" s="221" t="s">
        <v>205</v>
      </c>
      <c r="E2326" s="221" t="s">
        <v>30</v>
      </c>
      <c r="F2326" s="223">
        <v>8500</v>
      </c>
      <c r="G2326" s="221" t="s">
        <v>71</v>
      </c>
      <c r="H2326" s="221" t="s">
        <v>71</v>
      </c>
      <c r="I2326" s="222"/>
    </row>
    <row r="2327" ht="17.25" customHeight="1" spans="1:9" x14ac:dyDescent="0.25">
      <c r="A2327" s="220">
        <v>2447</v>
      </c>
      <c r="B2327" s="221" t="s">
        <v>5072</v>
      </c>
      <c r="C2327" s="222" t="s">
        <v>5073</v>
      </c>
      <c r="D2327" s="221" t="s">
        <v>70</v>
      </c>
      <c r="E2327" s="221" t="s">
        <v>30</v>
      </c>
      <c r="F2327" s="223">
        <v>0</v>
      </c>
      <c r="G2327" s="221" t="s">
        <v>71</v>
      </c>
      <c r="H2327" s="221" t="s">
        <v>71</v>
      </c>
      <c r="I2327" s="222"/>
    </row>
    <row r="2328" ht="17.25" customHeight="1" spans="1:9" x14ac:dyDescent="0.25">
      <c r="A2328" s="220">
        <v>2448</v>
      </c>
      <c r="B2328" s="221" t="s">
        <v>5074</v>
      </c>
      <c r="C2328" s="222" t="s">
        <v>5075</v>
      </c>
      <c r="D2328" s="221" t="s">
        <v>4556</v>
      </c>
      <c r="E2328" s="221" t="s">
        <v>30</v>
      </c>
      <c r="F2328" s="223">
        <v>9500</v>
      </c>
      <c r="G2328" s="221" t="s">
        <v>71</v>
      </c>
      <c r="H2328" s="221" t="s">
        <v>71</v>
      </c>
      <c r="I2328" s="222"/>
    </row>
    <row r="2329" ht="17.25" customHeight="1" spans="1:9" x14ac:dyDescent="0.25">
      <c r="A2329" s="220">
        <v>2449</v>
      </c>
      <c r="B2329" s="221" t="s">
        <v>5076</v>
      </c>
      <c r="C2329" s="222" t="s">
        <v>5077</v>
      </c>
      <c r="D2329" s="221" t="s">
        <v>573</v>
      </c>
      <c r="E2329" s="221" t="s">
        <v>27</v>
      </c>
      <c r="F2329" s="223">
        <v>0</v>
      </c>
      <c r="G2329" s="221" t="s">
        <v>48</v>
      </c>
      <c r="H2329" s="221" t="s">
        <v>48</v>
      </c>
      <c r="I2329" s="222"/>
    </row>
    <row r="2330" ht="17.25" customHeight="1" spans="1:9" x14ac:dyDescent="0.25">
      <c r="A2330" s="220">
        <v>2450</v>
      </c>
      <c r="B2330" s="221" t="s">
        <v>5078</v>
      </c>
      <c r="C2330" s="222" t="s">
        <v>5079</v>
      </c>
      <c r="D2330" s="221" t="s">
        <v>92</v>
      </c>
      <c r="E2330" s="221" t="s">
        <v>395</v>
      </c>
      <c r="F2330" s="223">
        <v>650</v>
      </c>
      <c r="G2330" s="221" t="s">
        <v>71</v>
      </c>
      <c r="H2330" s="221" t="s">
        <v>48</v>
      </c>
      <c r="I2330" s="222" t="s">
        <v>5080</v>
      </c>
    </row>
    <row r="2331" ht="17.25" customHeight="1" spans="1:9" x14ac:dyDescent="0.25">
      <c r="A2331" s="220">
        <v>2451</v>
      </c>
      <c r="B2331" s="221" t="s">
        <v>5081</v>
      </c>
      <c r="C2331" s="222" t="s">
        <v>5082</v>
      </c>
      <c r="D2331" s="221" t="s">
        <v>1999</v>
      </c>
      <c r="E2331" s="221" t="s">
        <v>27</v>
      </c>
      <c r="F2331" s="223">
        <v>0</v>
      </c>
      <c r="G2331" s="221" t="s">
        <v>71</v>
      </c>
      <c r="H2331" s="221" t="s">
        <v>71</v>
      </c>
      <c r="I2331" s="222"/>
    </row>
    <row r="2332" ht="17.25" customHeight="1" spans="1:9" x14ac:dyDescent="0.25">
      <c r="A2332" s="220">
        <v>2453</v>
      </c>
      <c r="B2332" s="221" t="s">
        <v>5083</v>
      </c>
      <c r="C2332" s="222" t="s">
        <v>5084</v>
      </c>
      <c r="D2332" s="221" t="s">
        <v>70</v>
      </c>
      <c r="E2332" s="221" t="s">
        <v>395</v>
      </c>
      <c r="F2332" s="223">
        <v>0</v>
      </c>
      <c r="G2332" s="221" t="s">
        <v>46</v>
      </c>
      <c r="H2332" s="221" t="s">
        <v>71</v>
      </c>
      <c r="I2332" s="222"/>
    </row>
    <row r="2333" ht="17.25" customHeight="1" spans="1:9" x14ac:dyDescent="0.25">
      <c r="A2333" s="220">
        <v>2454</v>
      </c>
      <c r="B2333" s="221" t="s">
        <v>5085</v>
      </c>
      <c r="C2333" s="222" t="s">
        <v>5086</v>
      </c>
      <c r="D2333" s="221" t="s">
        <v>205</v>
      </c>
      <c r="E2333" s="221" t="s">
        <v>30</v>
      </c>
      <c r="F2333" s="223">
        <v>0</v>
      </c>
      <c r="G2333" s="221" t="s">
        <v>71</v>
      </c>
      <c r="H2333" s="221" t="s">
        <v>71</v>
      </c>
      <c r="I2333" s="222"/>
    </row>
    <row r="2334" ht="17.25" customHeight="1" spans="1:9" x14ac:dyDescent="0.25">
      <c r="A2334" s="220">
        <v>2455</v>
      </c>
      <c r="B2334" s="221" t="s">
        <v>5087</v>
      </c>
      <c r="C2334" s="222" t="s">
        <v>5088</v>
      </c>
      <c r="D2334" s="221" t="s">
        <v>205</v>
      </c>
      <c r="E2334" s="221" t="s">
        <v>30</v>
      </c>
      <c r="F2334" s="223">
        <v>11000</v>
      </c>
      <c r="G2334" s="221" t="s">
        <v>71</v>
      </c>
      <c r="H2334" s="221" t="s">
        <v>71</v>
      </c>
      <c r="I2334" s="222"/>
    </row>
    <row r="2335" ht="17.25" customHeight="1" spans="1:9" x14ac:dyDescent="0.25">
      <c r="A2335" s="220">
        <v>2456</v>
      </c>
      <c r="B2335" s="221" t="s">
        <v>5089</v>
      </c>
      <c r="C2335" s="222" t="s">
        <v>5090</v>
      </c>
      <c r="D2335" s="221" t="s">
        <v>92</v>
      </c>
      <c r="E2335" s="221" t="s">
        <v>395</v>
      </c>
      <c r="F2335" s="223">
        <v>650</v>
      </c>
      <c r="G2335" s="221" t="s">
        <v>46</v>
      </c>
      <c r="H2335" s="221" t="s">
        <v>48</v>
      </c>
      <c r="I2335" s="222"/>
    </row>
    <row r="2336" ht="17.25" customHeight="1" spans="1:9" x14ac:dyDescent="0.25">
      <c r="A2336" s="220">
        <v>2457</v>
      </c>
      <c r="B2336" s="221" t="s">
        <v>5091</v>
      </c>
      <c r="C2336" s="222" t="s">
        <v>5092</v>
      </c>
      <c r="D2336" s="221" t="s">
        <v>205</v>
      </c>
      <c r="E2336" s="221" t="s">
        <v>30</v>
      </c>
      <c r="F2336" s="223">
        <v>7000</v>
      </c>
      <c r="G2336" s="221" t="s">
        <v>71</v>
      </c>
      <c r="H2336" s="221" t="s">
        <v>71</v>
      </c>
      <c r="I2336" s="222"/>
    </row>
    <row r="2337" ht="17.25" customHeight="1" spans="1:9" x14ac:dyDescent="0.25">
      <c r="A2337" s="220">
        <v>2458</v>
      </c>
      <c r="B2337" s="221" t="s">
        <v>5093</v>
      </c>
      <c r="C2337" s="222" t="s">
        <v>5094</v>
      </c>
      <c r="D2337" s="221" t="s">
        <v>4434</v>
      </c>
      <c r="E2337" s="221" t="s">
        <v>38</v>
      </c>
      <c r="F2337" s="223">
        <v>0</v>
      </c>
      <c r="G2337" s="221" t="s">
        <v>48</v>
      </c>
      <c r="H2337" s="221" t="s">
        <v>48</v>
      </c>
      <c r="I2337" s="222"/>
    </row>
    <row r="2338" ht="17.25" customHeight="1" spans="1:9" x14ac:dyDescent="0.25">
      <c r="A2338" s="220">
        <v>2459</v>
      </c>
      <c r="B2338" s="221" t="s">
        <v>5095</v>
      </c>
      <c r="C2338" s="222" t="s">
        <v>5096</v>
      </c>
      <c r="D2338" s="221" t="s">
        <v>1999</v>
      </c>
      <c r="E2338" s="221" t="s">
        <v>27</v>
      </c>
      <c r="F2338" s="223">
        <v>0</v>
      </c>
      <c r="G2338" s="221" t="s">
        <v>71</v>
      </c>
      <c r="H2338" s="221" t="s">
        <v>71</v>
      </c>
      <c r="I2338" s="222" t="s">
        <v>967</v>
      </c>
    </row>
    <row r="2339" ht="17.25" customHeight="1" spans="1:9" x14ac:dyDescent="0.25">
      <c r="A2339" s="220">
        <v>2460</v>
      </c>
      <c r="B2339" s="221" t="s">
        <v>5097</v>
      </c>
      <c r="C2339" s="222" t="s">
        <v>5098</v>
      </c>
      <c r="D2339" s="221" t="s">
        <v>4556</v>
      </c>
      <c r="E2339" s="221" t="s">
        <v>30</v>
      </c>
      <c r="F2339" s="223">
        <v>0</v>
      </c>
      <c r="G2339" s="221" t="s">
        <v>71</v>
      </c>
      <c r="H2339" s="221" t="s">
        <v>71</v>
      </c>
      <c r="I2339" s="222" t="s">
        <v>4669</v>
      </c>
    </row>
    <row r="2340" ht="17.25" customHeight="1" spans="1:9" x14ac:dyDescent="0.25">
      <c r="A2340" s="220">
        <v>2461</v>
      </c>
      <c r="B2340" s="221" t="s">
        <v>5099</v>
      </c>
      <c r="C2340" s="222" t="s">
        <v>5100</v>
      </c>
      <c r="D2340" s="221" t="s">
        <v>4556</v>
      </c>
      <c r="E2340" s="221" t="s">
        <v>30</v>
      </c>
      <c r="F2340" s="223">
        <v>0</v>
      </c>
      <c r="G2340" s="221" t="s">
        <v>71</v>
      </c>
      <c r="H2340" s="221" t="s">
        <v>71</v>
      </c>
      <c r="I2340" s="222"/>
    </row>
    <row r="2341" ht="17.25" customHeight="1" spans="1:9" x14ac:dyDescent="0.25">
      <c r="A2341" s="220">
        <v>2462</v>
      </c>
      <c r="B2341" s="221" t="s">
        <v>5101</v>
      </c>
      <c r="C2341" s="222" t="s">
        <v>5102</v>
      </c>
      <c r="D2341" s="221" t="s">
        <v>205</v>
      </c>
      <c r="E2341" s="221" t="s">
        <v>30</v>
      </c>
      <c r="F2341" s="223">
        <v>0</v>
      </c>
      <c r="G2341" s="221" t="s">
        <v>71</v>
      </c>
      <c r="H2341" s="221" t="s">
        <v>71</v>
      </c>
      <c r="I2341" s="222"/>
    </row>
    <row r="2342" ht="17.25" customHeight="1" spans="1:9" x14ac:dyDescent="0.25">
      <c r="A2342" s="220">
        <v>2463</v>
      </c>
      <c r="B2342" s="221" t="s">
        <v>5103</v>
      </c>
      <c r="C2342" s="222" t="s">
        <v>5104</v>
      </c>
      <c r="D2342" s="221" t="s">
        <v>205</v>
      </c>
      <c r="E2342" s="221" t="s">
        <v>30</v>
      </c>
      <c r="F2342" s="223">
        <v>0</v>
      </c>
      <c r="G2342" s="221" t="s">
        <v>71</v>
      </c>
      <c r="H2342" s="221" t="s">
        <v>71</v>
      </c>
      <c r="I2342" s="222"/>
    </row>
    <row r="2343" ht="17.25" customHeight="1" spans="1:9" x14ac:dyDescent="0.25">
      <c r="A2343" s="220">
        <v>2464</v>
      </c>
      <c r="B2343" s="221" t="s">
        <v>5105</v>
      </c>
      <c r="C2343" s="222" t="s">
        <v>5106</v>
      </c>
      <c r="D2343" s="221" t="s">
        <v>4556</v>
      </c>
      <c r="E2343" s="221" t="s">
        <v>30</v>
      </c>
      <c r="F2343" s="223">
        <v>0</v>
      </c>
      <c r="G2343" s="221" t="s">
        <v>71</v>
      </c>
      <c r="H2343" s="221" t="s">
        <v>71</v>
      </c>
      <c r="I2343" s="222"/>
    </row>
    <row r="2344" ht="17.25" customHeight="1" spans="1:9" x14ac:dyDescent="0.25">
      <c r="A2344" s="220">
        <v>2465</v>
      </c>
      <c r="B2344" s="221" t="s">
        <v>5107</v>
      </c>
      <c r="C2344" s="222" t="s">
        <v>5108</v>
      </c>
      <c r="D2344" s="221" t="s">
        <v>205</v>
      </c>
      <c r="E2344" s="221" t="s">
        <v>30</v>
      </c>
      <c r="F2344" s="223">
        <v>0</v>
      </c>
      <c r="G2344" s="221" t="s">
        <v>71</v>
      </c>
      <c r="H2344" s="221" t="s">
        <v>71</v>
      </c>
      <c r="I2344" s="222"/>
    </row>
    <row r="2345" ht="17.25" customHeight="1" spans="1:9" x14ac:dyDescent="0.25">
      <c r="A2345" s="220">
        <v>2466</v>
      </c>
      <c r="B2345" s="221" t="s">
        <v>5109</v>
      </c>
      <c r="C2345" s="222" t="s">
        <v>5110</v>
      </c>
      <c r="D2345" s="221" t="s">
        <v>205</v>
      </c>
      <c r="E2345" s="221" t="s">
        <v>30</v>
      </c>
      <c r="F2345" s="223">
        <v>0</v>
      </c>
      <c r="G2345" s="221" t="s">
        <v>71</v>
      </c>
      <c r="H2345" s="221" t="s">
        <v>71</v>
      </c>
      <c r="I2345" s="222"/>
    </row>
    <row r="2346" ht="17.25" customHeight="1" spans="1:9" x14ac:dyDescent="0.25">
      <c r="A2346" s="220">
        <v>2467</v>
      </c>
      <c r="B2346" s="221" t="s">
        <v>5111</v>
      </c>
      <c r="C2346" s="222" t="s">
        <v>5112</v>
      </c>
      <c r="D2346" s="221" t="s">
        <v>4556</v>
      </c>
      <c r="E2346" s="221" t="s">
        <v>30</v>
      </c>
      <c r="F2346" s="223">
        <v>0</v>
      </c>
      <c r="G2346" s="221" t="s">
        <v>71</v>
      </c>
      <c r="H2346" s="221" t="s">
        <v>71</v>
      </c>
      <c r="I2346" s="222"/>
    </row>
    <row r="2347" ht="17.25" customHeight="1" spans="1:9" x14ac:dyDescent="0.25">
      <c r="A2347" s="220">
        <v>2468</v>
      </c>
      <c r="B2347" s="221" t="s">
        <v>5113</v>
      </c>
      <c r="C2347" s="222" t="s">
        <v>5114</v>
      </c>
      <c r="D2347" s="221" t="s">
        <v>205</v>
      </c>
      <c r="E2347" s="221" t="s">
        <v>30</v>
      </c>
      <c r="F2347" s="223">
        <v>0</v>
      </c>
      <c r="G2347" s="221" t="s">
        <v>71</v>
      </c>
      <c r="H2347" s="221" t="s">
        <v>71</v>
      </c>
      <c r="I2347" s="222"/>
    </row>
    <row r="2348" ht="17.25" customHeight="1" spans="1:9" x14ac:dyDescent="0.25">
      <c r="A2348" s="220">
        <v>2469</v>
      </c>
      <c r="B2348" s="221" t="s">
        <v>5115</v>
      </c>
      <c r="C2348" s="222" t="s">
        <v>5116</v>
      </c>
      <c r="D2348" s="221" t="s">
        <v>205</v>
      </c>
      <c r="E2348" s="221" t="s">
        <v>30</v>
      </c>
      <c r="F2348" s="223">
        <v>0</v>
      </c>
      <c r="G2348" s="221" t="s">
        <v>71</v>
      </c>
      <c r="H2348" s="221" t="s">
        <v>71</v>
      </c>
      <c r="I2348" s="222"/>
    </row>
    <row r="2349" ht="17.25" customHeight="1" spans="1:9" x14ac:dyDescent="0.25">
      <c r="A2349" s="220">
        <v>2470</v>
      </c>
      <c r="B2349" s="221" t="s">
        <v>5117</v>
      </c>
      <c r="C2349" s="222" t="s">
        <v>5118</v>
      </c>
      <c r="D2349" s="221" t="s">
        <v>205</v>
      </c>
      <c r="E2349" s="221" t="s">
        <v>30</v>
      </c>
      <c r="F2349" s="223">
        <v>0</v>
      </c>
      <c r="G2349" s="221" t="s">
        <v>71</v>
      </c>
      <c r="H2349" s="221" t="s">
        <v>71</v>
      </c>
      <c r="I2349" s="222"/>
    </row>
    <row r="2350" ht="17.25" customHeight="1" spans="1:9" x14ac:dyDescent="0.25">
      <c r="A2350" s="220">
        <v>2471</v>
      </c>
      <c r="B2350" s="221" t="s">
        <v>5119</v>
      </c>
      <c r="C2350" s="222" t="s">
        <v>5120</v>
      </c>
      <c r="D2350" s="221" t="s">
        <v>205</v>
      </c>
      <c r="E2350" s="221" t="s">
        <v>30</v>
      </c>
      <c r="F2350" s="223">
        <v>0</v>
      </c>
      <c r="G2350" s="221" t="s">
        <v>71</v>
      </c>
      <c r="H2350" s="221" t="s">
        <v>71</v>
      </c>
      <c r="I2350" s="222"/>
    </row>
    <row r="2351" ht="17.25" customHeight="1" spans="1:9" x14ac:dyDescent="0.25">
      <c r="A2351" s="220">
        <v>2472</v>
      </c>
      <c r="B2351" s="221" t="s">
        <v>5121</v>
      </c>
      <c r="C2351" s="222" t="s">
        <v>5122</v>
      </c>
      <c r="D2351" s="221" t="s">
        <v>205</v>
      </c>
      <c r="E2351" s="221" t="s">
        <v>30</v>
      </c>
      <c r="F2351" s="223">
        <v>0</v>
      </c>
      <c r="G2351" s="221" t="s">
        <v>71</v>
      </c>
      <c r="H2351" s="221" t="s">
        <v>71</v>
      </c>
      <c r="I2351" s="222"/>
    </row>
    <row r="2352" ht="17.25" customHeight="1" spans="1:9" x14ac:dyDescent="0.25">
      <c r="A2352" s="220">
        <v>2473</v>
      </c>
      <c r="B2352" s="221" t="s">
        <v>5123</v>
      </c>
      <c r="C2352" s="222" t="s">
        <v>5124</v>
      </c>
      <c r="D2352" s="221" t="s">
        <v>205</v>
      </c>
      <c r="E2352" s="221" t="s">
        <v>30</v>
      </c>
      <c r="F2352" s="223">
        <v>0</v>
      </c>
      <c r="G2352" s="221" t="s">
        <v>71</v>
      </c>
      <c r="H2352" s="221" t="s">
        <v>71</v>
      </c>
      <c r="I2352" s="222"/>
    </row>
    <row r="2353" ht="17.25" customHeight="1" spans="1:9" x14ac:dyDescent="0.25">
      <c r="A2353" s="220">
        <v>2474</v>
      </c>
      <c r="B2353" s="221" t="s">
        <v>5125</v>
      </c>
      <c r="C2353" s="222" t="s">
        <v>5126</v>
      </c>
      <c r="D2353" s="221" t="s">
        <v>205</v>
      </c>
      <c r="E2353" s="221" t="s">
        <v>30</v>
      </c>
      <c r="F2353" s="223">
        <v>0</v>
      </c>
      <c r="G2353" s="221" t="s">
        <v>71</v>
      </c>
      <c r="H2353" s="221" t="s">
        <v>71</v>
      </c>
      <c r="I2353" s="222"/>
    </row>
    <row r="2354" ht="17.25" customHeight="1" spans="1:9" x14ac:dyDescent="0.25">
      <c r="A2354" s="220">
        <v>2475</v>
      </c>
      <c r="B2354" s="221" t="s">
        <v>5127</v>
      </c>
      <c r="C2354" s="222" t="s">
        <v>5128</v>
      </c>
      <c r="D2354" s="221" t="s">
        <v>70</v>
      </c>
      <c r="E2354" s="221" t="s">
        <v>30</v>
      </c>
      <c r="F2354" s="223">
        <v>0</v>
      </c>
      <c r="G2354" s="221" t="s">
        <v>71</v>
      </c>
      <c r="H2354" s="221" t="s">
        <v>71</v>
      </c>
      <c r="I2354" s="222"/>
    </row>
    <row r="2355" ht="17.25" customHeight="1" spans="1:9" x14ac:dyDescent="0.25">
      <c r="A2355" s="220">
        <v>2476</v>
      </c>
      <c r="B2355" s="221" t="s">
        <v>5129</v>
      </c>
      <c r="C2355" s="222" t="s">
        <v>5130</v>
      </c>
      <c r="D2355" s="221" t="s">
        <v>1903</v>
      </c>
      <c r="E2355" s="221" t="s">
        <v>27</v>
      </c>
      <c r="F2355" s="223">
        <v>0</v>
      </c>
      <c r="G2355" s="221" t="s">
        <v>48</v>
      </c>
      <c r="H2355" s="221" t="s">
        <v>48</v>
      </c>
      <c r="I2355" s="222"/>
    </row>
    <row r="2356" ht="17.25" customHeight="1" spans="1:9" x14ac:dyDescent="0.25">
      <c r="A2356" s="220">
        <v>2477</v>
      </c>
      <c r="B2356" s="221"/>
      <c r="C2356" s="222" t="s">
        <v>5131</v>
      </c>
      <c r="D2356" s="221" t="s">
        <v>70</v>
      </c>
      <c r="E2356" s="221" t="s">
        <v>30</v>
      </c>
      <c r="F2356" s="223">
        <v>0</v>
      </c>
      <c r="G2356" s="221" t="s">
        <v>71</v>
      </c>
      <c r="H2356" s="221" t="s">
        <v>71</v>
      </c>
      <c r="I2356" s="222"/>
    </row>
    <row r="2357" ht="17.25" customHeight="1" spans="1:9" x14ac:dyDescent="0.25">
      <c r="A2357" s="220">
        <v>2478</v>
      </c>
      <c r="B2357" s="221" t="s">
        <v>5132</v>
      </c>
      <c r="C2357" s="222" t="s">
        <v>5133</v>
      </c>
      <c r="D2357" s="221" t="s">
        <v>44</v>
      </c>
      <c r="E2357" s="221" t="s">
        <v>395</v>
      </c>
      <c r="F2357" s="223">
        <v>3200</v>
      </c>
      <c r="G2357" s="221" t="s">
        <v>46</v>
      </c>
      <c r="H2357" s="221" t="s">
        <v>48</v>
      </c>
      <c r="I2357" s="222"/>
    </row>
    <row r="2358" ht="17.25" customHeight="1" spans="1:9" x14ac:dyDescent="0.25">
      <c r="A2358" s="220">
        <v>2479</v>
      </c>
      <c r="B2358" s="221" t="s">
        <v>5134</v>
      </c>
      <c r="C2358" s="222" t="s">
        <v>5135</v>
      </c>
      <c r="D2358" s="221" t="s">
        <v>205</v>
      </c>
      <c r="E2358" s="221" t="s">
        <v>395</v>
      </c>
      <c r="F2358" s="223">
        <v>0</v>
      </c>
      <c r="G2358" s="221" t="s">
        <v>71</v>
      </c>
      <c r="H2358" s="221" t="s">
        <v>71</v>
      </c>
      <c r="I2358" s="222"/>
    </row>
    <row r="2359" ht="17.25" customHeight="1" spans="1:9" x14ac:dyDescent="0.25">
      <c r="A2359" s="220">
        <v>2480</v>
      </c>
      <c r="B2359" s="221" t="s">
        <v>5136</v>
      </c>
      <c r="C2359" s="222" t="s">
        <v>5137</v>
      </c>
      <c r="D2359" s="221" t="s">
        <v>70</v>
      </c>
      <c r="E2359" s="221" t="s">
        <v>395</v>
      </c>
      <c r="F2359" s="223">
        <v>0</v>
      </c>
      <c r="G2359" s="221" t="s">
        <v>46</v>
      </c>
      <c r="H2359" s="221" t="s">
        <v>71</v>
      </c>
      <c r="I2359" s="222"/>
    </row>
    <row r="2360" ht="17.25" customHeight="1" spans="1:9" x14ac:dyDescent="0.25">
      <c r="A2360" s="220">
        <v>2481</v>
      </c>
      <c r="B2360" s="221" t="s">
        <v>5138</v>
      </c>
      <c r="C2360" s="222" t="s">
        <v>5139</v>
      </c>
      <c r="D2360" s="221" t="s">
        <v>70</v>
      </c>
      <c r="E2360" s="221" t="s">
        <v>395</v>
      </c>
      <c r="F2360" s="223">
        <v>0</v>
      </c>
      <c r="G2360" s="221" t="s">
        <v>46</v>
      </c>
      <c r="H2360" s="221" t="s">
        <v>71</v>
      </c>
      <c r="I2360" s="222"/>
    </row>
    <row r="2361" ht="17.25" customHeight="1" spans="1:9" x14ac:dyDescent="0.25">
      <c r="A2361" s="220">
        <v>2482</v>
      </c>
      <c r="B2361" s="221" t="s">
        <v>5140</v>
      </c>
      <c r="C2361" s="222" t="s">
        <v>5141</v>
      </c>
      <c r="D2361" s="221" t="s">
        <v>70</v>
      </c>
      <c r="E2361" s="221" t="s">
        <v>395</v>
      </c>
      <c r="F2361" s="223">
        <v>0</v>
      </c>
      <c r="G2361" s="221" t="s">
        <v>46</v>
      </c>
      <c r="H2361" s="221" t="s">
        <v>71</v>
      </c>
      <c r="I2361" s="222"/>
    </row>
    <row r="2362" ht="17.25" customHeight="1" spans="1:9" x14ac:dyDescent="0.25">
      <c r="A2362" s="220">
        <v>2483</v>
      </c>
      <c r="B2362" s="221" t="s">
        <v>5142</v>
      </c>
      <c r="C2362" s="222" t="s">
        <v>5143</v>
      </c>
      <c r="D2362" s="221" t="s">
        <v>70</v>
      </c>
      <c r="E2362" s="221" t="s">
        <v>395</v>
      </c>
      <c r="F2362" s="223">
        <v>0</v>
      </c>
      <c r="G2362" s="221" t="s">
        <v>46</v>
      </c>
      <c r="H2362" s="221" t="s">
        <v>71</v>
      </c>
      <c r="I2362" s="222"/>
    </row>
    <row r="2363" ht="17.25" customHeight="1" spans="1:9" x14ac:dyDescent="0.25">
      <c r="A2363" s="220">
        <v>2485</v>
      </c>
      <c r="B2363" s="221" t="s">
        <v>5144</v>
      </c>
      <c r="C2363" s="222" t="s">
        <v>5145</v>
      </c>
      <c r="D2363" s="221" t="s">
        <v>1535</v>
      </c>
      <c r="E2363" s="221" t="s">
        <v>29</v>
      </c>
      <c r="F2363" s="223">
        <v>5700</v>
      </c>
      <c r="G2363" s="221" t="s">
        <v>71</v>
      </c>
      <c r="H2363" s="221" t="s">
        <v>71</v>
      </c>
      <c r="I2363" s="222"/>
    </row>
    <row r="2364" ht="17.25" customHeight="1" spans="1:9" x14ac:dyDescent="0.25">
      <c r="A2364" s="220">
        <v>2486</v>
      </c>
      <c r="B2364" s="221" t="s">
        <v>5146</v>
      </c>
      <c r="C2364" s="222" t="s">
        <v>5147</v>
      </c>
      <c r="D2364" s="221" t="s">
        <v>205</v>
      </c>
      <c r="E2364" s="221" t="s">
        <v>27</v>
      </c>
      <c r="F2364" s="223">
        <v>0</v>
      </c>
      <c r="G2364" s="221" t="s">
        <v>71</v>
      </c>
      <c r="H2364" s="221" t="s">
        <v>71</v>
      </c>
      <c r="I2364" s="222" t="s">
        <v>5148</v>
      </c>
    </row>
    <row r="2365" ht="17.25" customHeight="1" spans="1:9" x14ac:dyDescent="0.25">
      <c r="A2365" s="220">
        <v>2487</v>
      </c>
      <c r="B2365" s="221" t="s">
        <v>5149</v>
      </c>
      <c r="C2365" s="222" t="s">
        <v>5150</v>
      </c>
      <c r="D2365" s="221" t="s">
        <v>70</v>
      </c>
      <c r="E2365" s="221" t="s">
        <v>395</v>
      </c>
      <c r="F2365" s="223">
        <v>0</v>
      </c>
      <c r="G2365" s="221" t="s">
        <v>46</v>
      </c>
      <c r="H2365" s="221" t="s">
        <v>71</v>
      </c>
      <c r="I2365" s="222"/>
    </row>
    <row r="2366" ht="17.25" customHeight="1" spans="1:9" x14ac:dyDescent="0.25">
      <c r="A2366" s="220">
        <v>2488</v>
      </c>
      <c r="B2366" s="221" t="s">
        <v>5151</v>
      </c>
      <c r="C2366" s="222" t="s">
        <v>5152</v>
      </c>
      <c r="D2366" s="221" t="s">
        <v>4556</v>
      </c>
      <c r="E2366" s="221" t="s">
        <v>30</v>
      </c>
      <c r="F2366" s="223">
        <v>0</v>
      </c>
      <c r="G2366" s="221" t="s">
        <v>71</v>
      </c>
      <c r="H2366" s="221" t="s">
        <v>71</v>
      </c>
      <c r="I2366" s="222"/>
    </row>
    <row r="2367" ht="17.25" customHeight="1" spans="1:9" x14ac:dyDescent="0.25">
      <c r="A2367" s="220">
        <v>2489</v>
      </c>
      <c r="B2367" s="221" t="s">
        <v>5153</v>
      </c>
      <c r="C2367" s="222" t="s">
        <v>5154</v>
      </c>
      <c r="D2367" s="221" t="s">
        <v>4556</v>
      </c>
      <c r="E2367" s="221" t="s">
        <v>30</v>
      </c>
      <c r="F2367" s="223">
        <v>0</v>
      </c>
      <c r="G2367" s="221" t="s">
        <v>71</v>
      </c>
      <c r="H2367" s="221" t="s">
        <v>71</v>
      </c>
      <c r="I2367" s="222"/>
    </row>
    <row r="2368" ht="17.25" customHeight="1" spans="1:9" x14ac:dyDescent="0.25">
      <c r="A2368" s="220">
        <v>2490</v>
      </c>
      <c r="B2368" s="221" t="s">
        <v>5155</v>
      </c>
      <c r="C2368" s="222" t="s">
        <v>5156</v>
      </c>
      <c r="D2368" s="221" t="s">
        <v>4556</v>
      </c>
      <c r="E2368" s="221" t="s">
        <v>30</v>
      </c>
      <c r="F2368" s="223">
        <v>0</v>
      </c>
      <c r="G2368" s="221" t="s">
        <v>71</v>
      </c>
      <c r="H2368" s="221" t="s">
        <v>71</v>
      </c>
      <c r="I2368" s="222"/>
    </row>
    <row r="2369" ht="17.25" customHeight="1" spans="1:9" x14ac:dyDescent="0.25">
      <c r="A2369" s="220">
        <v>2491</v>
      </c>
      <c r="B2369" s="221" t="s">
        <v>5157</v>
      </c>
      <c r="C2369" s="222" t="s">
        <v>5158</v>
      </c>
      <c r="D2369" s="221" t="s">
        <v>4556</v>
      </c>
      <c r="E2369" s="221" t="s">
        <v>30</v>
      </c>
      <c r="F2369" s="223">
        <v>12000</v>
      </c>
      <c r="G2369" s="221" t="s">
        <v>71</v>
      </c>
      <c r="H2369" s="221" t="s">
        <v>71</v>
      </c>
      <c r="I2369" s="222" t="s">
        <v>5159</v>
      </c>
    </row>
    <row r="2370" ht="17.25" customHeight="1" spans="1:9" x14ac:dyDescent="0.25">
      <c r="A2370" s="220">
        <v>2492</v>
      </c>
      <c r="B2370" s="221" t="s">
        <v>5160</v>
      </c>
      <c r="C2370" s="222" t="s">
        <v>5161</v>
      </c>
      <c r="D2370" s="221" t="s">
        <v>4556</v>
      </c>
      <c r="E2370" s="221" t="s">
        <v>30</v>
      </c>
      <c r="F2370" s="223">
        <v>12000</v>
      </c>
      <c r="G2370" s="221" t="s">
        <v>71</v>
      </c>
      <c r="H2370" s="221" t="s">
        <v>71</v>
      </c>
      <c r="I2370" s="222"/>
    </row>
    <row r="2371" ht="17.25" customHeight="1" spans="1:9" x14ac:dyDescent="0.25">
      <c r="A2371" s="220">
        <v>2493</v>
      </c>
      <c r="B2371" s="221" t="s">
        <v>5162</v>
      </c>
      <c r="C2371" s="222" t="s">
        <v>5163</v>
      </c>
      <c r="D2371" s="221" t="s">
        <v>205</v>
      </c>
      <c r="E2371" s="221" t="s">
        <v>30</v>
      </c>
      <c r="F2371" s="223">
        <v>0</v>
      </c>
      <c r="G2371" s="221" t="s">
        <v>71</v>
      </c>
      <c r="H2371" s="221" t="s">
        <v>71</v>
      </c>
      <c r="I2371" s="222"/>
    </row>
    <row r="2372" ht="17.25" customHeight="1" spans="1:9" x14ac:dyDescent="0.25">
      <c r="A2372" s="220">
        <v>2494</v>
      </c>
      <c r="B2372" s="221"/>
      <c r="C2372" s="222" t="s">
        <v>5164</v>
      </c>
      <c r="D2372" s="221" t="s">
        <v>2406</v>
      </c>
      <c r="E2372" s="221" t="s">
        <v>27</v>
      </c>
      <c r="F2372" s="223">
        <v>0</v>
      </c>
      <c r="G2372" s="221" t="s">
        <v>48</v>
      </c>
      <c r="H2372" s="221" t="s">
        <v>48</v>
      </c>
      <c r="I2372" s="222"/>
    </row>
    <row r="2373" ht="17.25" customHeight="1" spans="1:9" x14ac:dyDescent="0.25">
      <c r="A2373" s="220">
        <v>2495</v>
      </c>
      <c r="B2373" s="221" t="s">
        <v>5165</v>
      </c>
      <c r="C2373" s="222" t="s">
        <v>5166</v>
      </c>
      <c r="D2373" s="221" t="s">
        <v>4556</v>
      </c>
      <c r="E2373" s="221" t="s">
        <v>30</v>
      </c>
      <c r="F2373" s="223">
        <v>0</v>
      </c>
      <c r="G2373" s="221" t="s">
        <v>71</v>
      </c>
      <c r="H2373" s="221" t="s">
        <v>71</v>
      </c>
      <c r="I2373" s="222"/>
    </row>
    <row r="2374" ht="17.25" customHeight="1" spans="1:9" x14ac:dyDescent="0.25">
      <c r="A2374" s="220">
        <v>2496</v>
      </c>
      <c r="B2374" s="221" t="s">
        <v>5167</v>
      </c>
      <c r="C2374" s="222" t="s">
        <v>5168</v>
      </c>
      <c r="D2374" s="221" t="s">
        <v>4556</v>
      </c>
      <c r="E2374" s="221" t="s">
        <v>30</v>
      </c>
      <c r="F2374" s="223">
        <v>8000</v>
      </c>
      <c r="G2374" s="221" t="s">
        <v>71</v>
      </c>
      <c r="H2374" s="221" t="s">
        <v>71</v>
      </c>
      <c r="I2374" s="222"/>
    </row>
    <row r="2375" ht="17.25" customHeight="1" spans="1:9" x14ac:dyDescent="0.25">
      <c r="A2375" s="220">
        <v>2497</v>
      </c>
      <c r="B2375" s="221" t="s">
        <v>5169</v>
      </c>
      <c r="C2375" s="222" t="s">
        <v>5170</v>
      </c>
      <c r="D2375" s="221" t="s">
        <v>205</v>
      </c>
      <c r="E2375" s="221" t="s">
        <v>30</v>
      </c>
      <c r="F2375" s="223">
        <v>11000</v>
      </c>
      <c r="G2375" s="221" t="s">
        <v>71</v>
      </c>
      <c r="H2375" s="221" t="s">
        <v>71</v>
      </c>
      <c r="I2375" s="222"/>
    </row>
    <row r="2376" ht="17.25" customHeight="1" spans="1:9" x14ac:dyDescent="0.25">
      <c r="A2376" s="220">
        <v>2498</v>
      </c>
      <c r="B2376" s="221" t="s">
        <v>5171</v>
      </c>
      <c r="C2376" s="222" t="s">
        <v>5172</v>
      </c>
      <c r="D2376" s="221" t="s">
        <v>1535</v>
      </c>
      <c r="E2376" s="221" t="s">
        <v>29</v>
      </c>
      <c r="F2376" s="223">
        <v>6000</v>
      </c>
      <c r="G2376" s="221" t="s">
        <v>71</v>
      </c>
      <c r="H2376" s="221" t="s">
        <v>71</v>
      </c>
      <c r="I2376" s="222"/>
    </row>
    <row r="2377" ht="17.25" customHeight="1" spans="1:9" x14ac:dyDescent="0.25">
      <c r="A2377" s="220">
        <v>2499</v>
      </c>
      <c r="B2377" s="221" t="s">
        <v>5173</v>
      </c>
      <c r="C2377" s="222" t="s">
        <v>5174</v>
      </c>
      <c r="D2377" s="221" t="s">
        <v>92</v>
      </c>
      <c r="E2377" s="221" t="s">
        <v>395</v>
      </c>
      <c r="F2377" s="223">
        <v>650</v>
      </c>
      <c r="G2377" s="221" t="s">
        <v>71</v>
      </c>
      <c r="H2377" s="221" t="s">
        <v>48</v>
      </c>
      <c r="I2377" s="222"/>
    </row>
    <row r="2378" ht="17.25" customHeight="1" spans="1:9" x14ac:dyDescent="0.25">
      <c r="A2378" s="220">
        <v>2500</v>
      </c>
      <c r="B2378" s="221" t="s">
        <v>5175</v>
      </c>
      <c r="C2378" s="222" t="s">
        <v>5176</v>
      </c>
      <c r="D2378" s="221" t="s">
        <v>4556</v>
      </c>
      <c r="E2378" s="221" t="s">
        <v>30</v>
      </c>
      <c r="F2378" s="223">
        <v>0</v>
      </c>
      <c r="G2378" s="221" t="s">
        <v>71</v>
      </c>
      <c r="H2378" s="221" t="s">
        <v>71</v>
      </c>
      <c r="I2378" s="222"/>
    </row>
    <row r="2379" ht="17.25" customHeight="1" spans="1:9" x14ac:dyDescent="0.25">
      <c r="A2379" s="220">
        <v>2501</v>
      </c>
      <c r="B2379" s="221" t="s">
        <v>5177</v>
      </c>
      <c r="C2379" s="222" t="s">
        <v>5178</v>
      </c>
      <c r="D2379" s="221" t="s">
        <v>4556</v>
      </c>
      <c r="E2379" s="221" t="s">
        <v>30</v>
      </c>
      <c r="F2379" s="223">
        <v>0</v>
      </c>
      <c r="G2379" s="221" t="s">
        <v>71</v>
      </c>
      <c r="H2379" s="221" t="s">
        <v>71</v>
      </c>
      <c r="I2379" s="222"/>
    </row>
    <row r="2380" ht="17.25" customHeight="1" spans="1:9" x14ac:dyDescent="0.25">
      <c r="A2380" s="220">
        <v>2502</v>
      </c>
      <c r="B2380" s="221" t="s">
        <v>5179</v>
      </c>
      <c r="C2380" s="222" t="s">
        <v>5180</v>
      </c>
      <c r="D2380" s="221" t="s">
        <v>205</v>
      </c>
      <c r="E2380" s="221" t="s">
        <v>395</v>
      </c>
      <c r="F2380" s="223">
        <v>0</v>
      </c>
      <c r="G2380" s="221" t="s">
        <v>71</v>
      </c>
      <c r="H2380" s="221" t="s">
        <v>71</v>
      </c>
      <c r="I2380" s="222"/>
    </row>
    <row r="2381" ht="17.25" customHeight="1" spans="1:9" x14ac:dyDescent="0.25">
      <c r="A2381" s="220">
        <v>2503</v>
      </c>
      <c r="B2381" s="221" t="s">
        <v>5181</v>
      </c>
      <c r="C2381" s="222" t="s">
        <v>5182</v>
      </c>
      <c r="D2381" s="221" t="s">
        <v>70</v>
      </c>
      <c r="E2381" s="221" t="s">
        <v>395</v>
      </c>
      <c r="F2381" s="223">
        <v>0</v>
      </c>
      <c r="G2381" s="221" t="s">
        <v>46</v>
      </c>
      <c r="H2381" s="221" t="s">
        <v>71</v>
      </c>
      <c r="I2381" s="222"/>
    </row>
    <row r="2382" ht="17.25" customHeight="1" spans="1:9" x14ac:dyDescent="0.25">
      <c r="A2382" s="220">
        <v>2504</v>
      </c>
      <c r="B2382" s="221" t="s">
        <v>5183</v>
      </c>
      <c r="C2382" s="222" t="s">
        <v>5184</v>
      </c>
      <c r="D2382" s="221" t="s">
        <v>205</v>
      </c>
      <c r="E2382" s="221" t="s">
        <v>30</v>
      </c>
      <c r="F2382" s="223">
        <v>0</v>
      </c>
      <c r="G2382" s="221" t="s">
        <v>71</v>
      </c>
      <c r="H2382" s="221" t="s">
        <v>71</v>
      </c>
      <c r="I2382" s="222"/>
    </row>
    <row r="2383" ht="17.25" customHeight="1" spans="1:9" x14ac:dyDescent="0.25">
      <c r="A2383" s="220">
        <v>2505</v>
      </c>
      <c r="B2383" s="221" t="s">
        <v>5185</v>
      </c>
      <c r="C2383" s="222" t="s">
        <v>5186</v>
      </c>
      <c r="D2383" s="221" t="s">
        <v>205</v>
      </c>
      <c r="E2383" s="221" t="s">
        <v>30</v>
      </c>
      <c r="F2383" s="223">
        <v>0</v>
      </c>
      <c r="G2383" s="221" t="s">
        <v>71</v>
      </c>
      <c r="H2383" s="221" t="s">
        <v>71</v>
      </c>
      <c r="I2383" s="222"/>
    </row>
    <row r="2384" ht="17.25" customHeight="1" spans="1:9" x14ac:dyDescent="0.25">
      <c r="A2384" s="220">
        <v>2506</v>
      </c>
      <c r="B2384" s="221" t="s">
        <v>5187</v>
      </c>
      <c r="C2384" s="222" t="s">
        <v>5188</v>
      </c>
      <c r="D2384" s="221" t="s">
        <v>205</v>
      </c>
      <c r="E2384" s="221" t="s">
        <v>30</v>
      </c>
      <c r="F2384" s="223">
        <v>0</v>
      </c>
      <c r="G2384" s="221" t="s">
        <v>71</v>
      </c>
      <c r="H2384" s="221" t="s">
        <v>71</v>
      </c>
      <c r="I2384" s="222"/>
    </row>
    <row r="2385" ht="17.25" customHeight="1" spans="1:9" x14ac:dyDescent="0.25">
      <c r="A2385" s="220">
        <v>2507</v>
      </c>
      <c r="B2385" s="221" t="s">
        <v>5189</v>
      </c>
      <c r="C2385" s="222" t="s">
        <v>5190</v>
      </c>
      <c r="D2385" s="221" t="s">
        <v>205</v>
      </c>
      <c r="E2385" s="221" t="s">
        <v>30</v>
      </c>
      <c r="F2385" s="223">
        <v>0</v>
      </c>
      <c r="G2385" s="221" t="s">
        <v>71</v>
      </c>
      <c r="H2385" s="221" t="s">
        <v>71</v>
      </c>
      <c r="I2385" s="222"/>
    </row>
    <row r="2386" ht="17.25" customHeight="1" spans="1:9" x14ac:dyDescent="0.25">
      <c r="A2386" s="220">
        <v>2508</v>
      </c>
      <c r="B2386" s="221" t="s">
        <v>5191</v>
      </c>
      <c r="C2386" s="222" t="s">
        <v>5192</v>
      </c>
      <c r="D2386" s="221" t="s">
        <v>205</v>
      </c>
      <c r="E2386" s="221" t="s">
        <v>30</v>
      </c>
      <c r="F2386" s="223">
        <v>0</v>
      </c>
      <c r="G2386" s="221" t="s">
        <v>71</v>
      </c>
      <c r="H2386" s="221" t="s">
        <v>71</v>
      </c>
      <c r="I2386" s="222"/>
    </row>
    <row r="2387" ht="17.25" customHeight="1" spans="1:9" x14ac:dyDescent="0.25">
      <c r="A2387" s="220">
        <v>2509</v>
      </c>
      <c r="B2387" s="221" t="s">
        <v>5193</v>
      </c>
      <c r="C2387" s="222" t="s">
        <v>5194</v>
      </c>
      <c r="D2387" s="221" t="s">
        <v>1497</v>
      </c>
      <c r="E2387" s="221" t="s">
        <v>29</v>
      </c>
      <c r="F2387" s="223">
        <v>0</v>
      </c>
      <c r="G2387" s="221" t="s">
        <v>71</v>
      </c>
      <c r="H2387" s="221" t="s">
        <v>71</v>
      </c>
      <c r="I2387" s="222" t="s">
        <v>5195</v>
      </c>
    </row>
    <row r="2388" ht="17.25" customHeight="1" spans="1:9" x14ac:dyDescent="0.25">
      <c r="A2388" s="220">
        <v>2511</v>
      </c>
      <c r="B2388" s="221" t="s">
        <v>5196</v>
      </c>
      <c r="C2388" s="222" t="s">
        <v>5197</v>
      </c>
      <c r="D2388" s="221" t="s">
        <v>4556</v>
      </c>
      <c r="E2388" s="221" t="s">
        <v>30</v>
      </c>
      <c r="F2388" s="223">
        <v>0</v>
      </c>
      <c r="G2388" s="221" t="s">
        <v>71</v>
      </c>
      <c r="H2388" s="221" t="s">
        <v>71</v>
      </c>
      <c r="I2388" s="222"/>
    </row>
    <row r="2389" ht="17.25" customHeight="1" spans="1:9" x14ac:dyDescent="0.25">
      <c r="A2389" s="220">
        <v>2512</v>
      </c>
      <c r="B2389" s="221" t="s">
        <v>5198</v>
      </c>
      <c r="C2389" s="222" t="s">
        <v>5199</v>
      </c>
      <c r="D2389" s="221" t="s">
        <v>205</v>
      </c>
      <c r="E2389" s="221" t="s">
        <v>395</v>
      </c>
      <c r="F2389" s="223">
        <v>0</v>
      </c>
      <c r="G2389" s="221" t="s">
        <v>71</v>
      </c>
      <c r="H2389" s="221" t="s">
        <v>71</v>
      </c>
      <c r="I2389" s="222"/>
    </row>
    <row r="2390" ht="17.25" customHeight="1" spans="1:9" x14ac:dyDescent="0.25">
      <c r="A2390" s="220">
        <v>2513</v>
      </c>
      <c r="B2390" s="221" t="s">
        <v>5200</v>
      </c>
      <c r="C2390" s="222" t="s">
        <v>5201</v>
      </c>
      <c r="D2390" s="221" t="s">
        <v>205</v>
      </c>
      <c r="E2390" s="221" t="s">
        <v>30</v>
      </c>
      <c r="F2390" s="223">
        <v>11000</v>
      </c>
      <c r="G2390" s="221" t="s">
        <v>71</v>
      </c>
      <c r="H2390" s="221" t="s">
        <v>71</v>
      </c>
      <c r="I2390" s="222"/>
    </row>
    <row r="2391" ht="17.25" customHeight="1" spans="1:9" x14ac:dyDescent="0.25">
      <c r="A2391" s="220">
        <v>2514</v>
      </c>
      <c r="B2391" s="221" t="s">
        <v>5202</v>
      </c>
      <c r="C2391" s="222" t="s">
        <v>5203</v>
      </c>
      <c r="D2391" s="221" t="s">
        <v>205</v>
      </c>
      <c r="E2391" s="221" t="s">
        <v>30</v>
      </c>
      <c r="F2391" s="223">
        <v>0</v>
      </c>
      <c r="G2391" s="221" t="s">
        <v>71</v>
      </c>
      <c r="H2391" s="221" t="s">
        <v>71</v>
      </c>
      <c r="I2391" s="222"/>
    </row>
    <row r="2392" ht="17.25" customHeight="1" spans="1:9" x14ac:dyDescent="0.25">
      <c r="A2392" s="220">
        <v>2515</v>
      </c>
      <c r="B2392" s="221" t="s">
        <v>5204</v>
      </c>
      <c r="C2392" s="222" t="s">
        <v>5205</v>
      </c>
      <c r="D2392" s="221" t="s">
        <v>70</v>
      </c>
      <c r="E2392" s="221" t="s">
        <v>395</v>
      </c>
      <c r="F2392" s="223">
        <v>0</v>
      </c>
      <c r="G2392" s="221" t="s">
        <v>46</v>
      </c>
      <c r="H2392" s="221" t="s">
        <v>71</v>
      </c>
      <c r="I2392" s="222"/>
    </row>
    <row r="2393" ht="17.25" customHeight="1" spans="1:9" x14ac:dyDescent="0.25">
      <c r="A2393" s="220">
        <v>2516</v>
      </c>
      <c r="B2393" s="221" t="s">
        <v>5206</v>
      </c>
      <c r="C2393" s="222" t="s">
        <v>5207</v>
      </c>
      <c r="D2393" s="221" t="s">
        <v>70</v>
      </c>
      <c r="E2393" s="221" t="s">
        <v>395</v>
      </c>
      <c r="F2393" s="223">
        <v>0</v>
      </c>
      <c r="G2393" s="221" t="s">
        <v>46</v>
      </c>
      <c r="H2393" s="221" t="s">
        <v>71</v>
      </c>
      <c r="I2393" s="222"/>
    </row>
    <row r="2394" ht="17.25" customHeight="1" spans="1:9" x14ac:dyDescent="0.25">
      <c r="A2394" s="220">
        <v>2517</v>
      </c>
      <c r="B2394" s="221" t="s">
        <v>5208</v>
      </c>
      <c r="C2394" s="222" t="s">
        <v>5209</v>
      </c>
      <c r="D2394" s="221" t="s">
        <v>70</v>
      </c>
      <c r="E2394" s="221" t="s">
        <v>395</v>
      </c>
      <c r="F2394" s="223">
        <v>0</v>
      </c>
      <c r="G2394" s="221" t="s">
        <v>46</v>
      </c>
      <c r="H2394" s="221" t="s">
        <v>71</v>
      </c>
      <c r="I2394" s="222"/>
    </row>
    <row r="2395" ht="17.25" customHeight="1" spans="1:9" x14ac:dyDescent="0.25">
      <c r="A2395" s="220">
        <v>2518</v>
      </c>
      <c r="B2395" s="221" t="s">
        <v>5210</v>
      </c>
      <c r="C2395" s="222" t="s">
        <v>5211</v>
      </c>
      <c r="D2395" s="221" t="s">
        <v>70</v>
      </c>
      <c r="E2395" s="221" t="s">
        <v>395</v>
      </c>
      <c r="F2395" s="223">
        <v>0</v>
      </c>
      <c r="G2395" s="221" t="s">
        <v>46</v>
      </c>
      <c r="H2395" s="221" t="s">
        <v>71</v>
      </c>
      <c r="I2395" s="222"/>
    </row>
    <row r="2396" ht="17.25" customHeight="1" spans="1:9" x14ac:dyDescent="0.25">
      <c r="A2396" s="220">
        <v>2519</v>
      </c>
      <c r="B2396" s="221" t="s">
        <v>5212</v>
      </c>
      <c r="C2396" s="222" t="s">
        <v>5213</v>
      </c>
      <c r="D2396" s="221" t="s">
        <v>70</v>
      </c>
      <c r="E2396" s="221" t="s">
        <v>395</v>
      </c>
      <c r="F2396" s="223">
        <v>0</v>
      </c>
      <c r="G2396" s="221" t="s">
        <v>46</v>
      </c>
      <c r="H2396" s="221" t="s">
        <v>71</v>
      </c>
      <c r="I2396" s="222"/>
    </row>
    <row r="2397" ht="17.25" customHeight="1" spans="1:9" x14ac:dyDescent="0.25">
      <c r="A2397" s="220">
        <v>2520</v>
      </c>
      <c r="B2397" s="221" t="s">
        <v>5214</v>
      </c>
      <c r="C2397" s="222" t="s">
        <v>5215</v>
      </c>
      <c r="D2397" s="221" t="s">
        <v>92</v>
      </c>
      <c r="E2397" s="221" t="s">
        <v>395</v>
      </c>
      <c r="F2397" s="223">
        <v>650</v>
      </c>
      <c r="G2397" s="221" t="s">
        <v>71</v>
      </c>
      <c r="H2397" s="221" t="s">
        <v>48</v>
      </c>
      <c r="I2397" s="222"/>
    </row>
    <row r="2398" ht="17.25" customHeight="1" spans="1:9" x14ac:dyDescent="0.25">
      <c r="A2398" s="220">
        <v>2521</v>
      </c>
      <c r="B2398" s="221" t="s">
        <v>5216</v>
      </c>
      <c r="C2398" s="222" t="s">
        <v>5217</v>
      </c>
      <c r="D2398" s="221" t="s">
        <v>92</v>
      </c>
      <c r="E2398" s="221" t="s">
        <v>395</v>
      </c>
      <c r="F2398" s="223">
        <v>650</v>
      </c>
      <c r="G2398" s="221" t="s">
        <v>71</v>
      </c>
      <c r="H2398" s="221" t="s">
        <v>48</v>
      </c>
      <c r="I2398" s="222"/>
    </row>
    <row r="2399" ht="17.25" customHeight="1" spans="1:9" x14ac:dyDescent="0.25">
      <c r="A2399" s="220">
        <v>2522</v>
      </c>
      <c r="B2399" s="221" t="s">
        <v>5218</v>
      </c>
      <c r="C2399" s="222" t="s">
        <v>5219</v>
      </c>
      <c r="D2399" s="221" t="s">
        <v>92</v>
      </c>
      <c r="E2399" s="221" t="s">
        <v>395</v>
      </c>
      <c r="F2399" s="223">
        <v>650</v>
      </c>
      <c r="G2399" s="221" t="s">
        <v>71</v>
      </c>
      <c r="H2399" s="221" t="s">
        <v>48</v>
      </c>
      <c r="I2399" s="222"/>
    </row>
    <row r="2400" ht="17.25" customHeight="1" spans="1:9" x14ac:dyDescent="0.25">
      <c r="A2400" s="220">
        <v>2523</v>
      </c>
      <c r="B2400" s="221" t="s">
        <v>5220</v>
      </c>
      <c r="C2400" s="222" t="s">
        <v>5221</v>
      </c>
      <c r="D2400" s="221" t="s">
        <v>92</v>
      </c>
      <c r="E2400" s="221" t="s">
        <v>395</v>
      </c>
      <c r="F2400" s="223">
        <v>650</v>
      </c>
      <c r="G2400" s="221" t="s">
        <v>71</v>
      </c>
      <c r="H2400" s="221" t="s">
        <v>48</v>
      </c>
      <c r="I2400" s="222"/>
    </row>
    <row r="2401" ht="17.25" customHeight="1" spans="1:9" x14ac:dyDescent="0.25">
      <c r="A2401" s="220">
        <v>2524</v>
      </c>
      <c r="B2401" s="221" t="s">
        <v>5222</v>
      </c>
      <c r="C2401" s="222" t="s">
        <v>5223</v>
      </c>
      <c r="D2401" s="221" t="s">
        <v>92</v>
      </c>
      <c r="E2401" s="221" t="s">
        <v>395</v>
      </c>
      <c r="F2401" s="223">
        <v>650</v>
      </c>
      <c r="G2401" s="221" t="s">
        <v>71</v>
      </c>
      <c r="H2401" s="221" t="s">
        <v>48</v>
      </c>
      <c r="I2401" s="222"/>
    </row>
    <row r="2402" ht="17.25" customHeight="1" spans="1:9" x14ac:dyDescent="0.25">
      <c r="A2402" s="220">
        <v>2525</v>
      </c>
      <c r="B2402" s="221" t="s">
        <v>5224</v>
      </c>
      <c r="C2402" s="222" t="s">
        <v>5225</v>
      </c>
      <c r="D2402" s="221" t="s">
        <v>92</v>
      </c>
      <c r="E2402" s="221" t="s">
        <v>395</v>
      </c>
      <c r="F2402" s="223">
        <v>650</v>
      </c>
      <c r="G2402" s="221" t="s">
        <v>71</v>
      </c>
      <c r="H2402" s="221" t="s">
        <v>48</v>
      </c>
      <c r="I2402" s="222"/>
    </row>
    <row r="2403" ht="17.25" customHeight="1" spans="1:9" x14ac:dyDescent="0.25">
      <c r="A2403" s="220">
        <v>2526</v>
      </c>
      <c r="B2403" s="221" t="s">
        <v>5226</v>
      </c>
      <c r="C2403" s="222" t="s">
        <v>5227</v>
      </c>
      <c r="D2403" s="221" t="s">
        <v>1999</v>
      </c>
      <c r="E2403" s="221" t="s">
        <v>27</v>
      </c>
      <c r="F2403" s="223">
        <v>0</v>
      </c>
      <c r="G2403" s="221" t="s">
        <v>71</v>
      </c>
      <c r="H2403" s="221" t="s">
        <v>71</v>
      </c>
      <c r="I2403" s="222"/>
    </row>
    <row r="2404" ht="17.25" customHeight="1" spans="1:9" x14ac:dyDescent="0.25">
      <c r="A2404" s="220">
        <v>2527</v>
      </c>
      <c r="B2404" s="221" t="s">
        <v>5228</v>
      </c>
      <c r="C2404" s="222" t="s">
        <v>5229</v>
      </c>
      <c r="D2404" s="221" t="s">
        <v>1447</v>
      </c>
      <c r="E2404" s="221" t="s">
        <v>27</v>
      </c>
      <c r="F2404" s="223">
        <v>0</v>
      </c>
      <c r="G2404" s="221" t="s">
        <v>48</v>
      </c>
      <c r="H2404" s="221" t="s">
        <v>48</v>
      </c>
      <c r="I2404" s="222"/>
    </row>
    <row r="2405" ht="17.25" customHeight="1" spans="1:9" x14ac:dyDescent="0.25">
      <c r="A2405" s="220">
        <v>2528</v>
      </c>
      <c r="B2405" s="221" t="s">
        <v>5230</v>
      </c>
      <c r="C2405" s="222" t="s">
        <v>5231</v>
      </c>
      <c r="D2405" s="221" t="s">
        <v>3862</v>
      </c>
      <c r="E2405" s="221" t="s">
        <v>27</v>
      </c>
      <c r="F2405" s="223">
        <v>0</v>
      </c>
      <c r="G2405" s="221" t="s">
        <v>71</v>
      </c>
      <c r="H2405" s="221" t="s">
        <v>71</v>
      </c>
      <c r="I2405" s="222"/>
    </row>
    <row r="2406" ht="17.25" customHeight="1" spans="1:9" x14ac:dyDescent="0.25">
      <c r="A2406" s="220">
        <v>2529</v>
      </c>
      <c r="B2406" s="221" t="s">
        <v>5232</v>
      </c>
      <c r="C2406" s="222" t="s">
        <v>5233</v>
      </c>
      <c r="D2406" s="221" t="s">
        <v>3862</v>
      </c>
      <c r="E2406" s="221" t="s">
        <v>27</v>
      </c>
      <c r="F2406" s="223">
        <v>0</v>
      </c>
      <c r="G2406" s="221" t="s">
        <v>71</v>
      </c>
      <c r="H2406" s="221" t="s">
        <v>71</v>
      </c>
      <c r="I2406" s="222"/>
    </row>
    <row r="2407" ht="17.25" customHeight="1" spans="1:9" x14ac:dyDescent="0.25">
      <c r="A2407" s="220">
        <v>2530</v>
      </c>
      <c r="B2407" s="221" t="s">
        <v>5234</v>
      </c>
      <c r="C2407" s="222" t="s">
        <v>5235</v>
      </c>
      <c r="D2407" s="221" t="s">
        <v>205</v>
      </c>
      <c r="E2407" s="221" t="s">
        <v>30</v>
      </c>
      <c r="F2407" s="223">
        <v>8500</v>
      </c>
      <c r="G2407" s="221" t="s">
        <v>71</v>
      </c>
      <c r="H2407" s="221" t="s">
        <v>71</v>
      </c>
      <c r="I2407" s="222"/>
    </row>
    <row r="2408" ht="17.25" customHeight="1" spans="1:9" x14ac:dyDescent="0.25">
      <c r="A2408" s="220">
        <v>2531</v>
      </c>
      <c r="B2408" s="221" t="s">
        <v>5236</v>
      </c>
      <c r="C2408" s="222" t="s">
        <v>5237</v>
      </c>
      <c r="D2408" s="221" t="s">
        <v>70</v>
      </c>
      <c r="E2408" s="221" t="s">
        <v>30</v>
      </c>
      <c r="F2408" s="223">
        <v>6800</v>
      </c>
      <c r="G2408" s="221" t="s">
        <v>71</v>
      </c>
      <c r="H2408" s="221" t="s">
        <v>71</v>
      </c>
      <c r="I2408" s="222"/>
    </row>
    <row r="2409" ht="17.25" customHeight="1" spans="1:9" x14ac:dyDescent="0.25">
      <c r="A2409" s="220">
        <v>2532</v>
      </c>
      <c r="B2409" s="221" t="s">
        <v>5238</v>
      </c>
      <c r="C2409" s="222" t="s">
        <v>5239</v>
      </c>
      <c r="D2409" s="221" t="s">
        <v>70</v>
      </c>
      <c r="E2409" s="221" t="s">
        <v>30</v>
      </c>
      <c r="F2409" s="223">
        <v>6800</v>
      </c>
      <c r="G2409" s="221" t="s">
        <v>71</v>
      </c>
      <c r="H2409" s="221" t="s">
        <v>71</v>
      </c>
      <c r="I2409" s="222"/>
    </row>
    <row r="2410" ht="17.25" customHeight="1" spans="1:9" x14ac:dyDescent="0.25">
      <c r="A2410" s="220">
        <v>2533</v>
      </c>
      <c r="B2410" s="221" t="s">
        <v>5240</v>
      </c>
      <c r="C2410" s="222" t="s">
        <v>5241</v>
      </c>
      <c r="D2410" s="221" t="s">
        <v>2542</v>
      </c>
      <c r="E2410" s="221" t="s">
        <v>27</v>
      </c>
      <c r="F2410" s="223">
        <v>0</v>
      </c>
      <c r="G2410" s="221" t="s">
        <v>48</v>
      </c>
      <c r="H2410" s="221" t="s">
        <v>48</v>
      </c>
      <c r="I2410" s="222"/>
    </row>
    <row r="2411" ht="17.25" customHeight="1" spans="1:9" x14ac:dyDescent="0.25">
      <c r="A2411" s="220">
        <v>2534</v>
      </c>
      <c r="B2411" s="221" t="s">
        <v>5242</v>
      </c>
      <c r="C2411" s="222" t="s">
        <v>5243</v>
      </c>
      <c r="D2411" s="221" t="s">
        <v>4556</v>
      </c>
      <c r="E2411" s="221" t="s">
        <v>30</v>
      </c>
      <c r="F2411" s="223">
        <v>12000</v>
      </c>
      <c r="G2411" s="221" t="s">
        <v>71</v>
      </c>
      <c r="H2411" s="221" t="s">
        <v>71</v>
      </c>
      <c r="I2411" s="222"/>
    </row>
    <row r="2412" ht="17.25" customHeight="1" spans="1:9" x14ac:dyDescent="0.25">
      <c r="A2412" s="220">
        <v>2535</v>
      </c>
      <c r="B2412" s="221" t="s">
        <v>5244</v>
      </c>
      <c r="C2412" s="222" t="s">
        <v>5245</v>
      </c>
      <c r="D2412" s="221" t="s">
        <v>92</v>
      </c>
      <c r="E2412" s="221" t="s">
        <v>395</v>
      </c>
      <c r="F2412" s="223">
        <v>650</v>
      </c>
      <c r="G2412" s="221" t="s">
        <v>71</v>
      </c>
      <c r="H2412" s="221" t="s">
        <v>48</v>
      </c>
      <c r="I2412" s="222"/>
    </row>
    <row r="2413" ht="17.25" customHeight="1" spans="1:9" x14ac:dyDescent="0.25">
      <c r="A2413" s="220">
        <v>2536</v>
      </c>
      <c r="B2413" s="221" t="s">
        <v>5246</v>
      </c>
      <c r="C2413" s="222" t="s">
        <v>5247</v>
      </c>
      <c r="D2413" s="221" t="s">
        <v>92</v>
      </c>
      <c r="E2413" s="221" t="s">
        <v>395</v>
      </c>
      <c r="F2413" s="223">
        <v>650</v>
      </c>
      <c r="G2413" s="221" t="s">
        <v>71</v>
      </c>
      <c r="H2413" s="221" t="s">
        <v>48</v>
      </c>
      <c r="I2413" s="222"/>
    </row>
    <row r="2414" ht="17.25" customHeight="1" spans="1:9" x14ac:dyDescent="0.25">
      <c r="A2414" s="220">
        <v>2537</v>
      </c>
      <c r="B2414" s="221" t="s">
        <v>5248</v>
      </c>
      <c r="C2414" s="222" t="s">
        <v>5249</v>
      </c>
      <c r="D2414" s="221" t="s">
        <v>92</v>
      </c>
      <c r="E2414" s="221" t="s">
        <v>395</v>
      </c>
      <c r="F2414" s="223">
        <v>650</v>
      </c>
      <c r="G2414" s="221" t="s">
        <v>71</v>
      </c>
      <c r="H2414" s="221" t="s">
        <v>48</v>
      </c>
      <c r="I2414" s="222"/>
    </row>
    <row r="2415" ht="17.25" customHeight="1" spans="1:9" x14ac:dyDescent="0.25">
      <c r="A2415" s="220">
        <v>2538</v>
      </c>
      <c r="B2415" s="221" t="s">
        <v>5250</v>
      </c>
      <c r="C2415" s="222" t="s">
        <v>5251</v>
      </c>
      <c r="D2415" s="221" t="s">
        <v>70</v>
      </c>
      <c r="E2415" s="221" t="s">
        <v>395</v>
      </c>
      <c r="F2415" s="223">
        <v>0</v>
      </c>
      <c r="G2415" s="221" t="s">
        <v>46</v>
      </c>
      <c r="H2415" s="221" t="s">
        <v>71</v>
      </c>
      <c r="I2415" s="222"/>
    </row>
    <row r="2416" ht="17.25" customHeight="1" spans="1:9" x14ac:dyDescent="0.25">
      <c r="A2416" s="220">
        <v>2539</v>
      </c>
      <c r="B2416" s="221" t="s">
        <v>5252</v>
      </c>
      <c r="C2416" s="222" t="s">
        <v>5253</v>
      </c>
      <c r="D2416" s="221" t="s">
        <v>44</v>
      </c>
      <c r="E2416" s="221" t="s">
        <v>395</v>
      </c>
      <c r="F2416" s="223">
        <v>3200</v>
      </c>
      <c r="G2416" s="221" t="s">
        <v>46</v>
      </c>
      <c r="H2416" s="221" t="s">
        <v>48</v>
      </c>
      <c r="I2416" s="222"/>
    </row>
    <row r="2417" ht="17.25" customHeight="1" spans="1:9" x14ac:dyDescent="0.25">
      <c r="A2417" s="220">
        <v>2540</v>
      </c>
      <c r="B2417" s="221" t="s">
        <v>5254</v>
      </c>
      <c r="C2417" s="222" t="s">
        <v>5255</v>
      </c>
      <c r="D2417" s="221" t="s">
        <v>205</v>
      </c>
      <c r="E2417" s="221" t="s">
        <v>395</v>
      </c>
      <c r="F2417" s="223">
        <v>0</v>
      </c>
      <c r="G2417" s="221" t="s">
        <v>71</v>
      </c>
      <c r="H2417" s="221" t="s">
        <v>71</v>
      </c>
      <c r="I2417" s="222"/>
    </row>
    <row r="2418" ht="17.25" customHeight="1" spans="1:9" x14ac:dyDescent="0.25">
      <c r="A2418" s="220">
        <v>2541</v>
      </c>
      <c r="B2418" s="221" t="s">
        <v>5256</v>
      </c>
      <c r="C2418" s="222" t="s">
        <v>5257</v>
      </c>
      <c r="D2418" s="221" t="s">
        <v>4556</v>
      </c>
      <c r="E2418" s="221" t="s">
        <v>30</v>
      </c>
      <c r="F2418" s="223">
        <v>9500</v>
      </c>
      <c r="G2418" s="221" t="s">
        <v>71</v>
      </c>
      <c r="H2418" s="221" t="s">
        <v>71</v>
      </c>
      <c r="I2418" s="222"/>
    </row>
    <row r="2419" ht="17.25" customHeight="1" spans="1:9" x14ac:dyDescent="0.25">
      <c r="A2419" s="220">
        <v>2542</v>
      </c>
      <c r="B2419" s="221" t="s">
        <v>5258</v>
      </c>
      <c r="C2419" s="222" t="s">
        <v>5259</v>
      </c>
      <c r="D2419" s="221" t="s">
        <v>70</v>
      </c>
      <c r="E2419" s="221" t="s">
        <v>395</v>
      </c>
      <c r="F2419" s="223">
        <v>0</v>
      </c>
      <c r="G2419" s="221" t="s">
        <v>46</v>
      </c>
      <c r="H2419" s="221" t="s">
        <v>71</v>
      </c>
      <c r="I2419" s="222" t="s">
        <v>5260</v>
      </c>
    </row>
    <row r="2420" ht="17.25" customHeight="1" spans="1:9" x14ac:dyDescent="0.25">
      <c r="A2420" s="220">
        <v>2543</v>
      </c>
      <c r="B2420" s="221" t="s">
        <v>5261</v>
      </c>
      <c r="C2420" s="222" t="s">
        <v>5262</v>
      </c>
      <c r="D2420" s="221" t="s">
        <v>44</v>
      </c>
      <c r="E2420" s="221" t="s">
        <v>395</v>
      </c>
      <c r="F2420" s="223">
        <v>3200</v>
      </c>
      <c r="G2420" s="221" t="s">
        <v>46</v>
      </c>
      <c r="H2420" s="221" t="s">
        <v>48</v>
      </c>
      <c r="I2420" s="222"/>
    </row>
    <row r="2421" ht="17.25" customHeight="1" spans="1:9" x14ac:dyDescent="0.25">
      <c r="A2421" s="220">
        <v>2544</v>
      </c>
      <c r="B2421" s="221" t="s">
        <v>5263</v>
      </c>
      <c r="C2421" s="222" t="s">
        <v>5264</v>
      </c>
      <c r="D2421" s="221" t="s">
        <v>1494</v>
      </c>
      <c r="E2421" s="221" t="s">
        <v>29</v>
      </c>
      <c r="F2421" s="223">
        <v>14000</v>
      </c>
      <c r="G2421" s="221" t="s">
        <v>71</v>
      </c>
      <c r="H2421" s="221" t="s">
        <v>71</v>
      </c>
      <c r="I2421" s="222"/>
    </row>
    <row r="2422" ht="17.25" customHeight="1" spans="1:9" x14ac:dyDescent="0.25">
      <c r="A2422" s="220">
        <v>2545</v>
      </c>
      <c r="B2422" s="221" t="s">
        <v>5265</v>
      </c>
      <c r="C2422" s="222" t="s">
        <v>5266</v>
      </c>
      <c r="D2422" s="221" t="s">
        <v>1494</v>
      </c>
      <c r="E2422" s="221" t="s">
        <v>29</v>
      </c>
      <c r="F2422" s="223">
        <v>14000</v>
      </c>
      <c r="G2422" s="221" t="s">
        <v>71</v>
      </c>
      <c r="H2422" s="221" t="s">
        <v>71</v>
      </c>
      <c r="I2422" s="222"/>
    </row>
    <row r="2423" ht="17.25" customHeight="1" spans="1:9" x14ac:dyDescent="0.25">
      <c r="A2423" s="220">
        <v>2546</v>
      </c>
      <c r="B2423" s="221" t="s">
        <v>5267</v>
      </c>
      <c r="C2423" s="222" t="s">
        <v>5268</v>
      </c>
      <c r="D2423" s="221" t="s">
        <v>1787</v>
      </c>
      <c r="E2423" s="221" t="s">
        <v>27</v>
      </c>
      <c r="F2423" s="223">
        <v>0</v>
      </c>
      <c r="G2423" s="221" t="s">
        <v>48</v>
      </c>
      <c r="H2423" s="221" t="s">
        <v>48</v>
      </c>
      <c r="I2423" s="222" t="s">
        <v>5269</v>
      </c>
    </row>
    <row r="2424" ht="17.25" customHeight="1" spans="1:9" x14ac:dyDescent="0.25">
      <c r="A2424" s="220">
        <v>2547</v>
      </c>
      <c r="B2424" s="221" t="s">
        <v>5270</v>
      </c>
      <c r="C2424" s="222" t="s">
        <v>5271</v>
      </c>
      <c r="D2424" s="221" t="s">
        <v>1787</v>
      </c>
      <c r="E2424" s="221" t="s">
        <v>27</v>
      </c>
      <c r="F2424" s="223">
        <v>0</v>
      </c>
      <c r="G2424" s="221" t="s">
        <v>48</v>
      </c>
      <c r="H2424" s="221" t="s">
        <v>48</v>
      </c>
      <c r="I2424" s="222" t="s">
        <v>1886</v>
      </c>
    </row>
    <row r="2425" ht="17.25" customHeight="1" spans="1:9" x14ac:dyDescent="0.25">
      <c r="A2425" s="220">
        <v>2548</v>
      </c>
      <c r="B2425" s="221" t="s">
        <v>5272</v>
      </c>
      <c r="C2425" s="222" t="s">
        <v>5273</v>
      </c>
      <c r="D2425" s="221" t="s">
        <v>1958</v>
      </c>
      <c r="E2425" s="221" t="s">
        <v>27</v>
      </c>
      <c r="F2425" s="223">
        <v>0</v>
      </c>
      <c r="G2425" s="221" t="s">
        <v>48</v>
      </c>
      <c r="H2425" s="221" t="s">
        <v>48</v>
      </c>
      <c r="I2425" s="222" t="s">
        <v>5274</v>
      </c>
    </row>
    <row r="2426" ht="17.25" customHeight="1" spans="1:9" x14ac:dyDescent="0.25">
      <c r="A2426" s="220">
        <v>2549</v>
      </c>
      <c r="B2426" s="221" t="s">
        <v>5275</v>
      </c>
      <c r="C2426" s="222" t="s">
        <v>5276</v>
      </c>
      <c r="D2426" s="221" t="s">
        <v>1958</v>
      </c>
      <c r="E2426" s="221" t="s">
        <v>27</v>
      </c>
      <c r="F2426" s="223">
        <v>0</v>
      </c>
      <c r="G2426" s="221" t="s">
        <v>71</v>
      </c>
      <c r="H2426" s="221" t="s">
        <v>71</v>
      </c>
      <c r="I2426" s="222" t="s">
        <v>5277</v>
      </c>
    </row>
    <row r="2427" ht="17.25" customHeight="1" spans="1:9" x14ac:dyDescent="0.25">
      <c r="A2427" s="220">
        <v>2550</v>
      </c>
      <c r="B2427" s="221" t="s">
        <v>5278</v>
      </c>
      <c r="C2427" s="222" t="s">
        <v>5279</v>
      </c>
      <c r="D2427" s="221" t="s">
        <v>1958</v>
      </c>
      <c r="E2427" s="221" t="s">
        <v>27</v>
      </c>
      <c r="F2427" s="223">
        <v>0</v>
      </c>
      <c r="G2427" s="221" t="s">
        <v>71</v>
      </c>
      <c r="H2427" s="221" t="s">
        <v>71</v>
      </c>
      <c r="I2427" s="222" t="s">
        <v>5280</v>
      </c>
    </row>
    <row r="2428" ht="17.25" customHeight="1" spans="1:9" x14ac:dyDescent="0.25">
      <c r="A2428" s="220">
        <v>2551</v>
      </c>
      <c r="B2428" s="221" t="s">
        <v>5281</v>
      </c>
      <c r="C2428" s="222" t="s">
        <v>5282</v>
      </c>
      <c r="D2428" s="221" t="s">
        <v>1958</v>
      </c>
      <c r="E2428" s="221" t="s">
        <v>27</v>
      </c>
      <c r="F2428" s="223">
        <v>0</v>
      </c>
      <c r="G2428" s="221" t="s">
        <v>71</v>
      </c>
      <c r="H2428" s="221" t="s">
        <v>71</v>
      </c>
      <c r="I2428" s="222" t="s">
        <v>5283</v>
      </c>
    </row>
    <row r="2429" ht="17.25" customHeight="1" spans="1:9" x14ac:dyDescent="0.25">
      <c r="A2429" s="220">
        <v>2552</v>
      </c>
      <c r="B2429" s="221" t="s">
        <v>5284</v>
      </c>
      <c r="C2429" s="222" t="s">
        <v>5285</v>
      </c>
      <c r="D2429" s="221" t="s">
        <v>44</v>
      </c>
      <c r="E2429" s="221" t="s">
        <v>27</v>
      </c>
      <c r="F2429" s="223">
        <v>0</v>
      </c>
      <c r="G2429" s="221" t="s">
        <v>48</v>
      </c>
      <c r="H2429" s="221" t="s">
        <v>48</v>
      </c>
      <c r="I2429" s="222"/>
    </row>
    <row r="2430" ht="17.25" customHeight="1" spans="1:9" x14ac:dyDescent="0.25">
      <c r="A2430" s="220">
        <v>2553</v>
      </c>
      <c r="B2430" s="221" t="s">
        <v>5286</v>
      </c>
      <c r="C2430" s="222" t="s">
        <v>5287</v>
      </c>
      <c r="D2430" s="221" t="s">
        <v>44</v>
      </c>
      <c r="E2430" s="221" t="s">
        <v>27</v>
      </c>
      <c r="F2430" s="223">
        <v>0</v>
      </c>
      <c r="G2430" s="221" t="s">
        <v>48</v>
      </c>
      <c r="H2430" s="221" t="s">
        <v>48</v>
      </c>
      <c r="I2430" s="222"/>
    </row>
    <row r="2431" ht="17.25" customHeight="1" spans="1:9" x14ac:dyDescent="0.25">
      <c r="A2431" s="220">
        <v>2554</v>
      </c>
      <c r="B2431" s="221" t="s">
        <v>5288</v>
      </c>
      <c r="C2431" s="222" t="s">
        <v>5289</v>
      </c>
      <c r="D2431" s="221" t="s">
        <v>573</v>
      </c>
      <c r="E2431" s="221" t="s">
        <v>27</v>
      </c>
      <c r="F2431" s="223">
        <v>0</v>
      </c>
      <c r="G2431" s="221" t="s">
        <v>48</v>
      </c>
      <c r="H2431" s="221" t="s">
        <v>48</v>
      </c>
      <c r="I2431" s="222" t="s">
        <v>5290</v>
      </c>
    </row>
    <row r="2432" ht="17.25" customHeight="1" spans="1:9" x14ac:dyDescent="0.25">
      <c r="A2432" s="220">
        <v>2555</v>
      </c>
      <c r="B2432" s="221" t="s">
        <v>5291</v>
      </c>
      <c r="C2432" s="222" t="s">
        <v>127</v>
      </c>
      <c r="D2432" s="221" t="s">
        <v>573</v>
      </c>
      <c r="E2432" s="221" t="s">
        <v>27</v>
      </c>
      <c r="F2432" s="223">
        <v>0</v>
      </c>
      <c r="G2432" s="221" t="s">
        <v>48</v>
      </c>
      <c r="H2432" s="221" t="s">
        <v>48</v>
      </c>
      <c r="I2432" s="222" t="s">
        <v>5292</v>
      </c>
    </row>
    <row r="2433" ht="17.25" customHeight="1" spans="1:9" x14ac:dyDescent="0.25">
      <c r="A2433" s="220">
        <v>2556</v>
      </c>
      <c r="B2433" s="221" t="s">
        <v>5293</v>
      </c>
      <c r="C2433" s="222" t="s">
        <v>5294</v>
      </c>
      <c r="D2433" s="221" t="s">
        <v>129</v>
      </c>
      <c r="E2433" s="221" t="s">
        <v>27</v>
      </c>
      <c r="F2433" s="223">
        <v>0</v>
      </c>
      <c r="G2433" s="221" t="s">
        <v>48</v>
      </c>
      <c r="H2433" s="221" t="s">
        <v>48</v>
      </c>
      <c r="I2433" s="222"/>
    </row>
    <row r="2434" ht="17.25" customHeight="1" spans="1:9" x14ac:dyDescent="0.25">
      <c r="A2434" s="220">
        <v>2557</v>
      </c>
      <c r="B2434" s="221" t="s">
        <v>5295</v>
      </c>
      <c r="C2434" s="222" t="s">
        <v>5296</v>
      </c>
      <c r="D2434" s="221" t="s">
        <v>4556</v>
      </c>
      <c r="E2434" s="221" t="s">
        <v>30</v>
      </c>
      <c r="F2434" s="223">
        <v>0</v>
      </c>
      <c r="G2434" s="221" t="s">
        <v>71</v>
      </c>
      <c r="H2434" s="221" t="s">
        <v>71</v>
      </c>
      <c r="I2434" s="222"/>
    </row>
    <row r="2435" ht="17.25" customHeight="1" spans="1:9" x14ac:dyDescent="0.25">
      <c r="A2435" s="220">
        <v>2558</v>
      </c>
      <c r="B2435" s="221" t="s">
        <v>5297</v>
      </c>
      <c r="C2435" s="222" t="s">
        <v>5298</v>
      </c>
      <c r="D2435" s="221" t="s">
        <v>4556</v>
      </c>
      <c r="E2435" s="221" t="s">
        <v>30</v>
      </c>
      <c r="F2435" s="223">
        <v>0</v>
      </c>
      <c r="G2435" s="221" t="s">
        <v>71</v>
      </c>
      <c r="H2435" s="221" t="s">
        <v>71</v>
      </c>
      <c r="I2435" s="222"/>
    </row>
    <row r="2436" ht="17.25" customHeight="1" spans="1:9" x14ac:dyDescent="0.25">
      <c r="A2436" s="220">
        <v>2559</v>
      </c>
      <c r="B2436" s="221" t="s">
        <v>5299</v>
      </c>
      <c r="C2436" s="222" t="s">
        <v>5300</v>
      </c>
      <c r="D2436" s="221" t="s">
        <v>4556</v>
      </c>
      <c r="E2436" s="221" t="s">
        <v>30</v>
      </c>
      <c r="F2436" s="223">
        <v>0</v>
      </c>
      <c r="G2436" s="221" t="s">
        <v>71</v>
      </c>
      <c r="H2436" s="221" t="s">
        <v>71</v>
      </c>
      <c r="I2436" s="222"/>
    </row>
    <row r="2437" ht="17.25" customHeight="1" spans="1:9" x14ac:dyDescent="0.25">
      <c r="A2437" s="220">
        <v>2560</v>
      </c>
      <c r="B2437" s="221" t="s">
        <v>5301</v>
      </c>
      <c r="C2437" s="222" t="s">
        <v>5302</v>
      </c>
      <c r="D2437" s="221" t="s">
        <v>4556</v>
      </c>
      <c r="E2437" s="221" t="s">
        <v>30</v>
      </c>
      <c r="F2437" s="223">
        <v>0</v>
      </c>
      <c r="G2437" s="221" t="s">
        <v>71</v>
      </c>
      <c r="H2437" s="221" t="s">
        <v>71</v>
      </c>
      <c r="I2437" s="222"/>
    </row>
    <row r="2438" ht="17.25" customHeight="1" spans="1:9" x14ac:dyDescent="0.25">
      <c r="A2438" s="220">
        <v>2561</v>
      </c>
      <c r="B2438" s="221" t="s">
        <v>5303</v>
      </c>
      <c r="C2438" s="222" t="s">
        <v>5304</v>
      </c>
      <c r="D2438" s="221" t="s">
        <v>4556</v>
      </c>
      <c r="E2438" s="221" t="s">
        <v>30</v>
      </c>
      <c r="F2438" s="223">
        <v>0</v>
      </c>
      <c r="G2438" s="221" t="s">
        <v>71</v>
      </c>
      <c r="H2438" s="221" t="s">
        <v>71</v>
      </c>
      <c r="I2438" s="222"/>
    </row>
    <row r="2439" ht="17.25" customHeight="1" spans="1:9" x14ac:dyDescent="0.25">
      <c r="A2439" s="220">
        <v>2562</v>
      </c>
      <c r="B2439" s="221" t="s">
        <v>5305</v>
      </c>
      <c r="C2439" s="222" t="s">
        <v>5306</v>
      </c>
      <c r="D2439" s="221" t="s">
        <v>4556</v>
      </c>
      <c r="E2439" s="221" t="s">
        <v>30</v>
      </c>
      <c r="F2439" s="223">
        <v>0</v>
      </c>
      <c r="G2439" s="221" t="s">
        <v>71</v>
      </c>
      <c r="H2439" s="221" t="s">
        <v>71</v>
      </c>
      <c r="I2439" s="222"/>
    </row>
    <row r="2440" ht="17.25" customHeight="1" spans="1:9" x14ac:dyDescent="0.25">
      <c r="A2440" s="220">
        <v>2563</v>
      </c>
      <c r="B2440" s="221" t="s">
        <v>5307</v>
      </c>
      <c r="C2440" s="222" t="s">
        <v>5308</v>
      </c>
      <c r="D2440" s="221" t="s">
        <v>1494</v>
      </c>
      <c r="E2440" s="221" t="s">
        <v>29</v>
      </c>
      <c r="F2440" s="223">
        <v>0</v>
      </c>
      <c r="G2440" s="221" t="s">
        <v>71</v>
      </c>
      <c r="H2440" s="221" t="s">
        <v>71</v>
      </c>
      <c r="I2440" s="222"/>
    </row>
    <row r="2441" ht="17.25" customHeight="1" spans="1:9" x14ac:dyDescent="0.25">
      <c r="A2441" s="220">
        <v>2564</v>
      </c>
      <c r="B2441" s="221" t="s">
        <v>5309</v>
      </c>
      <c r="C2441" s="222" t="s">
        <v>5310</v>
      </c>
      <c r="D2441" s="221" t="s">
        <v>4556</v>
      </c>
      <c r="E2441" s="221" t="s">
        <v>30</v>
      </c>
      <c r="F2441" s="223">
        <v>9500</v>
      </c>
      <c r="G2441" s="221" t="s">
        <v>71</v>
      </c>
      <c r="H2441" s="221" t="s">
        <v>71</v>
      </c>
      <c r="I2441" s="222"/>
    </row>
    <row r="2442" ht="17.25" customHeight="1" spans="1:9" x14ac:dyDescent="0.25">
      <c r="A2442" s="220">
        <v>2565</v>
      </c>
      <c r="B2442" s="221" t="s">
        <v>5311</v>
      </c>
      <c r="C2442" s="222" t="s">
        <v>5312</v>
      </c>
      <c r="D2442" s="221" t="s">
        <v>3862</v>
      </c>
      <c r="E2442" s="221" t="s">
        <v>27</v>
      </c>
      <c r="F2442" s="223">
        <v>0</v>
      </c>
      <c r="G2442" s="221" t="s">
        <v>71</v>
      </c>
      <c r="H2442" s="221" t="s">
        <v>71</v>
      </c>
      <c r="I2442" s="222"/>
    </row>
    <row r="2443" ht="17.25" customHeight="1" spans="1:9" x14ac:dyDescent="0.25">
      <c r="A2443" s="220">
        <v>2566</v>
      </c>
      <c r="B2443" s="221" t="s">
        <v>5313</v>
      </c>
      <c r="C2443" s="222" t="s">
        <v>5314</v>
      </c>
      <c r="D2443" s="221" t="s">
        <v>3862</v>
      </c>
      <c r="E2443" s="221" t="s">
        <v>27</v>
      </c>
      <c r="F2443" s="223">
        <v>0</v>
      </c>
      <c r="G2443" s="221" t="s">
        <v>71</v>
      </c>
      <c r="H2443" s="221" t="s">
        <v>71</v>
      </c>
      <c r="I2443" s="222"/>
    </row>
    <row r="2444" ht="17.25" customHeight="1" spans="1:9" x14ac:dyDescent="0.25">
      <c r="A2444" s="220">
        <v>2567</v>
      </c>
      <c r="B2444" s="221" t="s">
        <v>5315</v>
      </c>
      <c r="C2444" s="222" t="s">
        <v>5316</v>
      </c>
      <c r="D2444" s="221" t="s">
        <v>3862</v>
      </c>
      <c r="E2444" s="221" t="s">
        <v>27</v>
      </c>
      <c r="F2444" s="223">
        <v>0</v>
      </c>
      <c r="G2444" s="221" t="s">
        <v>71</v>
      </c>
      <c r="H2444" s="221" t="s">
        <v>71</v>
      </c>
      <c r="I2444" s="222"/>
    </row>
    <row r="2445" ht="17.25" customHeight="1" spans="1:9" x14ac:dyDescent="0.25">
      <c r="A2445" s="220">
        <v>2568</v>
      </c>
      <c r="B2445" s="221" t="s">
        <v>5317</v>
      </c>
      <c r="C2445" s="222" t="s">
        <v>5318</v>
      </c>
      <c r="D2445" s="221" t="s">
        <v>3862</v>
      </c>
      <c r="E2445" s="221" t="s">
        <v>27</v>
      </c>
      <c r="F2445" s="223">
        <v>0</v>
      </c>
      <c r="G2445" s="221" t="s">
        <v>71</v>
      </c>
      <c r="H2445" s="221" t="s">
        <v>71</v>
      </c>
      <c r="I2445" s="222"/>
    </row>
    <row r="2446" ht="17.25" customHeight="1" spans="1:9" x14ac:dyDescent="0.25">
      <c r="A2446" s="220">
        <v>2569</v>
      </c>
      <c r="B2446" s="221" t="s">
        <v>5319</v>
      </c>
      <c r="C2446" s="222" t="s">
        <v>5320</v>
      </c>
      <c r="D2446" s="221" t="s">
        <v>44</v>
      </c>
      <c r="E2446" s="221" t="s">
        <v>27</v>
      </c>
      <c r="F2446" s="223">
        <v>0</v>
      </c>
      <c r="G2446" s="221" t="s">
        <v>48</v>
      </c>
      <c r="H2446" s="221" t="s">
        <v>48</v>
      </c>
      <c r="I2446" s="222" t="s">
        <v>5321</v>
      </c>
    </row>
    <row r="2447" ht="17.25" customHeight="1" spans="1:9" x14ac:dyDescent="0.25">
      <c r="A2447" s="220">
        <v>2570</v>
      </c>
      <c r="B2447" s="221" t="s">
        <v>5322</v>
      </c>
      <c r="C2447" s="222" t="s">
        <v>5323</v>
      </c>
      <c r="D2447" s="221" t="s">
        <v>92</v>
      </c>
      <c r="E2447" s="221" t="s">
        <v>395</v>
      </c>
      <c r="F2447" s="223">
        <v>650</v>
      </c>
      <c r="G2447" s="221" t="s">
        <v>71</v>
      </c>
      <c r="H2447" s="221" t="s">
        <v>48</v>
      </c>
      <c r="I2447" s="222"/>
    </row>
    <row r="2448" ht="17.25" customHeight="1" spans="1:9" x14ac:dyDescent="0.25">
      <c r="A2448" s="220">
        <v>2571</v>
      </c>
      <c r="B2448" s="221" t="s">
        <v>5324</v>
      </c>
      <c r="C2448" s="222" t="s">
        <v>5325</v>
      </c>
      <c r="D2448" s="221" t="s">
        <v>92</v>
      </c>
      <c r="E2448" s="221" t="s">
        <v>395</v>
      </c>
      <c r="F2448" s="223">
        <v>650</v>
      </c>
      <c r="G2448" s="221" t="s">
        <v>71</v>
      </c>
      <c r="H2448" s="221" t="s">
        <v>48</v>
      </c>
      <c r="I2448" s="222"/>
    </row>
    <row r="2449" ht="17.25" customHeight="1" spans="1:9" x14ac:dyDescent="0.25">
      <c r="A2449" s="220">
        <v>2572</v>
      </c>
      <c r="B2449" s="221" t="s">
        <v>5326</v>
      </c>
      <c r="C2449" s="222" t="s">
        <v>5327</v>
      </c>
      <c r="D2449" s="221" t="s">
        <v>1999</v>
      </c>
      <c r="E2449" s="221" t="s">
        <v>27</v>
      </c>
      <c r="F2449" s="223">
        <v>0</v>
      </c>
      <c r="G2449" s="221" t="s">
        <v>71</v>
      </c>
      <c r="H2449" s="221" t="s">
        <v>71</v>
      </c>
      <c r="I2449" s="222"/>
    </row>
    <row r="2450" ht="17.25" customHeight="1" spans="1:9" x14ac:dyDescent="0.25">
      <c r="A2450" s="220">
        <v>2573</v>
      </c>
      <c r="B2450" s="221" t="s">
        <v>5328</v>
      </c>
      <c r="C2450" s="222" t="s">
        <v>5329</v>
      </c>
      <c r="D2450" s="221" t="s">
        <v>573</v>
      </c>
      <c r="E2450" s="221" t="s">
        <v>27</v>
      </c>
      <c r="F2450" s="223">
        <v>0</v>
      </c>
      <c r="G2450" s="221" t="s">
        <v>48</v>
      </c>
      <c r="H2450" s="221" t="s">
        <v>48</v>
      </c>
      <c r="I2450" s="222"/>
    </row>
    <row r="2451" ht="17.25" customHeight="1" spans="1:9" x14ac:dyDescent="0.25">
      <c r="A2451" s="220">
        <v>2574</v>
      </c>
      <c r="B2451" s="221" t="s">
        <v>5330</v>
      </c>
      <c r="C2451" s="222" t="s">
        <v>5331</v>
      </c>
      <c r="D2451" s="221" t="s">
        <v>573</v>
      </c>
      <c r="E2451" s="221" t="s">
        <v>27</v>
      </c>
      <c r="F2451" s="223">
        <v>0</v>
      </c>
      <c r="G2451" s="221" t="s">
        <v>48</v>
      </c>
      <c r="H2451" s="221" t="s">
        <v>48</v>
      </c>
      <c r="I2451" s="222"/>
    </row>
    <row r="2452" ht="17.25" customHeight="1" spans="1:9" x14ac:dyDescent="0.25">
      <c r="A2452" s="220">
        <v>2575</v>
      </c>
      <c r="B2452" s="221" t="s">
        <v>5332</v>
      </c>
      <c r="C2452" s="222" t="s">
        <v>5333</v>
      </c>
      <c r="D2452" s="221" t="s">
        <v>573</v>
      </c>
      <c r="E2452" s="221" t="s">
        <v>27</v>
      </c>
      <c r="F2452" s="223">
        <v>0</v>
      </c>
      <c r="G2452" s="221" t="s">
        <v>48</v>
      </c>
      <c r="H2452" s="221" t="s">
        <v>48</v>
      </c>
      <c r="I2452" s="222"/>
    </row>
    <row r="2453" ht="17.25" customHeight="1" spans="1:9" x14ac:dyDescent="0.25">
      <c r="A2453" s="220">
        <v>2576</v>
      </c>
      <c r="B2453" s="221" t="s">
        <v>5334</v>
      </c>
      <c r="C2453" s="222" t="s">
        <v>5335</v>
      </c>
      <c r="D2453" s="221" t="s">
        <v>573</v>
      </c>
      <c r="E2453" s="221" t="s">
        <v>27</v>
      </c>
      <c r="F2453" s="223">
        <v>0</v>
      </c>
      <c r="G2453" s="221" t="s">
        <v>48</v>
      </c>
      <c r="H2453" s="221" t="s">
        <v>48</v>
      </c>
      <c r="I2453" s="222"/>
    </row>
    <row r="2454" ht="17.25" customHeight="1" spans="1:9" x14ac:dyDescent="0.25">
      <c r="A2454" s="220">
        <v>2577</v>
      </c>
      <c r="B2454" s="221" t="s">
        <v>5336</v>
      </c>
      <c r="C2454" s="222" t="s">
        <v>5337</v>
      </c>
      <c r="D2454" s="221" t="s">
        <v>573</v>
      </c>
      <c r="E2454" s="221" t="s">
        <v>27</v>
      </c>
      <c r="F2454" s="223">
        <v>0</v>
      </c>
      <c r="G2454" s="221" t="s">
        <v>48</v>
      </c>
      <c r="H2454" s="221" t="s">
        <v>48</v>
      </c>
      <c r="I2454" s="222"/>
    </row>
    <row r="2455" ht="17.25" customHeight="1" spans="1:9" x14ac:dyDescent="0.25">
      <c r="A2455" s="220">
        <v>2578</v>
      </c>
      <c r="B2455" s="221" t="s">
        <v>5338</v>
      </c>
      <c r="C2455" s="222" t="s">
        <v>5339</v>
      </c>
      <c r="D2455" s="221" t="s">
        <v>573</v>
      </c>
      <c r="E2455" s="221" t="s">
        <v>27</v>
      </c>
      <c r="F2455" s="223">
        <v>0</v>
      </c>
      <c r="G2455" s="221" t="s">
        <v>48</v>
      </c>
      <c r="H2455" s="221" t="s">
        <v>48</v>
      </c>
      <c r="I2455" s="222"/>
    </row>
    <row r="2456" ht="17.25" customHeight="1" spans="1:9" x14ac:dyDescent="0.25">
      <c r="A2456" s="220">
        <v>2579</v>
      </c>
      <c r="B2456" s="221" t="s">
        <v>5340</v>
      </c>
      <c r="C2456" s="222" t="s">
        <v>5341</v>
      </c>
      <c r="D2456" s="221" t="s">
        <v>573</v>
      </c>
      <c r="E2456" s="221" t="s">
        <v>27</v>
      </c>
      <c r="F2456" s="223">
        <v>0</v>
      </c>
      <c r="G2456" s="221" t="s">
        <v>48</v>
      </c>
      <c r="H2456" s="221" t="s">
        <v>48</v>
      </c>
      <c r="I2456" s="222"/>
    </row>
    <row r="2457" ht="17.25" customHeight="1" spans="1:9" x14ac:dyDescent="0.25">
      <c r="A2457" s="220">
        <v>2580</v>
      </c>
      <c r="B2457" s="221" t="s">
        <v>5342</v>
      </c>
      <c r="C2457" s="222" t="s">
        <v>5343</v>
      </c>
      <c r="D2457" s="221" t="s">
        <v>573</v>
      </c>
      <c r="E2457" s="221" t="s">
        <v>27</v>
      </c>
      <c r="F2457" s="223">
        <v>0</v>
      </c>
      <c r="G2457" s="221" t="s">
        <v>48</v>
      </c>
      <c r="H2457" s="221" t="s">
        <v>48</v>
      </c>
      <c r="I2457" s="222"/>
    </row>
    <row r="2458" ht="17.25" customHeight="1" spans="1:9" x14ac:dyDescent="0.25">
      <c r="A2458" s="220">
        <v>2581</v>
      </c>
      <c r="B2458" s="221" t="s">
        <v>5344</v>
      </c>
      <c r="C2458" s="222" t="s">
        <v>5345</v>
      </c>
      <c r="D2458" s="221" t="s">
        <v>573</v>
      </c>
      <c r="E2458" s="221" t="s">
        <v>27</v>
      </c>
      <c r="F2458" s="223">
        <v>0</v>
      </c>
      <c r="G2458" s="221" t="s">
        <v>48</v>
      </c>
      <c r="H2458" s="221" t="s">
        <v>48</v>
      </c>
      <c r="I2458" s="222"/>
    </row>
    <row r="2459" ht="17.25" customHeight="1" spans="1:9" x14ac:dyDescent="0.25">
      <c r="A2459" s="220">
        <v>2582</v>
      </c>
      <c r="B2459" s="221" t="s">
        <v>5346</v>
      </c>
      <c r="C2459" s="222" t="s">
        <v>5347</v>
      </c>
      <c r="D2459" s="221" t="s">
        <v>573</v>
      </c>
      <c r="E2459" s="221" t="s">
        <v>27</v>
      </c>
      <c r="F2459" s="223">
        <v>0</v>
      </c>
      <c r="G2459" s="221" t="s">
        <v>48</v>
      </c>
      <c r="H2459" s="221" t="s">
        <v>48</v>
      </c>
      <c r="I2459" s="222"/>
    </row>
    <row r="2460" ht="17.25" customHeight="1" spans="1:9" x14ac:dyDescent="0.25">
      <c r="A2460" s="220">
        <v>2583</v>
      </c>
      <c r="B2460" s="221" t="s">
        <v>5348</v>
      </c>
      <c r="C2460" s="222" t="s">
        <v>5349</v>
      </c>
      <c r="D2460" s="221" t="s">
        <v>1999</v>
      </c>
      <c r="E2460" s="221" t="s">
        <v>27</v>
      </c>
      <c r="F2460" s="223">
        <v>0</v>
      </c>
      <c r="G2460" s="221" t="s">
        <v>71</v>
      </c>
      <c r="H2460" s="221" t="s">
        <v>71</v>
      </c>
      <c r="I2460" s="222"/>
    </row>
    <row r="2461" ht="17.25" customHeight="1" spans="1:9" x14ac:dyDescent="0.25">
      <c r="A2461" s="220">
        <v>2585</v>
      </c>
      <c r="B2461" s="221" t="s">
        <v>5350</v>
      </c>
      <c r="C2461" s="222" t="s">
        <v>5351</v>
      </c>
      <c r="D2461" s="221" t="s">
        <v>205</v>
      </c>
      <c r="E2461" s="221" t="s">
        <v>30</v>
      </c>
      <c r="F2461" s="223">
        <v>8500</v>
      </c>
      <c r="G2461" s="221" t="s">
        <v>71</v>
      </c>
      <c r="H2461" s="221" t="s">
        <v>71</v>
      </c>
      <c r="I2461" s="222" t="s">
        <v>5352</v>
      </c>
    </row>
    <row r="2462" ht="17.25" customHeight="1" spans="1:9" x14ac:dyDescent="0.25">
      <c r="A2462" s="220">
        <v>2586</v>
      </c>
      <c r="B2462" s="221" t="s">
        <v>5353</v>
      </c>
      <c r="C2462" s="222" t="s">
        <v>5354</v>
      </c>
      <c r="D2462" s="221" t="s">
        <v>205</v>
      </c>
      <c r="E2462" s="221" t="s">
        <v>30</v>
      </c>
      <c r="F2462" s="223">
        <v>12000</v>
      </c>
      <c r="G2462" s="221" t="s">
        <v>71</v>
      </c>
      <c r="H2462" s="221" t="s">
        <v>71</v>
      </c>
      <c r="I2462" s="222"/>
    </row>
    <row r="2463" ht="17.25" customHeight="1" spans="1:9" x14ac:dyDescent="0.25">
      <c r="A2463" s="220">
        <v>2587</v>
      </c>
      <c r="B2463" s="221" t="s">
        <v>5355</v>
      </c>
      <c r="C2463" s="222" t="s">
        <v>5356</v>
      </c>
      <c r="D2463" s="221" t="s">
        <v>4556</v>
      </c>
      <c r="E2463" s="221" t="s">
        <v>30</v>
      </c>
      <c r="F2463" s="223">
        <v>11000</v>
      </c>
      <c r="G2463" s="221" t="s">
        <v>71</v>
      </c>
      <c r="H2463" s="221" t="s">
        <v>71</v>
      </c>
      <c r="I2463" s="222"/>
    </row>
    <row r="2464" ht="17.25" customHeight="1" spans="1:9" x14ac:dyDescent="0.25">
      <c r="A2464" s="220">
        <v>2588</v>
      </c>
      <c r="B2464" s="221" t="s">
        <v>5357</v>
      </c>
      <c r="C2464" s="222" t="s">
        <v>5358</v>
      </c>
      <c r="D2464" s="221" t="s">
        <v>129</v>
      </c>
      <c r="E2464" s="221" t="s">
        <v>27</v>
      </c>
      <c r="F2464" s="223">
        <v>0</v>
      </c>
      <c r="G2464" s="221" t="s">
        <v>48</v>
      </c>
      <c r="H2464" s="221" t="s">
        <v>48</v>
      </c>
      <c r="I2464" s="222"/>
    </row>
    <row r="2465" ht="17.25" customHeight="1" spans="1:9" x14ac:dyDescent="0.25">
      <c r="A2465" s="220">
        <v>2589</v>
      </c>
      <c r="B2465" s="221" t="s">
        <v>5359</v>
      </c>
      <c r="C2465" s="222" t="s">
        <v>5360</v>
      </c>
      <c r="D2465" s="221" t="s">
        <v>44</v>
      </c>
      <c r="E2465" s="221" t="s">
        <v>27</v>
      </c>
      <c r="F2465" s="223">
        <v>0</v>
      </c>
      <c r="G2465" s="221" t="s">
        <v>48</v>
      </c>
      <c r="H2465" s="221" t="s">
        <v>48</v>
      </c>
      <c r="I2465" s="222"/>
    </row>
    <row r="2466" ht="17.25" customHeight="1" spans="1:9" x14ac:dyDescent="0.25">
      <c r="A2466" s="220">
        <v>2590</v>
      </c>
      <c r="B2466" s="221" t="s">
        <v>5361</v>
      </c>
      <c r="C2466" s="222" t="s">
        <v>5362</v>
      </c>
      <c r="D2466" s="221" t="s">
        <v>44</v>
      </c>
      <c r="E2466" s="221" t="s">
        <v>27</v>
      </c>
      <c r="F2466" s="223">
        <v>0</v>
      </c>
      <c r="G2466" s="221" t="s">
        <v>48</v>
      </c>
      <c r="H2466" s="221" t="s">
        <v>48</v>
      </c>
      <c r="I2466" s="222"/>
    </row>
    <row r="2467" ht="17.25" customHeight="1" spans="1:9" x14ac:dyDescent="0.25">
      <c r="A2467" s="220">
        <v>2591</v>
      </c>
      <c r="B2467" s="221"/>
      <c r="C2467" s="222" t="s">
        <v>5363</v>
      </c>
      <c r="D2467" s="221" t="s">
        <v>2587</v>
      </c>
      <c r="E2467" s="221" t="s">
        <v>27</v>
      </c>
      <c r="F2467" s="223">
        <v>0</v>
      </c>
      <c r="G2467" s="221" t="s">
        <v>48</v>
      </c>
      <c r="H2467" s="221" t="s">
        <v>48</v>
      </c>
      <c r="I2467" s="222" t="s">
        <v>5364</v>
      </c>
    </row>
    <row r="2468" ht="17.25" customHeight="1" spans="1:9" x14ac:dyDescent="0.25">
      <c r="A2468" s="220">
        <v>2592</v>
      </c>
      <c r="B2468" s="221" t="s">
        <v>5365</v>
      </c>
      <c r="C2468" s="222" t="s">
        <v>5366</v>
      </c>
      <c r="D2468" s="221" t="s">
        <v>205</v>
      </c>
      <c r="E2468" s="221" t="s">
        <v>30</v>
      </c>
      <c r="F2468" s="223">
        <v>0</v>
      </c>
      <c r="G2468" s="221" t="s">
        <v>71</v>
      </c>
      <c r="H2468" s="221" t="s">
        <v>71</v>
      </c>
      <c r="I2468" s="222"/>
    </row>
    <row r="2469" ht="17.25" customHeight="1" spans="1:9" x14ac:dyDescent="0.25">
      <c r="A2469" s="220">
        <v>2593</v>
      </c>
      <c r="B2469" s="221" t="s">
        <v>5367</v>
      </c>
      <c r="C2469" s="222" t="s">
        <v>5368</v>
      </c>
      <c r="D2469" s="221" t="s">
        <v>1958</v>
      </c>
      <c r="E2469" s="221" t="s">
        <v>27</v>
      </c>
      <c r="F2469" s="223">
        <v>0</v>
      </c>
      <c r="G2469" s="221" t="s">
        <v>48</v>
      </c>
      <c r="H2469" s="221" t="s">
        <v>48</v>
      </c>
      <c r="I2469" s="222" t="s">
        <v>5369</v>
      </c>
    </row>
    <row r="2470" ht="17.25" customHeight="1" spans="1:9" x14ac:dyDescent="0.25">
      <c r="A2470" s="220">
        <v>2594</v>
      </c>
      <c r="B2470" s="221" t="s">
        <v>5370</v>
      </c>
      <c r="C2470" s="222" t="s">
        <v>5371</v>
      </c>
      <c r="D2470" s="221" t="s">
        <v>1999</v>
      </c>
      <c r="E2470" s="221" t="s">
        <v>27</v>
      </c>
      <c r="F2470" s="223">
        <v>0</v>
      </c>
      <c r="G2470" s="221" t="s">
        <v>71</v>
      </c>
      <c r="H2470" s="221" t="s">
        <v>71</v>
      </c>
      <c r="I2470" s="222"/>
    </row>
    <row r="2471" ht="17.25" customHeight="1" spans="1:9" x14ac:dyDescent="0.25">
      <c r="A2471" s="220">
        <v>2595</v>
      </c>
      <c r="B2471" s="221" t="s">
        <v>5372</v>
      </c>
      <c r="C2471" s="222" t="s">
        <v>5373</v>
      </c>
      <c r="D2471" s="221" t="s">
        <v>1637</v>
      </c>
      <c r="E2471" s="221" t="s">
        <v>27</v>
      </c>
      <c r="F2471" s="223">
        <v>0</v>
      </c>
      <c r="G2471" s="221" t="s">
        <v>48</v>
      </c>
      <c r="H2471" s="221" t="s">
        <v>48</v>
      </c>
      <c r="I2471" s="222"/>
    </row>
    <row r="2472" ht="17.25" customHeight="1" spans="1:9" x14ac:dyDescent="0.25">
      <c r="A2472" s="220">
        <v>2596</v>
      </c>
      <c r="B2472" s="221" t="s">
        <v>5374</v>
      </c>
      <c r="C2472" s="222" t="s">
        <v>5375</v>
      </c>
      <c r="D2472" s="221" t="s">
        <v>205</v>
      </c>
      <c r="E2472" s="221" t="s">
        <v>30</v>
      </c>
      <c r="F2472" s="223">
        <v>12500</v>
      </c>
      <c r="G2472" s="221" t="s">
        <v>71</v>
      </c>
      <c r="H2472" s="221" t="s">
        <v>71</v>
      </c>
      <c r="I2472" s="222"/>
    </row>
    <row r="2473" ht="17.25" customHeight="1" spans="1:9" x14ac:dyDescent="0.25">
      <c r="A2473" s="220">
        <v>2597</v>
      </c>
      <c r="B2473" s="221" t="s">
        <v>5376</v>
      </c>
      <c r="C2473" s="222" t="s">
        <v>5377</v>
      </c>
      <c r="D2473" s="221" t="s">
        <v>205</v>
      </c>
      <c r="E2473" s="221" t="s">
        <v>30</v>
      </c>
      <c r="F2473" s="223">
        <v>12000</v>
      </c>
      <c r="G2473" s="221" t="s">
        <v>71</v>
      </c>
      <c r="H2473" s="221" t="s">
        <v>71</v>
      </c>
      <c r="I2473" s="222"/>
    </row>
    <row r="2474" ht="17.25" customHeight="1" spans="1:9" x14ac:dyDescent="0.25">
      <c r="A2474" s="220">
        <v>2598</v>
      </c>
      <c r="B2474" s="221" t="s">
        <v>5378</v>
      </c>
      <c r="C2474" s="222" t="s">
        <v>5379</v>
      </c>
      <c r="D2474" s="221" t="s">
        <v>4556</v>
      </c>
      <c r="E2474" s="221" t="s">
        <v>30</v>
      </c>
      <c r="F2474" s="223">
        <v>0</v>
      </c>
      <c r="G2474" s="221" t="s">
        <v>71</v>
      </c>
      <c r="H2474" s="221" t="s">
        <v>71</v>
      </c>
      <c r="I2474" s="222"/>
    </row>
    <row r="2475" ht="17.25" customHeight="1" spans="1:9" x14ac:dyDescent="0.25">
      <c r="A2475" s="220">
        <v>2599</v>
      </c>
      <c r="B2475" s="221" t="s">
        <v>5380</v>
      </c>
      <c r="C2475" s="222" t="s">
        <v>5381</v>
      </c>
      <c r="D2475" s="221" t="s">
        <v>70</v>
      </c>
      <c r="E2475" s="221" t="s">
        <v>395</v>
      </c>
      <c r="F2475" s="223">
        <v>0</v>
      </c>
      <c r="G2475" s="221" t="s">
        <v>46</v>
      </c>
      <c r="H2475" s="221" t="s">
        <v>71</v>
      </c>
      <c r="I2475" s="222"/>
    </row>
    <row r="2476" ht="17.25" customHeight="1" spans="1:9" x14ac:dyDescent="0.25">
      <c r="A2476" s="220">
        <v>2600</v>
      </c>
      <c r="B2476" s="221" t="s">
        <v>5382</v>
      </c>
      <c r="C2476" s="222" t="s">
        <v>5383</v>
      </c>
      <c r="D2476" s="221" t="s">
        <v>70</v>
      </c>
      <c r="E2476" s="221" t="s">
        <v>395</v>
      </c>
      <c r="F2476" s="223">
        <v>0</v>
      </c>
      <c r="G2476" s="221" t="s">
        <v>46</v>
      </c>
      <c r="H2476" s="221" t="s">
        <v>71</v>
      </c>
      <c r="I2476" s="222"/>
    </row>
    <row r="2477" ht="17.25" customHeight="1" spans="1:9" x14ac:dyDescent="0.25">
      <c r="A2477" s="220">
        <v>2601</v>
      </c>
      <c r="B2477" s="221" t="s">
        <v>5384</v>
      </c>
      <c r="C2477" s="222" t="s">
        <v>5385</v>
      </c>
      <c r="D2477" s="221" t="s">
        <v>70</v>
      </c>
      <c r="E2477" s="221" t="s">
        <v>395</v>
      </c>
      <c r="F2477" s="223">
        <v>0</v>
      </c>
      <c r="G2477" s="221" t="s">
        <v>46</v>
      </c>
      <c r="H2477" s="221" t="s">
        <v>71</v>
      </c>
      <c r="I2477" s="222"/>
    </row>
    <row r="2478" ht="17.25" customHeight="1" spans="1:9" x14ac:dyDescent="0.25">
      <c r="A2478" s="220">
        <v>2602</v>
      </c>
      <c r="B2478" s="221" t="s">
        <v>5386</v>
      </c>
      <c r="C2478" s="222" t="s">
        <v>5387</v>
      </c>
      <c r="D2478" s="221" t="s">
        <v>70</v>
      </c>
      <c r="E2478" s="221" t="s">
        <v>395</v>
      </c>
      <c r="F2478" s="223">
        <v>0</v>
      </c>
      <c r="G2478" s="221" t="s">
        <v>46</v>
      </c>
      <c r="H2478" s="221" t="s">
        <v>71</v>
      </c>
      <c r="I2478" s="222"/>
    </row>
    <row r="2479" ht="17.25" customHeight="1" spans="1:9" x14ac:dyDescent="0.25">
      <c r="A2479" s="220">
        <v>2603</v>
      </c>
      <c r="B2479" s="221" t="s">
        <v>5388</v>
      </c>
      <c r="C2479" s="222" t="s">
        <v>5389</v>
      </c>
      <c r="D2479" s="221" t="s">
        <v>92</v>
      </c>
      <c r="E2479" s="221" t="s">
        <v>395</v>
      </c>
      <c r="F2479" s="223">
        <v>0</v>
      </c>
      <c r="G2479" s="221" t="s">
        <v>71</v>
      </c>
      <c r="H2479" s="221" t="s">
        <v>48</v>
      </c>
      <c r="I2479" s="222"/>
    </row>
    <row r="2480" ht="17.25" customHeight="1" spans="1:9" x14ac:dyDescent="0.25">
      <c r="A2480" s="220">
        <v>2604</v>
      </c>
      <c r="B2480" s="221" t="s">
        <v>5390</v>
      </c>
      <c r="C2480" s="222" t="s">
        <v>5391</v>
      </c>
      <c r="D2480" s="221" t="s">
        <v>573</v>
      </c>
      <c r="E2480" s="221" t="s">
        <v>27</v>
      </c>
      <c r="F2480" s="223">
        <v>0</v>
      </c>
      <c r="G2480" s="221" t="s">
        <v>48</v>
      </c>
      <c r="H2480" s="221" t="s">
        <v>48</v>
      </c>
      <c r="I2480" s="222"/>
    </row>
    <row r="2481" ht="17.25" customHeight="1" spans="1:9" x14ac:dyDescent="0.25">
      <c r="A2481" s="220">
        <v>2605</v>
      </c>
      <c r="B2481" s="221" t="s">
        <v>5392</v>
      </c>
      <c r="C2481" s="222" t="s">
        <v>5393</v>
      </c>
      <c r="D2481" s="221" t="s">
        <v>44</v>
      </c>
      <c r="E2481" s="221" t="s">
        <v>395</v>
      </c>
      <c r="F2481" s="223">
        <v>0</v>
      </c>
      <c r="G2481" s="221" t="s">
        <v>46</v>
      </c>
      <c r="H2481" s="221" t="s">
        <v>48</v>
      </c>
      <c r="I2481" s="222"/>
    </row>
    <row r="2482" ht="17.25" customHeight="1" spans="1:9" x14ac:dyDescent="0.25">
      <c r="A2482" s="220">
        <v>2606</v>
      </c>
      <c r="B2482" s="221" t="s">
        <v>5394</v>
      </c>
      <c r="C2482" s="222" t="s">
        <v>5395</v>
      </c>
      <c r="D2482" s="221" t="s">
        <v>205</v>
      </c>
      <c r="E2482" s="221" t="s">
        <v>30</v>
      </c>
      <c r="F2482" s="223">
        <v>0</v>
      </c>
      <c r="G2482" s="221" t="s">
        <v>71</v>
      </c>
      <c r="H2482" s="221" t="s">
        <v>71</v>
      </c>
      <c r="I2482" s="222"/>
    </row>
    <row r="2483" ht="17.25" customHeight="1" spans="1:9" x14ac:dyDescent="0.25">
      <c r="A2483" s="220">
        <v>2607</v>
      </c>
      <c r="B2483" s="221" t="s">
        <v>5396</v>
      </c>
      <c r="C2483" s="222" t="s">
        <v>5397</v>
      </c>
      <c r="D2483" s="221" t="s">
        <v>205</v>
      </c>
      <c r="E2483" s="221" t="s">
        <v>30</v>
      </c>
      <c r="F2483" s="223">
        <v>0</v>
      </c>
      <c r="G2483" s="221" t="s">
        <v>71</v>
      </c>
      <c r="H2483" s="221" t="s">
        <v>71</v>
      </c>
      <c r="I2483" s="222"/>
    </row>
    <row r="2484" ht="17.25" customHeight="1" spans="1:9" x14ac:dyDescent="0.25">
      <c r="A2484" s="220">
        <v>2608</v>
      </c>
      <c r="B2484" s="221" t="s">
        <v>5398</v>
      </c>
      <c r="C2484" s="222" t="s">
        <v>5399</v>
      </c>
      <c r="D2484" s="221" t="s">
        <v>205</v>
      </c>
      <c r="E2484" s="221" t="s">
        <v>30</v>
      </c>
      <c r="F2484" s="223">
        <v>0</v>
      </c>
      <c r="G2484" s="221" t="s">
        <v>71</v>
      </c>
      <c r="H2484" s="221" t="s">
        <v>71</v>
      </c>
      <c r="I2484" s="222"/>
    </row>
    <row r="2485" ht="17.25" customHeight="1" spans="1:9" x14ac:dyDescent="0.25">
      <c r="A2485" s="220">
        <v>2609</v>
      </c>
      <c r="B2485" s="221" t="s">
        <v>5400</v>
      </c>
      <c r="C2485" s="222" t="s">
        <v>5401</v>
      </c>
      <c r="D2485" s="221" t="s">
        <v>205</v>
      </c>
      <c r="E2485" s="221" t="s">
        <v>30</v>
      </c>
      <c r="F2485" s="223">
        <v>0</v>
      </c>
      <c r="G2485" s="221" t="s">
        <v>71</v>
      </c>
      <c r="H2485" s="221" t="s">
        <v>71</v>
      </c>
      <c r="I2485" s="222"/>
    </row>
    <row r="2486" ht="17.25" customHeight="1" spans="1:9" x14ac:dyDescent="0.25">
      <c r="A2486" s="220">
        <v>2610</v>
      </c>
      <c r="B2486" s="221" t="s">
        <v>5402</v>
      </c>
      <c r="C2486" s="222" t="s">
        <v>5403</v>
      </c>
      <c r="D2486" s="221" t="s">
        <v>573</v>
      </c>
      <c r="E2486" s="221" t="s">
        <v>27</v>
      </c>
      <c r="F2486" s="223">
        <v>0</v>
      </c>
      <c r="G2486" s="221" t="s">
        <v>48</v>
      </c>
      <c r="H2486" s="221" t="s">
        <v>48</v>
      </c>
      <c r="I2486" s="222"/>
    </row>
    <row r="2487" ht="17.25" customHeight="1" spans="1:9" x14ac:dyDescent="0.25">
      <c r="A2487" s="220">
        <v>2611</v>
      </c>
      <c r="B2487" s="221" t="s">
        <v>5404</v>
      </c>
      <c r="C2487" s="222" t="s">
        <v>5405</v>
      </c>
      <c r="D2487" s="221" t="s">
        <v>1417</v>
      </c>
      <c r="E2487" s="221" t="s">
        <v>34</v>
      </c>
      <c r="F2487" s="223">
        <v>0</v>
      </c>
      <c r="G2487" s="221" t="s">
        <v>46</v>
      </c>
      <c r="H2487" s="221" t="s">
        <v>48</v>
      </c>
      <c r="I2487" s="222"/>
    </row>
    <row r="2488" ht="17.25" customHeight="1" spans="1:9" x14ac:dyDescent="0.25">
      <c r="A2488" s="220">
        <v>2612</v>
      </c>
      <c r="B2488" s="221" t="s">
        <v>5406</v>
      </c>
      <c r="C2488" s="222" t="s">
        <v>5407</v>
      </c>
      <c r="D2488" s="221" t="s">
        <v>1417</v>
      </c>
      <c r="E2488" s="221" t="s">
        <v>34</v>
      </c>
      <c r="F2488" s="223">
        <v>0</v>
      </c>
      <c r="G2488" s="221" t="s">
        <v>46</v>
      </c>
      <c r="H2488" s="221" t="s">
        <v>48</v>
      </c>
      <c r="I2488" s="222"/>
    </row>
    <row r="2489" ht="17.25" customHeight="1" spans="1:9" x14ac:dyDescent="0.25">
      <c r="A2489" s="220">
        <v>2613</v>
      </c>
      <c r="B2489" s="221" t="s">
        <v>5408</v>
      </c>
      <c r="C2489" s="222" t="s">
        <v>5409</v>
      </c>
      <c r="D2489" s="221" t="s">
        <v>1958</v>
      </c>
      <c r="E2489" s="221" t="s">
        <v>34</v>
      </c>
      <c r="F2489" s="223">
        <v>0</v>
      </c>
      <c r="G2489" s="221" t="s">
        <v>48</v>
      </c>
      <c r="H2489" s="221" t="s">
        <v>48</v>
      </c>
      <c r="I2489" s="222"/>
    </row>
    <row r="2490" ht="17.25" customHeight="1" spans="1:9" x14ac:dyDescent="0.25">
      <c r="A2490" s="220">
        <v>2614</v>
      </c>
      <c r="B2490" s="221" t="s">
        <v>5410</v>
      </c>
      <c r="C2490" s="222" t="s">
        <v>5411</v>
      </c>
      <c r="D2490" s="221" t="s">
        <v>205</v>
      </c>
      <c r="E2490" s="221" t="s">
        <v>30</v>
      </c>
      <c r="F2490" s="223">
        <v>0</v>
      </c>
      <c r="G2490" s="221" t="s">
        <v>71</v>
      </c>
      <c r="H2490" s="221" t="s">
        <v>71</v>
      </c>
      <c r="I2490" s="222"/>
    </row>
    <row r="2491" ht="17.25" customHeight="1" spans="1:9" x14ac:dyDescent="0.25">
      <c r="A2491" s="220">
        <v>2615</v>
      </c>
      <c r="B2491" s="221" t="s">
        <v>5412</v>
      </c>
      <c r="C2491" s="222" t="s">
        <v>5413</v>
      </c>
      <c r="D2491" s="221" t="s">
        <v>70</v>
      </c>
      <c r="E2491" s="221" t="s">
        <v>30</v>
      </c>
      <c r="F2491" s="223">
        <v>6799</v>
      </c>
      <c r="G2491" s="221" t="s">
        <v>71</v>
      </c>
      <c r="H2491" s="221" t="s">
        <v>71</v>
      </c>
      <c r="I2491" s="222"/>
    </row>
    <row r="2492" ht="17.25" customHeight="1" spans="1:9" x14ac:dyDescent="0.25">
      <c r="A2492" s="220">
        <v>2616</v>
      </c>
      <c r="B2492" s="221" t="s">
        <v>5414</v>
      </c>
      <c r="C2492" s="222" t="s">
        <v>5415</v>
      </c>
      <c r="D2492" s="221" t="s">
        <v>106</v>
      </c>
      <c r="E2492" s="221" t="s">
        <v>34</v>
      </c>
      <c r="F2492" s="223">
        <v>0</v>
      </c>
      <c r="G2492" s="221" t="s">
        <v>48</v>
      </c>
      <c r="H2492" s="221" t="s">
        <v>48</v>
      </c>
      <c r="I2492" s="222"/>
    </row>
    <row r="2493" ht="17.25" customHeight="1" spans="1:9" x14ac:dyDescent="0.25">
      <c r="A2493" s="220">
        <v>2617</v>
      </c>
      <c r="B2493" s="221" t="s">
        <v>5416</v>
      </c>
      <c r="C2493" s="222" t="s">
        <v>5417</v>
      </c>
      <c r="D2493" s="221" t="s">
        <v>91</v>
      </c>
      <c r="E2493" s="221" t="s">
        <v>34</v>
      </c>
      <c r="F2493" s="223">
        <v>0</v>
      </c>
      <c r="G2493" s="221" t="s">
        <v>48</v>
      </c>
      <c r="H2493" s="221" t="s">
        <v>48</v>
      </c>
      <c r="I2493" s="222"/>
    </row>
    <row r="2494" ht="17.25" customHeight="1" spans="1:9" x14ac:dyDescent="0.25">
      <c r="A2494" s="220">
        <v>2618</v>
      </c>
      <c r="B2494" s="221" t="s">
        <v>5418</v>
      </c>
      <c r="C2494" s="222" t="s">
        <v>5419</v>
      </c>
      <c r="D2494" s="221" t="s">
        <v>2591</v>
      </c>
      <c r="E2494" s="221" t="s">
        <v>35</v>
      </c>
      <c r="F2494" s="223">
        <v>0</v>
      </c>
      <c r="G2494" s="221" t="s">
        <v>71</v>
      </c>
      <c r="H2494" s="221" t="s">
        <v>71</v>
      </c>
      <c r="I2494" s="222"/>
    </row>
    <row r="2495" ht="17.25" customHeight="1" spans="1:9" x14ac:dyDescent="0.25">
      <c r="A2495" s="220">
        <v>2619</v>
      </c>
      <c r="B2495" s="221" t="s">
        <v>5420</v>
      </c>
      <c r="C2495" s="222" t="s">
        <v>5421</v>
      </c>
      <c r="D2495" s="221" t="s">
        <v>2591</v>
      </c>
      <c r="E2495" s="221" t="s">
        <v>35</v>
      </c>
      <c r="F2495" s="223">
        <v>0</v>
      </c>
      <c r="G2495" s="221" t="s">
        <v>71</v>
      </c>
      <c r="H2495" s="221" t="s">
        <v>71</v>
      </c>
      <c r="I2495" s="222"/>
    </row>
    <row r="2496" ht="17.25" customHeight="1" spans="1:9" x14ac:dyDescent="0.25">
      <c r="A2496" s="220">
        <v>2620</v>
      </c>
      <c r="B2496" s="221" t="s">
        <v>5422</v>
      </c>
      <c r="C2496" s="222" t="s">
        <v>5423</v>
      </c>
      <c r="D2496" s="221" t="s">
        <v>1970</v>
      </c>
      <c r="E2496" s="221" t="s">
        <v>35</v>
      </c>
      <c r="F2496" s="223">
        <v>0</v>
      </c>
      <c r="G2496" s="221" t="s">
        <v>48</v>
      </c>
      <c r="H2496" s="221" t="s">
        <v>48</v>
      </c>
      <c r="I2496" s="222"/>
    </row>
    <row r="2497" ht="17.25" customHeight="1" spans="1:9" x14ac:dyDescent="0.25">
      <c r="A2497" s="220">
        <v>2621</v>
      </c>
      <c r="B2497" s="221" t="s">
        <v>5424</v>
      </c>
      <c r="C2497" s="222" t="s">
        <v>5425</v>
      </c>
      <c r="D2497" s="221" t="s">
        <v>70</v>
      </c>
      <c r="E2497" s="221" t="s">
        <v>395</v>
      </c>
      <c r="F2497" s="223">
        <v>0</v>
      </c>
      <c r="G2497" s="221" t="s">
        <v>46</v>
      </c>
      <c r="H2497" s="221" t="s">
        <v>71</v>
      </c>
      <c r="I2497" s="222"/>
    </row>
    <row r="2498" ht="17.25" customHeight="1" spans="1:9" x14ac:dyDescent="0.25">
      <c r="A2498" s="220">
        <v>2622</v>
      </c>
      <c r="B2498" s="221" t="s">
        <v>5426</v>
      </c>
      <c r="C2498" s="222" t="s">
        <v>5427</v>
      </c>
      <c r="D2498" s="221" t="s">
        <v>2591</v>
      </c>
      <c r="E2498" s="221" t="s">
        <v>35</v>
      </c>
      <c r="F2498" s="223">
        <v>0</v>
      </c>
      <c r="G2498" s="221" t="s">
        <v>71</v>
      </c>
      <c r="H2498" s="221" t="s">
        <v>71</v>
      </c>
      <c r="I2498" s="222"/>
    </row>
    <row r="2499" ht="17.25" customHeight="1" spans="1:9" x14ac:dyDescent="0.25">
      <c r="A2499" s="220">
        <v>2623</v>
      </c>
      <c r="B2499" s="221" t="s">
        <v>5428</v>
      </c>
      <c r="C2499" s="222" t="s">
        <v>5429</v>
      </c>
      <c r="D2499" s="221" t="s">
        <v>1970</v>
      </c>
      <c r="E2499" s="221" t="s">
        <v>35</v>
      </c>
      <c r="F2499" s="223">
        <v>0</v>
      </c>
      <c r="G2499" s="221" t="s">
        <v>48</v>
      </c>
      <c r="H2499" s="221" t="s">
        <v>48</v>
      </c>
      <c r="I2499" s="222"/>
    </row>
    <row r="2500" ht="17.25" customHeight="1" spans="1:9" x14ac:dyDescent="0.25">
      <c r="A2500" s="220">
        <v>2624</v>
      </c>
      <c r="B2500" s="221" t="s">
        <v>5430</v>
      </c>
      <c r="C2500" s="222" t="s">
        <v>5431</v>
      </c>
      <c r="D2500" s="221" t="s">
        <v>2591</v>
      </c>
      <c r="E2500" s="221" t="s">
        <v>35</v>
      </c>
      <c r="F2500" s="223">
        <v>0</v>
      </c>
      <c r="G2500" s="221" t="s">
        <v>71</v>
      </c>
      <c r="H2500" s="221" t="s">
        <v>71</v>
      </c>
      <c r="I2500" s="222"/>
    </row>
    <row r="2501" ht="17.25" customHeight="1" spans="1:9" x14ac:dyDescent="0.25">
      <c r="A2501" s="220">
        <v>2625</v>
      </c>
      <c r="B2501" s="221" t="s">
        <v>5432</v>
      </c>
      <c r="C2501" s="222" t="s">
        <v>5433</v>
      </c>
      <c r="D2501" s="221" t="s">
        <v>92</v>
      </c>
      <c r="E2501" s="221" t="s">
        <v>395</v>
      </c>
      <c r="F2501" s="223">
        <v>0</v>
      </c>
      <c r="G2501" s="221" t="s">
        <v>71</v>
      </c>
      <c r="H2501" s="221" t="s">
        <v>48</v>
      </c>
      <c r="I2501" s="222"/>
    </row>
    <row r="2502" ht="17.25" customHeight="1" spans="1:9" x14ac:dyDescent="0.25">
      <c r="A2502" s="220">
        <v>2626</v>
      </c>
      <c r="B2502" s="221" t="s">
        <v>5434</v>
      </c>
      <c r="C2502" s="222" t="s">
        <v>5435</v>
      </c>
      <c r="D2502" s="221" t="s">
        <v>70</v>
      </c>
      <c r="E2502" s="221" t="s">
        <v>30</v>
      </c>
      <c r="F2502" s="223">
        <v>0</v>
      </c>
      <c r="G2502" s="221" t="s">
        <v>71</v>
      </c>
      <c r="H2502" s="221" t="s">
        <v>71</v>
      </c>
      <c r="I2502" s="222"/>
    </row>
    <row r="2503" ht="17.25" customHeight="1" spans="1:9" x14ac:dyDescent="0.25">
      <c r="A2503" s="220">
        <v>2627</v>
      </c>
      <c r="B2503" s="221" t="s">
        <v>5436</v>
      </c>
      <c r="C2503" s="222" t="s">
        <v>5437</v>
      </c>
      <c r="D2503" s="221" t="s">
        <v>70</v>
      </c>
      <c r="E2503" s="221" t="s">
        <v>30</v>
      </c>
      <c r="F2503" s="223">
        <v>0</v>
      </c>
      <c r="G2503" s="221" t="s">
        <v>71</v>
      </c>
      <c r="H2503" s="221" t="s">
        <v>71</v>
      </c>
      <c r="I2503" s="222"/>
    </row>
    <row r="2504" ht="17.25" customHeight="1" spans="1:9" x14ac:dyDescent="0.25">
      <c r="A2504" s="220">
        <v>2628</v>
      </c>
      <c r="B2504" s="221" t="s">
        <v>5438</v>
      </c>
      <c r="C2504" s="222" t="s">
        <v>5439</v>
      </c>
      <c r="D2504" s="221" t="s">
        <v>92</v>
      </c>
      <c r="E2504" s="221" t="s">
        <v>395</v>
      </c>
      <c r="F2504" s="223">
        <v>0</v>
      </c>
      <c r="G2504" s="221" t="s">
        <v>71</v>
      </c>
      <c r="H2504" s="221" t="s">
        <v>48</v>
      </c>
      <c r="I2504" s="222"/>
    </row>
    <row r="2505" ht="17.25" customHeight="1" spans="1:9" x14ac:dyDescent="0.25">
      <c r="A2505" s="220">
        <v>2629</v>
      </c>
      <c r="B2505" s="221" t="s">
        <v>5440</v>
      </c>
      <c r="C2505" s="222" t="s">
        <v>5441</v>
      </c>
      <c r="D2505" s="221" t="s">
        <v>92</v>
      </c>
      <c r="E2505" s="221" t="s">
        <v>395</v>
      </c>
      <c r="F2505" s="223">
        <v>0</v>
      </c>
      <c r="G2505" s="221" t="s">
        <v>71</v>
      </c>
      <c r="H2505" s="221" t="s">
        <v>48</v>
      </c>
      <c r="I2505" s="222"/>
    </row>
    <row r="2506" ht="17.25" customHeight="1" spans="1:9" x14ac:dyDescent="0.25">
      <c r="A2506" s="220">
        <v>2630</v>
      </c>
      <c r="B2506" s="221" t="s">
        <v>5442</v>
      </c>
      <c r="C2506" s="222" t="s">
        <v>5443</v>
      </c>
      <c r="D2506" s="221" t="s">
        <v>2591</v>
      </c>
      <c r="E2506" s="221" t="s">
        <v>35</v>
      </c>
      <c r="F2506" s="223">
        <v>0</v>
      </c>
      <c r="G2506" s="221" t="s">
        <v>71</v>
      </c>
      <c r="H2506" s="221" t="s">
        <v>71</v>
      </c>
      <c r="I2506" s="222"/>
    </row>
    <row r="2507" ht="17.25" customHeight="1" spans="1:9" x14ac:dyDescent="0.25">
      <c r="A2507" s="220">
        <v>2631</v>
      </c>
      <c r="B2507" s="221" t="s">
        <v>5444</v>
      </c>
      <c r="C2507" s="222" t="s">
        <v>5445</v>
      </c>
      <c r="D2507" s="221" t="s">
        <v>2591</v>
      </c>
      <c r="E2507" s="221" t="s">
        <v>35</v>
      </c>
      <c r="F2507" s="223">
        <v>0</v>
      </c>
      <c r="G2507" s="221" t="s">
        <v>71</v>
      </c>
      <c r="H2507" s="221" t="s">
        <v>71</v>
      </c>
      <c r="I2507" s="222"/>
    </row>
    <row r="2508" ht="17.25" customHeight="1" spans="1:9" x14ac:dyDescent="0.25">
      <c r="A2508" s="220">
        <v>2632</v>
      </c>
      <c r="B2508" s="221" t="s">
        <v>5446</v>
      </c>
      <c r="C2508" s="222" t="s">
        <v>5447</v>
      </c>
      <c r="D2508" s="221" t="s">
        <v>44</v>
      </c>
      <c r="E2508" s="221" t="s">
        <v>395</v>
      </c>
      <c r="F2508" s="223">
        <v>0</v>
      </c>
      <c r="G2508" s="221" t="s">
        <v>46</v>
      </c>
      <c r="H2508" s="221" t="s">
        <v>48</v>
      </c>
      <c r="I2508" s="222"/>
    </row>
    <row r="2509" ht="17.25" customHeight="1" spans="1:9" x14ac:dyDescent="0.25">
      <c r="A2509" s="220">
        <v>2633</v>
      </c>
      <c r="B2509" s="221" t="s">
        <v>5448</v>
      </c>
      <c r="C2509" s="222" t="s">
        <v>5449</v>
      </c>
      <c r="D2509" s="221" t="s">
        <v>70</v>
      </c>
      <c r="E2509" s="221" t="s">
        <v>395</v>
      </c>
      <c r="F2509" s="223">
        <v>0</v>
      </c>
      <c r="G2509" s="221" t="s">
        <v>46</v>
      </c>
      <c r="H2509" s="221" t="s">
        <v>71</v>
      </c>
      <c r="I2509" s="222"/>
    </row>
    <row r="2510" ht="17.25" customHeight="1" spans="1:9" x14ac:dyDescent="0.25">
      <c r="A2510" s="220">
        <v>2634</v>
      </c>
      <c r="B2510" s="221" t="s">
        <v>5450</v>
      </c>
      <c r="C2510" s="222" t="s">
        <v>5451</v>
      </c>
      <c r="D2510" s="221" t="s">
        <v>70</v>
      </c>
      <c r="E2510" s="221" t="s">
        <v>395</v>
      </c>
      <c r="F2510" s="223">
        <v>0</v>
      </c>
      <c r="G2510" s="221" t="s">
        <v>46</v>
      </c>
      <c r="H2510" s="221" t="s">
        <v>71</v>
      </c>
      <c r="I2510" s="222"/>
    </row>
    <row r="2511" ht="17.25" customHeight="1" spans="1:9" x14ac:dyDescent="0.25">
      <c r="A2511" s="220">
        <v>2635</v>
      </c>
      <c r="B2511" s="221" t="s">
        <v>5452</v>
      </c>
      <c r="C2511" s="222" t="s">
        <v>5453</v>
      </c>
      <c r="D2511" s="221" t="s">
        <v>70</v>
      </c>
      <c r="E2511" s="221" t="s">
        <v>395</v>
      </c>
      <c r="F2511" s="223">
        <v>0</v>
      </c>
      <c r="G2511" s="221" t="s">
        <v>46</v>
      </c>
      <c r="H2511" s="221" t="s">
        <v>71</v>
      </c>
      <c r="I2511" s="222"/>
    </row>
    <row r="2512" ht="17.25" customHeight="1" spans="1:9" x14ac:dyDescent="0.25">
      <c r="A2512" s="220">
        <v>2636</v>
      </c>
      <c r="B2512" s="221" t="s">
        <v>5454</v>
      </c>
      <c r="C2512" s="222" t="s">
        <v>5455</v>
      </c>
      <c r="D2512" s="221" t="s">
        <v>205</v>
      </c>
      <c r="E2512" s="221" t="s">
        <v>30</v>
      </c>
      <c r="F2512" s="223">
        <v>0</v>
      </c>
      <c r="G2512" s="221" t="s">
        <v>71</v>
      </c>
      <c r="H2512" s="221" t="s">
        <v>71</v>
      </c>
      <c r="I2512" s="222"/>
    </row>
    <row r="2513" ht="17.25" customHeight="1" spans="1:9" x14ac:dyDescent="0.25">
      <c r="A2513" s="220">
        <v>2637</v>
      </c>
      <c r="B2513" s="221" t="s">
        <v>5456</v>
      </c>
      <c r="C2513" s="222" t="s">
        <v>5457</v>
      </c>
      <c r="D2513" s="221" t="s">
        <v>205</v>
      </c>
      <c r="E2513" s="221" t="s">
        <v>30</v>
      </c>
      <c r="F2513" s="223">
        <v>0</v>
      </c>
      <c r="G2513" s="221" t="s">
        <v>71</v>
      </c>
      <c r="H2513" s="221" t="s">
        <v>71</v>
      </c>
      <c r="I2513" s="222"/>
    </row>
    <row r="2514" ht="17.25" customHeight="1" spans="1:9" x14ac:dyDescent="0.25">
      <c r="A2514" s="220">
        <v>2640</v>
      </c>
      <c r="B2514" s="221" t="s">
        <v>5458</v>
      </c>
      <c r="C2514" s="222" t="s">
        <v>5459</v>
      </c>
      <c r="D2514" s="221" t="s">
        <v>4556</v>
      </c>
      <c r="E2514" s="221" t="s">
        <v>30</v>
      </c>
      <c r="F2514" s="223">
        <v>0</v>
      </c>
      <c r="G2514" s="221" t="s">
        <v>71</v>
      </c>
      <c r="H2514" s="221" t="s">
        <v>71</v>
      </c>
      <c r="I2514" s="222"/>
    </row>
    <row r="2515" ht="17.25" customHeight="1" spans="1:9" x14ac:dyDescent="0.25">
      <c r="A2515" s="220">
        <v>2641</v>
      </c>
      <c r="B2515" s="221" t="s">
        <v>5460</v>
      </c>
      <c r="C2515" s="222" t="s">
        <v>5461</v>
      </c>
      <c r="D2515" s="221" t="s">
        <v>70</v>
      </c>
      <c r="E2515" s="221" t="s">
        <v>395</v>
      </c>
      <c r="F2515" s="223">
        <v>0</v>
      </c>
      <c r="G2515" s="221" t="s">
        <v>46</v>
      </c>
      <c r="H2515" s="221" t="s">
        <v>71</v>
      </c>
      <c r="I2515" s="222"/>
    </row>
    <row r="2516" ht="17.25" customHeight="1" spans="1:9" x14ac:dyDescent="0.25">
      <c r="A2516" s="220">
        <v>2642</v>
      </c>
      <c r="B2516" s="221" t="s">
        <v>5462</v>
      </c>
      <c r="C2516" s="222" t="s">
        <v>5463</v>
      </c>
      <c r="D2516" s="221" t="s">
        <v>70</v>
      </c>
      <c r="E2516" s="221" t="s">
        <v>395</v>
      </c>
      <c r="F2516" s="223">
        <v>0</v>
      </c>
      <c r="G2516" s="221" t="s">
        <v>46</v>
      </c>
      <c r="H2516" s="221" t="s">
        <v>71</v>
      </c>
      <c r="I2516" s="222"/>
    </row>
    <row r="2517" ht="17.25" customHeight="1" spans="1:9" x14ac:dyDescent="0.25">
      <c r="A2517" s="220">
        <v>2643</v>
      </c>
      <c r="B2517" s="221" t="s">
        <v>5464</v>
      </c>
      <c r="C2517" s="222" t="s">
        <v>5465</v>
      </c>
      <c r="D2517" s="221" t="s">
        <v>205</v>
      </c>
      <c r="E2517" s="221" t="s">
        <v>395</v>
      </c>
      <c r="F2517" s="223">
        <v>0</v>
      </c>
      <c r="G2517" s="221" t="s">
        <v>71</v>
      </c>
      <c r="H2517" s="221" t="s">
        <v>71</v>
      </c>
      <c r="I2517" s="222" t="s">
        <v>5466</v>
      </c>
    </row>
    <row r="2518" ht="17.25" customHeight="1" spans="1:9" x14ac:dyDescent="0.25">
      <c r="A2518" s="220">
        <v>2644</v>
      </c>
      <c r="B2518" s="221" t="s">
        <v>5467</v>
      </c>
      <c r="C2518" s="222" t="s">
        <v>5468</v>
      </c>
      <c r="D2518" s="221" t="s">
        <v>205</v>
      </c>
      <c r="E2518" s="221" t="s">
        <v>395</v>
      </c>
      <c r="F2518" s="223">
        <v>0</v>
      </c>
      <c r="G2518" s="221" t="s">
        <v>71</v>
      </c>
      <c r="H2518" s="221" t="s">
        <v>71</v>
      </c>
      <c r="I2518" s="222" t="s">
        <v>5466</v>
      </c>
    </row>
    <row r="2519" ht="17.25" customHeight="1" spans="1:9" x14ac:dyDescent="0.25">
      <c r="A2519" s="220">
        <v>2645</v>
      </c>
      <c r="B2519" s="221" t="s">
        <v>5469</v>
      </c>
      <c r="C2519" s="222" t="s">
        <v>5470</v>
      </c>
      <c r="D2519" s="221" t="s">
        <v>70</v>
      </c>
      <c r="E2519" s="221" t="s">
        <v>395</v>
      </c>
      <c r="F2519" s="223">
        <v>0</v>
      </c>
      <c r="G2519" s="221" t="s">
        <v>46</v>
      </c>
      <c r="H2519" s="221" t="s">
        <v>71</v>
      </c>
      <c r="I2519" s="222"/>
    </row>
    <row r="2520" ht="17.25" customHeight="1" spans="1:9" x14ac:dyDescent="0.25">
      <c r="A2520" s="220">
        <v>2646</v>
      </c>
      <c r="B2520" s="221" t="s">
        <v>5471</v>
      </c>
      <c r="C2520" s="222" t="s">
        <v>5472</v>
      </c>
      <c r="D2520" s="221" t="s">
        <v>92</v>
      </c>
      <c r="E2520" s="221" t="s">
        <v>395</v>
      </c>
      <c r="F2520" s="223">
        <v>0</v>
      </c>
      <c r="G2520" s="221" t="s">
        <v>71</v>
      </c>
      <c r="H2520" s="221" t="s">
        <v>48</v>
      </c>
      <c r="I2520" s="222"/>
    </row>
    <row r="2521" ht="17.25" customHeight="1" spans="1:9" x14ac:dyDescent="0.25">
      <c r="A2521" s="220">
        <v>2647</v>
      </c>
      <c r="B2521" s="221" t="s">
        <v>5473</v>
      </c>
      <c r="C2521" s="222" t="s">
        <v>5474</v>
      </c>
      <c r="D2521" s="221" t="s">
        <v>2591</v>
      </c>
      <c r="E2521" s="221" t="s">
        <v>35</v>
      </c>
      <c r="F2521" s="223">
        <v>0</v>
      </c>
      <c r="G2521" s="221" t="s">
        <v>71</v>
      </c>
      <c r="H2521" s="221" t="s">
        <v>71</v>
      </c>
      <c r="I2521" s="222"/>
    </row>
    <row r="2522" ht="17.25" customHeight="1" spans="1:9" x14ac:dyDescent="0.25">
      <c r="A2522" s="220">
        <v>2648</v>
      </c>
      <c r="B2522" s="221" t="s">
        <v>5475</v>
      </c>
      <c r="C2522" s="222" t="s">
        <v>5476</v>
      </c>
      <c r="D2522" s="221" t="s">
        <v>4434</v>
      </c>
      <c r="E2522" s="221" t="s">
        <v>38</v>
      </c>
      <c r="F2522" s="223">
        <v>0</v>
      </c>
      <c r="G2522" s="221" t="s">
        <v>46</v>
      </c>
      <c r="H2522" s="221" t="s">
        <v>46</v>
      </c>
      <c r="I2522" s="222"/>
    </row>
    <row r="2523" ht="17.25" customHeight="1" spans="1:9" x14ac:dyDescent="0.25">
      <c r="A2523" s="220">
        <v>2649</v>
      </c>
      <c r="B2523" s="221" t="s">
        <v>5477</v>
      </c>
      <c r="C2523" s="222" t="s">
        <v>5478</v>
      </c>
      <c r="D2523" s="221" t="s">
        <v>4434</v>
      </c>
      <c r="E2523" s="221" t="s">
        <v>38</v>
      </c>
      <c r="F2523" s="223">
        <v>0</v>
      </c>
      <c r="G2523" s="221" t="s">
        <v>46</v>
      </c>
      <c r="H2523" s="221" t="s">
        <v>46</v>
      </c>
      <c r="I2523" s="222"/>
    </row>
    <row r="2524" ht="17.25" customHeight="1" spans="1:9" x14ac:dyDescent="0.25">
      <c r="A2524" s="220">
        <v>2651</v>
      </c>
      <c r="B2524" s="221" t="s">
        <v>5479</v>
      </c>
      <c r="C2524" s="222" t="s">
        <v>5480</v>
      </c>
      <c r="D2524" s="221" t="s">
        <v>4556</v>
      </c>
      <c r="E2524" s="221" t="s">
        <v>30</v>
      </c>
      <c r="F2524" s="223">
        <v>0</v>
      </c>
      <c r="G2524" s="221" t="s">
        <v>71</v>
      </c>
      <c r="H2524" s="221" t="s">
        <v>71</v>
      </c>
      <c r="I2524" s="222"/>
    </row>
    <row r="2525" ht="17.25" customHeight="1" spans="1:9" x14ac:dyDescent="0.25">
      <c r="A2525" s="220">
        <v>2652</v>
      </c>
      <c r="B2525" s="221" t="s">
        <v>5481</v>
      </c>
      <c r="C2525" s="222" t="s">
        <v>5482</v>
      </c>
      <c r="D2525" s="221" t="s">
        <v>4556</v>
      </c>
      <c r="E2525" s="221" t="s">
        <v>30</v>
      </c>
      <c r="F2525" s="223">
        <v>0</v>
      </c>
      <c r="G2525" s="221" t="s">
        <v>71</v>
      </c>
      <c r="H2525" s="221" t="s">
        <v>71</v>
      </c>
      <c r="I2525" s="222"/>
    </row>
    <row r="2526" ht="17.25" customHeight="1" spans="1:9" x14ac:dyDescent="0.25">
      <c r="A2526" s="220">
        <v>2653</v>
      </c>
      <c r="B2526" s="221" t="s">
        <v>5483</v>
      </c>
      <c r="C2526" s="222" t="s">
        <v>5484</v>
      </c>
      <c r="D2526" s="221" t="s">
        <v>205</v>
      </c>
      <c r="E2526" s="221" t="s">
        <v>30</v>
      </c>
      <c r="F2526" s="223">
        <v>0</v>
      </c>
      <c r="G2526" s="221" t="s">
        <v>71</v>
      </c>
      <c r="H2526" s="221" t="s">
        <v>71</v>
      </c>
      <c r="I2526" s="222"/>
    </row>
    <row r="2527" ht="17.25" customHeight="1" spans="1:9" x14ac:dyDescent="0.25">
      <c r="A2527" s="220">
        <v>2654</v>
      </c>
      <c r="B2527" s="221" t="s">
        <v>5485</v>
      </c>
      <c r="C2527" s="222" t="s">
        <v>5486</v>
      </c>
      <c r="D2527" s="221" t="s">
        <v>573</v>
      </c>
      <c r="E2527" s="221" t="s">
        <v>27</v>
      </c>
      <c r="F2527" s="223">
        <v>0</v>
      </c>
      <c r="G2527" s="221" t="s">
        <v>48</v>
      </c>
      <c r="H2527" s="221" t="s">
        <v>48</v>
      </c>
      <c r="I2527" s="222"/>
    </row>
    <row r="2528" ht="17.25" customHeight="1" spans="1:9" x14ac:dyDescent="0.25">
      <c r="A2528" s="220">
        <v>2655</v>
      </c>
      <c r="B2528" s="221" t="s">
        <v>5487</v>
      </c>
      <c r="C2528" s="222" t="s">
        <v>5488</v>
      </c>
      <c r="D2528" s="221" t="s">
        <v>2591</v>
      </c>
      <c r="E2528" s="221" t="s">
        <v>35</v>
      </c>
      <c r="F2528" s="223">
        <v>0</v>
      </c>
      <c r="G2528" s="221" t="s">
        <v>71</v>
      </c>
      <c r="H2528" s="221" t="s">
        <v>71</v>
      </c>
      <c r="I2528" s="222"/>
    </row>
    <row r="2529" ht="17.25" customHeight="1" spans="1:9" x14ac:dyDescent="0.25">
      <c r="A2529" s="220">
        <v>2656</v>
      </c>
      <c r="B2529" s="221" t="s">
        <v>5489</v>
      </c>
      <c r="C2529" s="222" t="s">
        <v>5490</v>
      </c>
      <c r="D2529" s="221" t="s">
        <v>205</v>
      </c>
      <c r="E2529" s="221" t="s">
        <v>30</v>
      </c>
      <c r="F2529" s="223">
        <v>0</v>
      </c>
      <c r="G2529" s="221" t="s">
        <v>71</v>
      </c>
      <c r="H2529" s="221" t="s">
        <v>71</v>
      </c>
      <c r="I2529" s="222"/>
    </row>
    <row r="2530" ht="17.25" customHeight="1" spans="1:9" x14ac:dyDescent="0.25">
      <c r="A2530" s="220">
        <v>2657</v>
      </c>
      <c r="B2530" s="221" t="s">
        <v>5491</v>
      </c>
      <c r="C2530" s="222" t="s">
        <v>5492</v>
      </c>
      <c r="D2530" s="221" t="s">
        <v>2591</v>
      </c>
      <c r="E2530" s="221" t="s">
        <v>35</v>
      </c>
      <c r="F2530" s="223">
        <v>0</v>
      </c>
      <c r="G2530" s="221" t="s">
        <v>71</v>
      </c>
      <c r="H2530" s="221" t="s">
        <v>71</v>
      </c>
      <c r="I2530" s="222"/>
    </row>
    <row r="2531" ht="17.25" customHeight="1" spans="1:9" x14ac:dyDescent="0.25">
      <c r="A2531" s="220">
        <v>2658</v>
      </c>
      <c r="B2531" s="221" t="s">
        <v>5493</v>
      </c>
      <c r="C2531" s="222" t="s">
        <v>5494</v>
      </c>
      <c r="D2531" s="221" t="s">
        <v>2591</v>
      </c>
      <c r="E2531" s="221" t="s">
        <v>35</v>
      </c>
      <c r="F2531" s="223">
        <v>0</v>
      </c>
      <c r="G2531" s="221" t="s">
        <v>71</v>
      </c>
      <c r="H2531" s="221" t="s">
        <v>71</v>
      </c>
      <c r="I2531" s="222"/>
    </row>
    <row r="2532" ht="17.25" customHeight="1" spans="1:9" x14ac:dyDescent="0.25">
      <c r="A2532" s="220">
        <v>2659</v>
      </c>
      <c r="B2532" s="221" t="s">
        <v>5495</v>
      </c>
      <c r="C2532" s="222" t="s">
        <v>5496</v>
      </c>
      <c r="D2532" s="221" t="s">
        <v>1535</v>
      </c>
      <c r="E2532" s="221" t="s">
        <v>29</v>
      </c>
      <c r="F2532" s="223">
        <v>0</v>
      </c>
      <c r="G2532" s="221" t="s">
        <v>71</v>
      </c>
      <c r="H2532" s="221" t="s">
        <v>71</v>
      </c>
      <c r="I2532" s="222"/>
    </row>
    <row r="2533" ht="17.25" customHeight="1" spans="1:9" x14ac:dyDescent="0.25">
      <c r="A2533" s="220">
        <v>2660</v>
      </c>
      <c r="B2533" s="221" t="s">
        <v>5497</v>
      </c>
      <c r="C2533" s="222" t="s">
        <v>5498</v>
      </c>
      <c r="D2533" s="221" t="s">
        <v>1535</v>
      </c>
      <c r="E2533" s="221" t="s">
        <v>29</v>
      </c>
      <c r="F2533" s="223">
        <v>0</v>
      </c>
      <c r="G2533" s="221" t="s">
        <v>71</v>
      </c>
      <c r="H2533" s="221" t="s">
        <v>71</v>
      </c>
      <c r="I2533" s="222"/>
    </row>
    <row r="2534" ht="17.25" customHeight="1" spans="1:9" x14ac:dyDescent="0.25">
      <c r="A2534" s="220">
        <v>2661</v>
      </c>
      <c r="B2534" s="221" t="s">
        <v>5499</v>
      </c>
      <c r="C2534" s="222" t="s">
        <v>5500</v>
      </c>
      <c r="D2534" s="221" t="s">
        <v>4556</v>
      </c>
      <c r="E2534" s="221" t="s">
        <v>30</v>
      </c>
      <c r="F2534" s="223">
        <v>0</v>
      </c>
      <c r="G2534" s="221" t="s">
        <v>71</v>
      </c>
      <c r="H2534" s="221" t="s">
        <v>71</v>
      </c>
      <c r="I2534" s="222"/>
    </row>
    <row r="2535" ht="17.25" customHeight="1" spans="1:9" x14ac:dyDescent="0.25">
      <c r="A2535" s="220">
        <v>2662</v>
      </c>
      <c r="B2535" s="221" t="s">
        <v>5501</v>
      </c>
      <c r="C2535" s="222" t="s">
        <v>5502</v>
      </c>
      <c r="D2535" s="221" t="s">
        <v>1535</v>
      </c>
      <c r="E2535" s="221" t="s">
        <v>29</v>
      </c>
      <c r="F2535" s="223">
        <v>0</v>
      </c>
      <c r="G2535" s="221" t="s">
        <v>71</v>
      </c>
      <c r="H2535" s="221" t="s">
        <v>71</v>
      </c>
      <c r="I2535" s="222"/>
    </row>
    <row r="2536" ht="17.25" customHeight="1" spans="1:9" x14ac:dyDescent="0.25">
      <c r="A2536" s="220">
        <v>2663</v>
      </c>
      <c r="B2536" s="221" t="s">
        <v>5503</v>
      </c>
      <c r="C2536" s="222" t="s">
        <v>5504</v>
      </c>
      <c r="D2536" s="221" t="s">
        <v>205</v>
      </c>
      <c r="E2536" s="221" t="s">
        <v>30</v>
      </c>
      <c r="F2536" s="223">
        <v>0</v>
      </c>
      <c r="G2536" s="221" t="s">
        <v>71</v>
      </c>
      <c r="H2536" s="221" t="s">
        <v>71</v>
      </c>
      <c r="I2536" s="222"/>
    </row>
    <row r="2537" ht="17.25" customHeight="1" spans="1:9" x14ac:dyDescent="0.25">
      <c r="A2537" s="220">
        <v>2664</v>
      </c>
      <c r="B2537" s="221" t="s">
        <v>5505</v>
      </c>
      <c r="C2537" s="222" t="s">
        <v>5506</v>
      </c>
      <c r="D2537" s="221" t="s">
        <v>70</v>
      </c>
      <c r="E2537" s="221" t="s">
        <v>395</v>
      </c>
      <c r="F2537" s="223">
        <v>0</v>
      </c>
      <c r="G2537" s="221" t="s">
        <v>46</v>
      </c>
      <c r="H2537" s="221" t="s">
        <v>71</v>
      </c>
      <c r="I2537" s="222"/>
    </row>
    <row r="2538" ht="17.25" customHeight="1" spans="1:9" x14ac:dyDescent="0.25">
      <c r="A2538" s="220">
        <v>2665</v>
      </c>
      <c r="B2538" s="221" t="s">
        <v>5507</v>
      </c>
      <c r="C2538" s="222" t="s">
        <v>5508</v>
      </c>
      <c r="D2538" s="221" t="s">
        <v>205</v>
      </c>
      <c r="E2538" s="221" t="s">
        <v>395</v>
      </c>
      <c r="F2538" s="223">
        <v>0</v>
      </c>
      <c r="G2538" s="221" t="s">
        <v>71</v>
      </c>
      <c r="H2538" s="221" t="s">
        <v>71</v>
      </c>
      <c r="I2538" s="222" t="s">
        <v>5509</v>
      </c>
    </row>
    <row r="2539" ht="17.25" customHeight="1" spans="1:9" x14ac:dyDescent="0.25">
      <c r="A2539" s="220">
        <v>2666</v>
      </c>
      <c r="B2539" s="221" t="s">
        <v>5510</v>
      </c>
      <c r="C2539" s="222" t="s">
        <v>5511</v>
      </c>
      <c r="D2539" s="221" t="s">
        <v>92</v>
      </c>
      <c r="E2539" s="221" t="s">
        <v>395</v>
      </c>
      <c r="F2539" s="223">
        <v>0</v>
      </c>
      <c r="G2539" s="221" t="s">
        <v>71</v>
      </c>
      <c r="H2539" s="221" t="s">
        <v>48</v>
      </c>
      <c r="I2539" s="222"/>
    </row>
    <row r="2540" ht="17.25" customHeight="1" spans="1:9" x14ac:dyDescent="0.25">
      <c r="A2540" s="220">
        <v>2667</v>
      </c>
      <c r="B2540" s="221" t="s">
        <v>5512</v>
      </c>
      <c r="C2540" s="222" t="s">
        <v>5513</v>
      </c>
      <c r="D2540" s="221" t="s">
        <v>4556</v>
      </c>
      <c r="E2540" s="221" t="s">
        <v>30</v>
      </c>
      <c r="F2540" s="223">
        <v>0</v>
      </c>
      <c r="G2540" s="221" t="s">
        <v>71</v>
      </c>
      <c r="H2540" s="221" t="s">
        <v>71</v>
      </c>
      <c r="I2540" s="222"/>
    </row>
    <row r="2541" ht="17.25" customHeight="1" spans="1:9" x14ac:dyDescent="0.25">
      <c r="A2541" s="220">
        <v>2668</v>
      </c>
      <c r="B2541" s="221" t="s">
        <v>5514</v>
      </c>
      <c r="C2541" s="222" t="s">
        <v>5515</v>
      </c>
      <c r="D2541" s="221" t="s">
        <v>1535</v>
      </c>
      <c r="E2541" s="221" t="s">
        <v>29</v>
      </c>
      <c r="F2541" s="223">
        <v>0</v>
      </c>
      <c r="G2541" s="221" t="s">
        <v>71</v>
      </c>
      <c r="H2541" s="221" t="s">
        <v>71</v>
      </c>
      <c r="I2541" s="222"/>
    </row>
    <row r="2542" ht="17.25" customHeight="1" spans="1:9" x14ac:dyDescent="0.25">
      <c r="A2542" s="220">
        <v>2669</v>
      </c>
      <c r="B2542" s="221" t="s">
        <v>5516</v>
      </c>
      <c r="C2542" s="222" t="s">
        <v>5517</v>
      </c>
      <c r="D2542" s="221" t="s">
        <v>205</v>
      </c>
      <c r="E2542" s="221" t="s">
        <v>395</v>
      </c>
      <c r="F2542" s="223">
        <v>0</v>
      </c>
      <c r="G2542" s="221" t="s">
        <v>71</v>
      </c>
      <c r="H2542" s="221" t="s">
        <v>71</v>
      </c>
      <c r="I2542" s="222"/>
    </row>
    <row r="2543" ht="17.25" customHeight="1" spans="1:9" x14ac:dyDescent="0.25">
      <c r="A2543" s="220">
        <v>2670</v>
      </c>
      <c r="B2543" s="221" t="s">
        <v>5518</v>
      </c>
      <c r="C2543" s="222" t="s">
        <v>5519</v>
      </c>
      <c r="D2543" s="221" t="s">
        <v>205</v>
      </c>
      <c r="E2543" s="221" t="s">
        <v>30</v>
      </c>
      <c r="F2543" s="223">
        <v>0</v>
      </c>
      <c r="G2543" s="221" t="s">
        <v>71</v>
      </c>
      <c r="H2543" s="221" t="s">
        <v>71</v>
      </c>
      <c r="I2543" s="222"/>
    </row>
    <row r="2544" ht="17.25" customHeight="1" spans="1:9" x14ac:dyDescent="0.25">
      <c r="A2544" s="220">
        <v>2671</v>
      </c>
      <c r="B2544" s="221" t="s">
        <v>5520</v>
      </c>
      <c r="C2544" s="222" t="s">
        <v>5521</v>
      </c>
      <c r="D2544" s="221" t="s">
        <v>205</v>
      </c>
      <c r="E2544" s="221" t="s">
        <v>395</v>
      </c>
      <c r="F2544" s="223">
        <v>0</v>
      </c>
      <c r="G2544" s="221" t="s">
        <v>71</v>
      </c>
      <c r="H2544" s="221" t="s">
        <v>71</v>
      </c>
      <c r="I2544" s="222" t="s">
        <v>5522</v>
      </c>
    </row>
    <row r="2545" ht="17.25" customHeight="1" spans="1:9" x14ac:dyDescent="0.25">
      <c r="A2545" s="220">
        <v>2672</v>
      </c>
      <c r="B2545" s="221" t="s">
        <v>5523</v>
      </c>
      <c r="C2545" s="222" t="s">
        <v>5524</v>
      </c>
      <c r="D2545" s="221" t="s">
        <v>2591</v>
      </c>
      <c r="E2545" s="221" t="s">
        <v>35</v>
      </c>
      <c r="F2545" s="223">
        <v>0</v>
      </c>
      <c r="G2545" s="221" t="s">
        <v>71</v>
      </c>
      <c r="H2545" s="221" t="s">
        <v>71</v>
      </c>
      <c r="I2545" s="222"/>
    </row>
    <row r="2546" ht="17.25" customHeight="1" spans="1:9" x14ac:dyDescent="0.25">
      <c r="A2546" s="220">
        <v>2673</v>
      </c>
      <c r="B2546" s="221" t="s">
        <v>5525</v>
      </c>
      <c r="C2546" s="222" t="s">
        <v>5526</v>
      </c>
      <c r="D2546" s="221" t="s">
        <v>92</v>
      </c>
      <c r="E2546" s="221" t="s">
        <v>395</v>
      </c>
      <c r="F2546" s="223">
        <v>0</v>
      </c>
      <c r="G2546" s="221" t="s">
        <v>71</v>
      </c>
      <c r="H2546" s="221" t="s">
        <v>48</v>
      </c>
      <c r="I2546" s="222"/>
    </row>
    <row r="2547" ht="17.25" customHeight="1" spans="1:9" x14ac:dyDescent="0.25">
      <c r="A2547" s="220">
        <v>2674</v>
      </c>
      <c r="B2547" s="221" t="s">
        <v>5527</v>
      </c>
      <c r="C2547" s="222" t="s">
        <v>5528</v>
      </c>
      <c r="D2547" s="221" t="s">
        <v>4556</v>
      </c>
      <c r="E2547" s="221" t="s">
        <v>30</v>
      </c>
      <c r="F2547" s="223">
        <v>0</v>
      </c>
      <c r="G2547" s="221" t="s">
        <v>71</v>
      </c>
      <c r="H2547" s="221" t="s">
        <v>71</v>
      </c>
      <c r="I2547" s="222"/>
    </row>
    <row r="2548" ht="17.25" customHeight="1" spans="1:9" x14ac:dyDescent="0.25">
      <c r="A2548" s="220">
        <v>2675</v>
      </c>
      <c r="B2548" s="221" t="s">
        <v>5529</v>
      </c>
      <c r="C2548" s="222" t="s">
        <v>5530</v>
      </c>
      <c r="D2548" s="221" t="s">
        <v>1535</v>
      </c>
      <c r="E2548" s="221" t="s">
        <v>29</v>
      </c>
      <c r="F2548" s="223">
        <v>0</v>
      </c>
      <c r="G2548" s="221" t="s">
        <v>71</v>
      </c>
      <c r="H2548" s="221" t="s">
        <v>71</v>
      </c>
      <c r="I2548" s="222"/>
    </row>
    <row r="2549" ht="17.25" customHeight="1" spans="1:9" x14ac:dyDescent="0.25">
      <c r="A2549" s="220">
        <v>2676</v>
      </c>
      <c r="B2549" s="221" t="s">
        <v>5531</v>
      </c>
      <c r="C2549" s="222" t="s">
        <v>5532</v>
      </c>
      <c r="D2549" s="221" t="s">
        <v>1535</v>
      </c>
      <c r="E2549" s="221" t="s">
        <v>29</v>
      </c>
      <c r="F2549" s="223">
        <v>0</v>
      </c>
      <c r="G2549" s="221" t="s">
        <v>71</v>
      </c>
      <c r="H2549" s="221" t="s">
        <v>71</v>
      </c>
      <c r="I2549" s="222"/>
    </row>
    <row r="2550" ht="17.25" customHeight="1" spans="1:9" x14ac:dyDescent="0.25">
      <c r="A2550" s="220">
        <v>2677</v>
      </c>
      <c r="B2550" s="221" t="s">
        <v>5533</v>
      </c>
      <c r="C2550" s="222" t="s">
        <v>5534</v>
      </c>
      <c r="D2550" s="221" t="s">
        <v>90</v>
      </c>
      <c r="E2550" s="221" t="s">
        <v>32</v>
      </c>
      <c r="F2550" s="223">
        <v>0</v>
      </c>
      <c r="G2550" s="221" t="s">
        <v>46</v>
      </c>
      <c r="H2550" s="221" t="s">
        <v>46</v>
      </c>
      <c r="I2550" s="222"/>
    </row>
    <row r="2551" ht="17.25" customHeight="1" spans="1:9" x14ac:dyDescent="0.25">
      <c r="A2551" s="220">
        <v>2678</v>
      </c>
      <c r="B2551" s="221" t="s">
        <v>5535</v>
      </c>
      <c r="C2551" s="222" t="s">
        <v>5536</v>
      </c>
      <c r="D2551" s="221" t="s">
        <v>70</v>
      </c>
      <c r="E2551" s="221" t="s">
        <v>395</v>
      </c>
      <c r="F2551" s="223">
        <v>0</v>
      </c>
      <c r="G2551" s="221" t="s">
        <v>46</v>
      </c>
      <c r="H2551" s="221" t="s">
        <v>71</v>
      </c>
      <c r="I2551" s="222"/>
    </row>
    <row r="2552" ht="17.25" customHeight="1" spans="1:9" x14ac:dyDescent="0.25">
      <c r="A2552" s="220">
        <v>2679</v>
      </c>
      <c r="B2552" s="221" t="s">
        <v>5537</v>
      </c>
      <c r="C2552" s="222" t="s">
        <v>5538</v>
      </c>
      <c r="D2552" s="221" t="s">
        <v>70</v>
      </c>
      <c r="E2552" s="221" t="s">
        <v>395</v>
      </c>
      <c r="F2552" s="223">
        <v>0</v>
      </c>
      <c r="G2552" s="221" t="s">
        <v>46</v>
      </c>
      <c r="H2552" s="221" t="s">
        <v>71</v>
      </c>
      <c r="I2552" s="222"/>
    </row>
    <row r="2553" ht="17.25" customHeight="1" spans="1:9" x14ac:dyDescent="0.25">
      <c r="A2553" s="220">
        <v>2680</v>
      </c>
      <c r="B2553" s="221" t="s">
        <v>5539</v>
      </c>
      <c r="C2553" s="222" t="s">
        <v>5540</v>
      </c>
      <c r="D2553" s="221" t="s">
        <v>2591</v>
      </c>
      <c r="E2553" s="221" t="s">
        <v>35</v>
      </c>
      <c r="F2553" s="223">
        <v>0</v>
      </c>
      <c r="G2553" s="221" t="s">
        <v>71</v>
      </c>
      <c r="H2553" s="221" t="s">
        <v>71</v>
      </c>
      <c r="I2553" s="222"/>
    </row>
    <row r="2554" ht="17.25" customHeight="1" spans="1:9" x14ac:dyDescent="0.25">
      <c r="A2554" s="220">
        <v>2681</v>
      </c>
      <c r="B2554" s="221" t="s">
        <v>5541</v>
      </c>
      <c r="C2554" s="222" t="s">
        <v>5542</v>
      </c>
      <c r="D2554" s="221" t="s">
        <v>205</v>
      </c>
      <c r="E2554" s="221" t="s">
        <v>395</v>
      </c>
      <c r="F2554" s="223">
        <v>0</v>
      </c>
      <c r="G2554" s="221" t="s">
        <v>71</v>
      </c>
      <c r="H2554" s="221" t="s">
        <v>71</v>
      </c>
      <c r="I2554" s="222"/>
    </row>
    <row r="2555" ht="17.25" customHeight="1" spans="1:9" x14ac:dyDescent="0.25">
      <c r="A2555" s="220">
        <v>2682</v>
      </c>
      <c r="B2555" s="221" t="s">
        <v>5543</v>
      </c>
      <c r="C2555" s="222" t="s">
        <v>5544</v>
      </c>
      <c r="D2555" s="221" t="s">
        <v>4434</v>
      </c>
      <c r="E2555" s="221" t="s">
        <v>38</v>
      </c>
      <c r="F2555" s="223">
        <v>0</v>
      </c>
      <c r="G2555" s="221" t="s">
        <v>46</v>
      </c>
      <c r="H2555" s="221" t="s">
        <v>46</v>
      </c>
      <c r="I2555" s="222"/>
    </row>
    <row r="2556" ht="17.25" customHeight="1" spans="1:9" x14ac:dyDescent="0.25">
      <c r="A2556" s="220">
        <v>2683</v>
      </c>
      <c r="B2556" s="221" t="s">
        <v>5545</v>
      </c>
      <c r="C2556" s="222" t="s">
        <v>5546</v>
      </c>
      <c r="D2556" s="221" t="s">
        <v>573</v>
      </c>
      <c r="E2556" s="221" t="s">
        <v>27</v>
      </c>
      <c r="F2556" s="223">
        <v>0</v>
      </c>
      <c r="G2556" s="221" t="s">
        <v>48</v>
      </c>
      <c r="H2556" s="221" t="s">
        <v>48</v>
      </c>
      <c r="I2556" s="222"/>
    </row>
    <row r="2557" ht="17.25" customHeight="1" spans="1:9" x14ac:dyDescent="0.25">
      <c r="A2557" s="220">
        <v>2684</v>
      </c>
      <c r="B2557" s="221" t="s">
        <v>5547</v>
      </c>
      <c r="C2557" s="222" t="s">
        <v>5548</v>
      </c>
      <c r="D2557" s="221" t="s">
        <v>573</v>
      </c>
      <c r="E2557" s="221" t="s">
        <v>27</v>
      </c>
      <c r="F2557" s="223">
        <v>0</v>
      </c>
      <c r="G2557" s="221" t="s">
        <v>48</v>
      </c>
      <c r="H2557" s="221" t="s">
        <v>48</v>
      </c>
      <c r="I2557" s="222"/>
    </row>
    <row r="2558" ht="17.25" customHeight="1" spans="1:9" x14ac:dyDescent="0.25">
      <c r="A2558" s="220">
        <v>2685</v>
      </c>
      <c r="B2558" s="221" t="s">
        <v>5549</v>
      </c>
      <c r="C2558" s="222" t="s">
        <v>5550</v>
      </c>
      <c r="D2558" s="221" t="s">
        <v>4556</v>
      </c>
      <c r="E2558" s="221" t="s">
        <v>30</v>
      </c>
      <c r="F2558" s="223">
        <v>0</v>
      </c>
      <c r="G2558" s="221" t="s">
        <v>71</v>
      </c>
      <c r="H2558" s="221" t="s">
        <v>71</v>
      </c>
      <c r="I2558" s="222"/>
    </row>
    <row r="2559" ht="17.25" customHeight="1" spans="1:9" x14ac:dyDescent="0.25">
      <c r="A2559" s="220">
        <v>2686</v>
      </c>
      <c r="B2559" s="221" t="s">
        <v>5551</v>
      </c>
      <c r="C2559" s="222" t="s">
        <v>5552</v>
      </c>
      <c r="D2559" s="221" t="s">
        <v>205</v>
      </c>
      <c r="E2559" s="221" t="s">
        <v>30</v>
      </c>
      <c r="F2559" s="223">
        <v>0</v>
      </c>
      <c r="G2559" s="221" t="s">
        <v>71</v>
      </c>
      <c r="H2559" s="221" t="s">
        <v>71</v>
      </c>
      <c r="I2559" s="222"/>
    </row>
    <row r="2560" ht="17.25" customHeight="1" spans="1:9" x14ac:dyDescent="0.25">
      <c r="A2560" s="220">
        <v>2688</v>
      </c>
      <c r="B2560" s="221" t="s">
        <v>5553</v>
      </c>
      <c r="C2560" s="222" t="s">
        <v>5554</v>
      </c>
      <c r="D2560" s="221" t="s">
        <v>1494</v>
      </c>
      <c r="E2560" s="221" t="s">
        <v>29</v>
      </c>
      <c r="F2560" s="223">
        <v>0</v>
      </c>
      <c r="G2560" s="221" t="s">
        <v>71</v>
      </c>
      <c r="H2560" s="221" t="s">
        <v>71</v>
      </c>
      <c r="I2560" s="222"/>
    </row>
    <row r="2561" ht="17.25" customHeight="1" spans="1:9" x14ac:dyDescent="0.25">
      <c r="A2561" s="220">
        <v>2689</v>
      </c>
      <c r="B2561" s="221" t="s">
        <v>5555</v>
      </c>
      <c r="C2561" s="222" t="s">
        <v>5556</v>
      </c>
      <c r="D2561" s="221" t="s">
        <v>1494</v>
      </c>
      <c r="E2561" s="221" t="s">
        <v>29</v>
      </c>
      <c r="F2561" s="223">
        <v>0</v>
      </c>
      <c r="G2561" s="221" t="s">
        <v>71</v>
      </c>
      <c r="H2561" s="221" t="s">
        <v>71</v>
      </c>
      <c r="I2561" s="222"/>
    </row>
    <row r="2562" ht="17.25" customHeight="1" spans="1:9" x14ac:dyDescent="0.25">
      <c r="A2562" s="220">
        <v>2690</v>
      </c>
      <c r="B2562" s="221" t="s">
        <v>5557</v>
      </c>
      <c r="C2562" s="222" t="s">
        <v>5558</v>
      </c>
      <c r="D2562" s="221" t="s">
        <v>3862</v>
      </c>
      <c r="E2562" s="221" t="s">
        <v>27</v>
      </c>
      <c r="F2562" s="223">
        <v>0</v>
      </c>
      <c r="G2562" s="221" t="s">
        <v>71</v>
      </c>
      <c r="H2562" s="221" t="s">
        <v>71</v>
      </c>
      <c r="I2562" s="222"/>
    </row>
    <row r="2563" ht="17.25" customHeight="1" spans="1:9" x14ac:dyDescent="0.25">
      <c r="A2563" s="220">
        <v>2692</v>
      </c>
      <c r="B2563" s="221" t="s">
        <v>5559</v>
      </c>
      <c r="C2563" s="222" t="s">
        <v>5560</v>
      </c>
      <c r="D2563" s="221" t="s">
        <v>3862</v>
      </c>
      <c r="E2563" s="221" t="s">
        <v>27</v>
      </c>
      <c r="F2563" s="223">
        <v>0</v>
      </c>
      <c r="G2563" s="221" t="s">
        <v>71</v>
      </c>
      <c r="H2563" s="221" t="s">
        <v>71</v>
      </c>
      <c r="I2563" s="222"/>
    </row>
    <row r="2564" ht="17.25" customHeight="1" spans="1:9" x14ac:dyDescent="0.25">
      <c r="A2564" s="220">
        <v>2693</v>
      </c>
      <c r="B2564" s="221" t="s">
        <v>5561</v>
      </c>
      <c r="C2564" s="222" t="s">
        <v>5562</v>
      </c>
      <c r="D2564" s="221" t="s">
        <v>4556</v>
      </c>
      <c r="E2564" s="221" t="s">
        <v>30</v>
      </c>
      <c r="F2564" s="223">
        <v>0</v>
      </c>
      <c r="G2564" s="221" t="s">
        <v>71</v>
      </c>
      <c r="H2564" s="221" t="s">
        <v>71</v>
      </c>
      <c r="I2564" s="222"/>
    </row>
    <row r="2565" ht="17.25" customHeight="1" spans="1:9" x14ac:dyDescent="0.25">
      <c r="A2565" s="220">
        <v>2694</v>
      </c>
      <c r="B2565" s="221" t="s">
        <v>5563</v>
      </c>
      <c r="C2565" s="222" t="s">
        <v>5564</v>
      </c>
      <c r="D2565" s="221" t="s">
        <v>3862</v>
      </c>
      <c r="E2565" s="221" t="s">
        <v>27</v>
      </c>
      <c r="F2565" s="223">
        <v>0</v>
      </c>
      <c r="G2565" s="221" t="s">
        <v>71</v>
      </c>
      <c r="H2565" s="221" t="s">
        <v>71</v>
      </c>
      <c r="I2565" s="222"/>
    </row>
    <row r="2566" ht="17.25" customHeight="1" spans="1:9" x14ac:dyDescent="0.25">
      <c r="A2566" s="220">
        <v>2695</v>
      </c>
      <c r="B2566" s="221" t="s">
        <v>5565</v>
      </c>
      <c r="C2566" s="222" t="s">
        <v>5566</v>
      </c>
      <c r="D2566" s="221" t="s">
        <v>4556</v>
      </c>
      <c r="E2566" s="221" t="s">
        <v>30</v>
      </c>
      <c r="F2566" s="223">
        <v>0</v>
      </c>
      <c r="G2566" s="221" t="s">
        <v>71</v>
      </c>
      <c r="H2566" s="221" t="s">
        <v>71</v>
      </c>
      <c r="I2566" s="222"/>
    </row>
    <row r="2567" ht="17.25" customHeight="1" spans="1:9" x14ac:dyDescent="0.25">
      <c r="A2567" s="220">
        <v>2696</v>
      </c>
      <c r="B2567" s="221" t="s">
        <v>5567</v>
      </c>
      <c r="C2567" s="222" t="s">
        <v>5568</v>
      </c>
      <c r="D2567" s="221" t="s">
        <v>1535</v>
      </c>
      <c r="E2567" s="221" t="s">
        <v>29</v>
      </c>
      <c r="F2567" s="223">
        <v>0</v>
      </c>
      <c r="G2567" s="221" t="s">
        <v>71</v>
      </c>
      <c r="H2567" s="221" t="s">
        <v>71</v>
      </c>
      <c r="I2567" s="222"/>
    </row>
    <row r="2568" ht="17.25" customHeight="1" spans="1:9" x14ac:dyDescent="0.25">
      <c r="A2568" s="220">
        <v>2697</v>
      </c>
      <c r="B2568" s="221" t="s">
        <v>5569</v>
      </c>
      <c r="C2568" s="222" t="s">
        <v>5570</v>
      </c>
      <c r="D2568" s="221" t="s">
        <v>1535</v>
      </c>
      <c r="E2568" s="221" t="s">
        <v>29</v>
      </c>
      <c r="F2568" s="223">
        <v>0</v>
      </c>
      <c r="G2568" s="221" t="s">
        <v>71</v>
      </c>
      <c r="H2568" s="221" t="s">
        <v>71</v>
      </c>
      <c r="I2568" s="222"/>
    </row>
    <row r="2569" ht="17.25" customHeight="1" spans="1:9" x14ac:dyDescent="0.25">
      <c r="A2569" s="220">
        <v>2698</v>
      </c>
      <c r="B2569" s="221" t="s">
        <v>5571</v>
      </c>
      <c r="C2569" s="222" t="s">
        <v>5572</v>
      </c>
      <c r="D2569" s="221" t="s">
        <v>1535</v>
      </c>
      <c r="E2569" s="221" t="s">
        <v>29</v>
      </c>
      <c r="F2569" s="223">
        <v>0</v>
      </c>
      <c r="G2569" s="221" t="s">
        <v>71</v>
      </c>
      <c r="H2569" s="221" t="s">
        <v>71</v>
      </c>
      <c r="I2569" s="222"/>
    </row>
    <row r="2570" ht="17.25" customHeight="1" spans="1:9" x14ac:dyDescent="0.25">
      <c r="A2570" s="220">
        <v>2699</v>
      </c>
      <c r="B2570" s="221" t="s">
        <v>5573</v>
      </c>
      <c r="C2570" s="222" t="s">
        <v>5574</v>
      </c>
      <c r="D2570" s="221" t="s">
        <v>1535</v>
      </c>
      <c r="E2570" s="221" t="s">
        <v>29</v>
      </c>
      <c r="F2570" s="223">
        <v>0</v>
      </c>
      <c r="G2570" s="221" t="s">
        <v>71</v>
      </c>
      <c r="H2570" s="221" t="s">
        <v>71</v>
      </c>
      <c r="I2570" s="222"/>
    </row>
    <row r="2571" ht="17.25" customHeight="1" spans="1:9" x14ac:dyDescent="0.25">
      <c r="A2571" s="220">
        <v>2700</v>
      </c>
      <c r="B2571" s="221" t="s">
        <v>5575</v>
      </c>
      <c r="C2571" s="222" t="s">
        <v>5576</v>
      </c>
      <c r="D2571" s="221" t="s">
        <v>1599</v>
      </c>
      <c r="E2571" s="221" t="s">
        <v>29</v>
      </c>
      <c r="F2571" s="223">
        <v>0</v>
      </c>
      <c r="G2571" s="221" t="s">
        <v>71</v>
      </c>
      <c r="H2571" s="221" t="s">
        <v>71</v>
      </c>
      <c r="I2571" s="222"/>
    </row>
    <row r="2572" ht="17.25" customHeight="1" spans="1:9" x14ac:dyDescent="0.25">
      <c r="A2572" s="220">
        <v>2701</v>
      </c>
      <c r="B2572" s="221" t="s">
        <v>5577</v>
      </c>
      <c r="C2572" s="222" t="s">
        <v>5578</v>
      </c>
      <c r="D2572" s="221" t="s">
        <v>1544</v>
      </c>
      <c r="E2572" s="221" t="s">
        <v>29</v>
      </c>
      <c r="F2572" s="223">
        <v>0</v>
      </c>
      <c r="G2572" s="221" t="s">
        <v>71</v>
      </c>
      <c r="H2572" s="221" t="s">
        <v>71</v>
      </c>
      <c r="I2572" s="222"/>
    </row>
    <row r="2573" ht="17.25" customHeight="1" spans="1:9" x14ac:dyDescent="0.25">
      <c r="A2573" s="220">
        <v>2703</v>
      </c>
      <c r="B2573" s="221" t="s">
        <v>5579</v>
      </c>
      <c r="C2573" s="222" t="s">
        <v>5580</v>
      </c>
      <c r="D2573" s="221" t="s">
        <v>3802</v>
      </c>
      <c r="E2573" s="221" t="s">
        <v>36</v>
      </c>
      <c r="F2573" s="223">
        <v>0</v>
      </c>
      <c r="G2573" s="221" t="s">
        <v>71</v>
      </c>
      <c r="H2573" s="221" t="s">
        <v>71</v>
      </c>
      <c r="I2573" s="222"/>
    </row>
    <row r="2574" ht="17.25" customHeight="1" spans="1:9" x14ac:dyDescent="0.25">
      <c r="A2574" s="220">
        <v>2704</v>
      </c>
      <c r="B2574" s="221" t="s">
        <v>5581</v>
      </c>
      <c r="C2574" s="222" t="s">
        <v>5582</v>
      </c>
      <c r="D2574" s="221" t="s">
        <v>3802</v>
      </c>
      <c r="E2574" s="221" t="s">
        <v>36</v>
      </c>
      <c r="F2574" s="223">
        <v>0</v>
      </c>
      <c r="G2574" s="221" t="s">
        <v>71</v>
      </c>
      <c r="H2574" s="221" t="s">
        <v>71</v>
      </c>
      <c r="I2574" s="222"/>
    </row>
    <row r="2575" ht="17.25" customHeight="1" spans="1:9" x14ac:dyDescent="0.25">
      <c r="A2575" s="220">
        <v>2705</v>
      </c>
      <c r="B2575" s="221" t="s">
        <v>5583</v>
      </c>
      <c r="C2575" s="222" t="s">
        <v>5584</v>
      </c>
      <c r="D2575" s="221" t="s">
        <v>3802</v>
      </c>
      <c r="E2575" s="221" t="s">
        <v>36</v>
      </c>
      <c r="F2575" s="223">
        <v>0</v>
      </c>
      <c r="G2575" s="221" t="s">
        <v>71</v>
      </c>
      <c r="H2575" s="221" t="s">
        <v>71</v>
      </c>
      <c r="I2575" s="222"/>
    </row>
    <row r="2576" ht="17.25" customHeight="1" spans="1:9" x14ac:dyDescent="0.25">
      <c r="A2576" s="220">
        <v>2706</v>
      </c>
      <c r="B2576" s="221" t="s">
        <v>5585</v>
      </c>
      <c r="C2576" s="222" t="s">
        <v>5586</v>
      </c>
      <c r="D2576" s="221" t="s">
        <v>3802</v>
      </c>
      <c r="E2576" s="221" t="s">
        <v>36</v>
      </c>
      <c r="F2576" s="223">
        <v>0</v>
      </c>
      <c r="G2576" s="221" t="s">
        <v>71</v>
      </c>
      <c r="H2576" s="221" t="s">
        <v>71</v>
      </c>
      <c r="I2576" s="222"/>
    </row>
    <row r="2577" ht="17.25" customHeight="1" spans="1:9" x14ac:dyDescent="0.25">
      <c r="A2577" s="220">
        <v>2707</v>
      </c>
      <c r="B2577" s="221" t="s">
        <v>5587</v>
      </c>
      <c r="C2577" s="222" t="s">
        <v>5588</v>
      </c>
      <c r="D2577" s="221" t="s">
        <v>3802</v>
      </c>
      <c r="E2577" s="221" t="s">
        <v>36</v>
      </c>
      <c r="F2577" s="223">
        <v>0</v>
      </c>
      <c r="G2577" s="221" t="s">
        <v>71</v>
      </c>
      <c r="H2577" s="221" t="s">
        <v>71</v>
      </c>
      <c r="I2577" s="222"/>
    </row>
    <row r="2578" ht="17.25" customHeight="1" spans="1:9" x14ac:dyDescent="0.25">
      <c r="A2578" s="220">
        <v>2708</v>
      </c>
      <c r="B2578" s="221" t="s">
        <v>5589</v>
      </c>
      <c r="C2578" s="222" t="s">
        <v>5590</v>
      </c>
      <c r="D2578" s="221" t="s">
        <v>3802</v>
      </c>
      <c r="E2578" s="221" t="s">
        <v>36</v>
      </c>
      <c r="F2578" s="223">
        <v>0</v>
      </c>
      <c r="G2578" s="221" t="s">
        <v>71</v>
      </c>
      <c r="H2578" s="221" t="s">
        <v>71</v>
      </c>
      <c r="I2578" s="222"/>
    </row>
    <row r="2579" ht="17.25" customHeight="1" spans="1:9" x14ac:dyDescent="0.25">
      <c r="A2579" s="220">
        <v>2709</v>
      </c>
      <c r="B2579" s="221" t="s">
        <v>5591</v>
      </c>
      <c r="C2579" s="222" t="s">
        <v>5592</v>
      </c>
      <c r="D2579" s="221" t="s">
        <v>3802</v>
      </c>
      <c r="E2579" s="221" t="s">
        <v>36</v>
      </c>
      <c r="F2579" s="223">
        <v>0</v>
      </c>
      <c r="G2579" s="221" t="s">
        <v>71</v>
      </c>
      <c r="H2579" s="221" t="s">
        <v>71</v>
      </c>
      <c r="I2579" s="222"/>
    </row>
    <row r="2580" ht="17.25" customHeight="1" spans="1:9" x14ac:dyDescent="0.25">
      <c r="A2580" s="220">
        <v>2710</v>
      </c>
      <c r="B2580" s="221" t="s">
        <v>5593</v>
      </c>
      <c r="C2580" s="222" t="s">
        <v>5594</v>
      </c>
      <c r="D2580" s="221" t="s">
        <v>3802</v>
      </c>
      <c r="E2580" s="221" t="s">
        <v>36</v>
      </c>
      <c r="F2580" s="223">
        <v>0</v>
      </c>
      <c r="G2580" s="221" t="s">
        <v>71</v>
      </c>
      <c r="H2580" s="221" t="s">
        <v>71</v>
      </c>
      <c r="I2580" s="222"/>
    </row>
    <row r="2581" ht="17.25" customHeight="1" spans="1:9" x14ac:dyDescent="0.25">
      <c r="A2581" s="220">
        <v>2711</v>
      </c>
      <c r="B2581" s="221" t="s">
        <v>5595</v>
      </c>
      <c r="C2581" s="222" t="s">
        <v>5596</v>
      </c>
      <c r="D2581" s="221" t="s">
        <v>3802</v>
      </c>
      <c r="E2581" s="221" t="s">
        <v>36</v>
      </c>
      <c r="F2581" s="223">
        <v>0</v>
      </c>
      <c r="G2581" s="221" t="s">
        <v>71</v>
      </c>
      <c r="H2581" s="221" t="s">
        <v>71</v>
      </c>
      <c r="I2581" s="222"/>
    </row>
    <row r="2582" ht="17.25" customHeight="1" spans="1:9" x14ac:dyDescent="0.25">
      <c r="A2582" s="220">
        <v>2712</v>
      </c>
      <c r="B2582" s="221" t="s">
        <v>5597</v>
      </c>
      <c r="C2582" s="222" t="s">
        <v>5598</v>
      </c>
      <c r="D2582" s="221" t="s">
        <v>3802</v>
      </c>
      <c r="E2582" s="221" t="s">
        <v>36</v>
      </c>
      <c r="F2582" s="223">
        <v>0</v>
      </c>
      <c r="G2582" s="221" t="s">
        <v>71</v>
      </c>
      <c r="H2582" s="221" t="s">
        <v>71</v>
      </c>
      <c r="I2582" s="222"/>
    </row>
    <row r="2583" ht="17.25" customHeight="1" spans="1:9" x14ac:dyDescent="0.25">
      <c r="A2583" s="220">
        <v>2713</v>
      </c>
      <c r="B2583" s="221" t="s">
        <v>5599</v>
      </c>
      <c r="C2583" s="222" t="s">
        <v>5600</v>
      </c>
      <c r="D2583" s="221" t="s">
        <v>3802</v>
      </c>
      <c r="E2583" s="221" t="s">
        <v>36</v>
      </c>
      <c r="F2583" s="223">
        <v>0</v>
      </c>
      <c r="G2583" s="221" t="s">
        <v>71</v>
      </c>
      <c r="H2583" s="221" t="s">
        <v>71</v>
      </c>
      <c r="I2583" s="222"/>
    </row>
    <row r="2584" ht="17.25" customHeight="1" spans="1:9" x14ac:dyDescent="0.25">
      <c r="A2584" s="220">
        <v>2714</v>
      </c>
      <c r="B2584" s="221" t="s">
        <v>5601</v>
      </c>
      <c r="C2584" s="222" t="s">
        <v>5602</v>
      </c>
      <c r="D2584" s="221" t="s">
        <v>4556</v>
      </c>
      <c r="E2584" s="221" t="s">
        <v>30</v>
      </c>
      <c r="F2584" s="223">
        <v>0</v>
      </c>
      <c r="G2584" s="221" t="s">
        <v>71</v>
      </c>
      <c r="H2584" s="221" t="s">
        <v>71</v>
      </c>
      <c r="I2584" s="222"/>
    </row>
    <row r="2585" ht="17.25" customHeight="1" spans="1:9" x14ac:dyDescent="0.25">
      <c r="A2585" s="220">
        <v>2715</v>
      </c>
      <c r="B2585" s="221" t="s">
        <v>5603</v>
      </c>
      <c r="C2585" s="222" t="s">
        <v>5604</v>
      </c>
      <c r="D2585" s="221" t="s">
        <v>4556</v>
      </c>
      <c r="E2585" s="221" t="s">
        <v>30</v>
      </c>
      <c r="F2585" s="223">
        <v>0</v>
      </c>
      <c r="G2585" s="221" t="s">
        <v>71</v>
      </c>
      <c r="H2585" s="221" t="s">
        <v>71</v>
      </c>
      <c r="I2585" s="222"/>
    </row>
    <row r="2586" ht="17.25" customHeight="1" spans="1:9" x14ac:dyDescent="0.25">
      <c r="A2586" s="220">
        <v>2716</v>
      </c>
      <c r="B2586" s="221" t="s">
        <v>5605</v>
      </c>
      <c r="C2586" s="222" t="s">
        <v>5606</v>
      </c>
      <c r="D2586" s="221" t="s">
        <v>92</v>
      </c>
      <c r="E2586" s="221" t="s">
        <v>395</v>
      </c>
      <c r="F2586" s="223">
        <v>650</v>
      </c>
      <c r="G2586" s="221" t="s">
        <v>71</v>
      </c>
      <c r="H2586" s="221" t="s">
        <v>48</v>
      </c>
      <c r="I2586" s="222"/>
    </row>
    <row r="2587" ht="17.25" customHeight="1" spans="1:9" x14ac:dyDescent="0.25">
      <c r="A2587" s="220">
        <v>2717</v>
      </c>
      <c r="B2587" s="221" t="s">
        <v>5607</v>
      </c>
      <c r="C2587" s="222" t="s">
        <v>5608</v>
      </c>
      <c r="D2587" s="221" t="s">
        <v>2591</v>
      </c>
      <c r="E2587" s="221" t="s">
        <v>35</v>
      </c>
      <c r="F2587" s="223">
        <v>0</v>
      </c>
      <c r="G2587" s="221" t="s">
        <v>71</v>
      </c>
      <c r="H2587" s="221" t="s">
        <v>71</v>
      </c>
      <c r="I2587" s="222"/>
    </row>
    <row r="2588" ht="17.25" customHeight="1" spans="1:9" x14ac:dyDescent="0.25">
      <c r="A2588" s="220">
        <v>2718</v>
      </c>
      <c r="B2588" s="221" t="s">
        <v>5609</v>
      </c>
      <c r="C2588" s="222" t="s">
        <v>5610</v>
      </c>
      <c r="D2588" s="221" t="s">
        <v>92</v>
      </c>
      <c r="E2588" s="221" t="s">
        <v>395</v>
      </c>
      <c r="F2588" s="223">
        <v>0</v>
      </c>
      <c r="G2588" s="221" t="s">
        <v>71</v>
      </c>
      <c r="H2588" s="221" t="s">
        <v>48</v>
      </c>
      <c r="I2588" s="222"/>
    </row>
    <row r="2589" ht="17.25" customHeight="1" spans="1:9" x14ac:dyDescent="0.25">
      <c r="A2589" s="220">
        <v>2719</v>
      </c>
      <c r="B2589" s="221" t="s">
        <v>5611</v>
      </c>
      <c r="C2589" s="222" t="s">
        <v>5612</v>
      </c>
      <c r="D2589" s="221" t="s">
        <v>3802</v>
      </c>
      <c r="E2589" s="221" t="s">
        <v>36</v>
      </c>
      <c r="F2589" s="223">
        <v>0</v>
      </c>
      <c r="G2589" s="221" t="s">
        <v>71</v>
      </c>
      <c r="H2589" s="221" t="s">
        <v>71</v>
      </c>
      <c r="I2589" s="222"/>
    </row>
    <row r="2590" ht="17.25" customHeight="1" spans="1:9" x14ac:dyDescent="0.25">
      <c r="A2590" s="220">
        <v>2720</v>
      </c>
      <c r="B2590" s="221" t="s">
        <v>5613</v>
      </c>
      <c r="C2590" s="222" t="s">
        <v>5614</v>
      </c>
      <c r="D2590" s="221" t="s">
        <v>205</v>
      </c>
      <c r="E2590" s="221" t="s">
        <v>395</v>
      </c>
      <c r="F2590" s="223">
        <v>0</v>
      </c>
      <c r="G2590" s="221" t="s">
        <v>71</v>
      </c>
      <c r="H2590" s="221" t="s">
        <v>71</v>
      </c>
      <c r="I2590" s="222"/>
    </row>
    <row r="2591" ht="17.25" customHeight="1" spans="1:9" x14ac:dyDescent="0.25">
      <c r="A2591" s="220">
        <v>2721</v>
      </c>
      <c r="B2591" s="221" t="s">
        <v>5615</v>
      </c>
      <c r="C2591" s="222" t="s">
        <v>5616</v>
      </c>
      <c r="D2591" s="221" t="s">
        <v>1494</v>
      </c>
      <c r="E2591" s="221" t="s">
        <v>29</v>
      </c>
      <c r="F2591" s="223">
        <v>0</v>
      </c>
      <c r="G2591" s="221" t="s">
        <v>71</v>
      </c>
      <c r="H2591" s="221" t="s">
        <v>71</v>
      </c>
      <c r="I2591" s="222"/>
    </row>
    <row r="2592" ht="17.25" customHeight="1" spans="1:9" x14ac:dyDescent="0.25">
      <c r="A2592" s="220">
        <v>2722</v>
      </c>
      <c r="B2592" s="221" t="s">
        <v>5617</v>
      </c>
      <c r="C2592" s="222" t="s">
        <v>5618</v>
      </c>
      <c r="D2592" s="221" t="s">
        <v>1494</v>
      </c>
      <c r="E2592" s="221" t="s">
        <v>29</v>
      </c>
      <c r="F2592" s="223">
        <v>0</v>
      </c>
      <c r="G2592" s="221" t="s">
        <v>71</v>
      </c>
      <c r="H2592" s="221" t="s">
        <v>71</v>
      </c>
      <c r="I2592" s="222"/>
    </row>
    <row r="2593" ht="17.25" customHeight="1" spans="1:9" x14ac:dyDescent="0.25">
      <c r="A2593" s="220">
        <v>2723</v>
      </c>
      <c r="B2593" s="221" t="s">
        <v>5619</v>
      </c>
      <c r="C2593" s="222" t="s">
        <v>5620</v>
      </c>
      <c r="D2593" s="221" t="s">
        <v>3802</v>
      </c>
      <c r="E2593" s="221" t="s">
        <v>36</v>
      </c>
      <c r="F2593" s="223">
        <v>0</v>
      </c>
      <c r="G2593" s="221" t="s">
        <v>71</v>
      </c>
      <c r="H2593" s="221" t="s">
        <v>71</v>
      </c>
      <c r="I2593" s="222"/>
    </row>
    <row r="2594" ht="17.25" customHeight="1" spans="1:9" x14ac:dyDescent="0.25">
      <c r="A2594" s="220">
        <v>2724</v>
      </c>
      <c r="B2594" s="221" t="s">
        <v>5621</v>
      </c>
      <c r="C2594" s="222" t="s">
        <v>5622</v>
      </c>
      <c r="D2594" s="221" t="s">
        <v>3802</v>
      </c>
      <c r="E2594" s="221" t="s">
        <v>36</v>
      </c>
      <c r="F2594" s="223">
        <v>0</v>
      </c>
      <c r="G2594" s="221" t="s">
        <v>71</v>
      </c>
      <c r="H2594" s="221" t="s">
        <v>71</v>
      </c>
      <c r="I2594" s="222"/>
    </row>
    <row r="2595" ht="17.25" customHeight="1" spans="1:9" x14ac:dyDescent="0.25">
      <c r="A2595" s="220">
        <v>2725</v>
      </c>
      <c r="B2595" s="221" t="s">
        <v>5623</v>
      </c>
      <c r="C2595" s="222" t="s">
        <v>5624</v>
      </c>
      <c r="D2595" s="221" t="s">
        <v>3802</v>
      </c>
      <c r="E2595" s="221" t="s">
        <v>36</v>
      </c>
      <c r="F2595" s="223">
        <v>0</v>
      </c>
      <c r="G2595" s="221" t="s">
        <v>71</v>
      </c>
      <c r="H2595" s="221" t="s">
        <v>71</v>
      </c>
      <c r="I2595" s="222"/>
    </row>
    <row r="2596" ht="17.25" customHeight="1" spans="1:9" x14ac:dyDescent="0.25">
      <c r="A2596" s="220">
        <v>2727</v>
      </c>
      <c r="B2596" s="221" t="s">
        <v>5625</v>
      </c>
      <c r="C2596" s="222" t="s">
        <v>5626</v>
      </c>
      <c r="D2596" s="221" t="s">
        <v>3802</v>
      </c>
      <c r="E2596" s="221" t="s">
        <v>36</v>
      </c>
      <c r="F2596" s="223">
        <v>0</v>
      </c>
      <c r="G2596" s="221" t="s">
        <v>71</v>
      </c>
      <c r="H2596" s="221" t="s">
        <v>71</v>
      </c>
      <c r="I2596" s="222"/>
    </row>
    <row r="2597" ht="17.25" customHeight="1" spans="1:9" x14ac:dyDescent="0.25">
      <c r="A2597" s="220">
        <v>2728</v>
      </c>
      <c r="B2597" s="221" t="s">
        <v>5627</v>
      </c>
      <c r="C2597" s="222" t="s">
        <v>5628</v>
      </c>
      <c r="D2597" s="221" t="s">
        <v>3802</v>
      </c>
      <c r="E2597" s="221" t="s">
        <v>36</v>
      </c>
      <c r="F2597" s="223">
        <v>0</v>
      </c>
      <c r="G2597" s="221" t="s">
        <v>71</v>
      </c>
      <c r="H2597" s="221" t="s">
        <v>71</v>
      </c>
      <c r="I2597" s="222"/>
    </row>
    <row r="2598" ht="17.25" customHeight="1" spans="1:9" x14ac:dyDescent="0.25">
      <c r="A2598" s="220">
        <v>2729</v>
      </c>
      <c r="B2598" s="221" t="s">
        <v>5629</v>
      </c>
      <c r="C2598" s="222" t="s">
        <v>5630</v>
      </c>
      <c r="D2598" s="221" t="s">
        <v>3862</v>
      </c>
      <c r="E2598" s="221" t="s">
        <v>27</v>
      </c>
      <c r="F2598" s="223">
        <v>0</v>
      </c>
      <c r="G2598" s="221" t="s">
        <v>71</v>
      </c>
      <c r="H2598" s="221" t="s">
        <v>71</v>
      </c>
      <c r="I2598" s="222"/>
    </row>
    <row r="2599" ht="17.25" customHeight="1" spans="1:9" x14ac:dyDescent="0.25">
      <c r="A2599" s="220">
        <v>2730</v>
      </c>
      <c r="B2599" s="221" t="s">
        <v>5631</v>
      </c>
      <c r="C2599" s="222" t="s">
        <v>5632</v>
      </c>
      <c r="D2599" s="221" t="s">
        <v>3748</v>
      </c>
      <c r="E2599" s="221" t="s">
        <v>36</v>
      </c>
      <c r="F2599" s="223">
        <v>0</v>
      </c>
      <c r="G2599" s="221" t="s">
        <v>71</v>
      </c>
      <c r="H2599" s="221" t="s">
        <v>71</v>
      </c>
      <c r="I2599" s="222" t="s">
        <v>5633</v>
      </c>
    </row>
    <row r="2600" ht="17.25" customHeight="1" spans="1:9" x14ac:dyDescent="0.25">
      <c r="A2600" s="220">
        <v>2731</v>
      </c>
      <c r="B2600" s="221" t="s">
        <v>5634</v>
      </c>
      <c r="C2600" s="222" t="s">
        <v>5635</v>
      </c>
      <c r="D2600" s="221" t="s">
        <v>3748</v>
      </c>
      <c r="E2600" s="221" t="s">
        <v>36</v>
      </c>
      <c r="F2600" s="223">
        <v>0</v>
      </c>
      <c r="G2600" s="221" t="s">
        <v>71</v>
      </c>
      <c r="H2600" s="221" t="s">
        <v>71</v>
      </c>
      <c r="I2600" s="222" t="s">
        <v>5636</v>
      </c>
    </row>
    <row r="2601" ht="17.25" customHeight="1" spans="1:9" x14ac:dyDescent="0.25">
      <c r="A2601" s="220">
        <v>2732</v>
      </c>
      <c r="B2601" s="221" t="s">
        <v>5637</v>
      </c>
      <c r="C2601" s="222" t="s">
        <v>5638</v>
      </c>
      <c r="D2601" s="221" t="s">
        <v>3748</v>
      </c>
      <c r="E2601" s="221" t="s">
        <v>36</v>
      </c>
      <c r="F2601" s="223">
        <v>0</v>
      </c>
      <c r="G2601" s="221" t="s">
        <v>71</v>
      </c>
      <c r="H2601" s="221" t="s">
        <v>71</v>
      </c>
      <c r="I2601" s="222" t="s">
        <v>5639</v>
      </c>
    </row>
    <row r="2602" ht="17.25" customHeight="1" spans="1:9" x14ac:dyDescent="0.25">
      <c r="A2602" s="220">
        <v>2733</v>
      </c>
      <c r="B2602" s="221" t="s">
        <v>5640</v>
      </c>
      <c r="C2602" s="222" t="s">
        <v>5641</v>
      </c>
      <c r="D2602" s="221" t="s">
        <v>70</v>
      </c>
      <c r="E2602" s="221" t="s">
        <v>395</v>
      </c>
      <c r="F2602" s="223">
        <v>0</v>
      </c>
      <c r="G2602" s="221" t="s">
        <v>46</v>
      </c>
      <c r="H2602" s="221" t="s">
        <v>71</v>
      </c>
      <c r="I2602" s="222"/>
    </row>
    <row r="2603" ht="17.25" customHeight="1" spans="1:9" x14ac:dyDescent="0.25">
      <c r="A2603" s="220">
        <v>2734</v>
      </c>
      <c r="B2603" s="221" t="s">
        <v>5642</v>
      </c>
      <c r="C2603" s="222" t="s">
        <v>5643</v>
      </c>
      <c r="D2603" s="221" t="s">
        <v>3802</v>
      </c>
      <c r="E2603" s="221" t="s">
        <v>36</v>
      </c>
      <c r="F2603" s="223">
        <v>0</v>
      </c>
      <c r="G2603" s="221" t="s">
        <v>71</v>
      </c>
      <c r="H2603" s="221" t="s">
        <v>71</v>
      </c>
      <c r="I2603" s="222"/>
    </row>
    <row r="2604" ht="17.25" customHeight="1" spans="1:9" x14ac:dyDescent="0.25">
      <c r="A2604" s="220">
        <v>2735</v>
      </c>
      <c r="B2604" s="221" t="s">
        <v>5644</v>
      </c>
      <c r="C2604" s="222" t="s">
        <v>5645</v>
      </c>
      <c r="D2604" s="221" t="s">
        <v>205</v>
      </c>
      <c r="E2604" s="221" t="s">
        <v>30</v>
      </c>
      <c r="F2604" s="223">
        <v>0</v>
      </c>
      <c r="G2604" s="221" t="s">
        <v>71</v>
      </c>
      <c r="H2604" s="221" t="s">
        <v>71</v>
      </c>
      <c r="I2604" s="222"/>
    </row>
    <row r="2605" ht="17.25" customHeight="1" spans="1:9" x14ac:dyDescent="0.25">
      <c r="A2605" s="220">
        <v>2736</v>
      </c>
      <c r="B2605" s="221" t="s">
        <v>5646</v>
      </c>
      <c r="C2605" s="222" t="s">
        <v>5647</v>
      </c>
      <c r="D2605" s="221" t="s">
        <v>70</v>
      </c>
      <c r="E2605" s="221" t="s">
        <v>30</v>
      </c>
      <c r="F2605" s="223">
        <v>0</v>
      </c>
      <c r="G2605" s="221" t="s">
        <v>71</v>
      </c>
      <c r="H2605" s="221" t="s">
        <v>71</v>
      </c>
      <c r="I2605" s="222"/>
    </row>
    <row r="2606" ht="17.25" customHeight="1" spans="1:9" x14ac:dyDescent="0.25">
      <c r="A2606" s="220">
        <v>2737</v>
      </c>
      <c r="B2606" s="221" t="s">
        <v>5648</v>
      </c>
      <c r="C2606" s="222" t="s">
        <v>5649</v>
      </c>
      <c r="D2606" s="221" t="s">
        <v>70</v>
      </c>
      <c r="E2606" s="221" t="s">
        <v>30</v>
      </c>
      <c r="F2606" s="223">
        <v>0</v>
      </c>
      <c r="G2606" s="221" t="s">
        <v>71</v>
      </c>
      <c r="H2606" s="221" t="s">
        <v>71</v>
      </c>
      <c r="I2606" s="222"/>
    </row>
    <row r="2607" ht="17.25" customHeight="1" spans="1:9" x14ac:dyDescent="0.25">
      <c r="A2607" s="220">
        <v>2738</v>
      </c>
      <c r="B2607" s="221" t="s">
        <v>5650</v>
      </c>
      <c r="C2607" s="222" t="s">
        <v>5651</v>
      </c>
      <c r="D2607" s="221" t="s">
        <v>205</v>
      </c>
      <c r="E2607" s="221" t="s">
        <v>30</v>
      </c>
      <c r="F2607" s="223">
        <v>0</v>
      </c>
      <c r="G2607" s="221" t="s">
        <v>71</v>
      </c>
      <c r="H2607" s="221" t="s">
        <v>71</v>
      </c>
      <c r="I2607" s="222"/>
    </row>
    <row r="2608" ht="17.25" customHeight="1" spans="1:9" x14ac:dyDescent="0.25">
      <c r="A2608" s="220">
        <v>2739</v>
      </c>
      <c r="B2608" s="221" t="s">
        <v>5652</v>
      </c>
      <c r="C2608" s="222" t="s">
        <v>5653</v>
      </c>
      <c r="D2608" s="221" t="s">
        <v>205</v>
      </c>
      <c r="E2608" s="221" t="s">
        <v>30</v>
      </c>
      <c r="F2608" s="223">
        <v>0</v>
      </c>
      <c r="G2608" s="221" t="s">
        <v>71</v>
      </c>
      <c r="H2608" s="221" t="s">
        <v>71</v>
      </c>
      <c r="I2608" s="222"/>
    </row>
    <row r="2609" ht="17.25" customHeight="1" spans="1:9" x14ac:dyDescent="0.25">
      <c r="A2609" s="220">
        <v>2740</v>
      </c>
      <c r="B2609" s="221" t="s">
        <v>5654</v>
      </c>
      <c r="C2609" s="222" t="s">
        <v>5655</v>
      </c>
      <c r="D2609" s="221" t="s">
        <v>205</v>
      </c>
      <c r="E2609" s="221" t="s">
        <v>30</v>
      </c>
      <c r="F2609" s="223">
        <v>0</v>
      </c>
      <c r="G2609" s="221" t="s">
        <v>71</v>
      </c>
      <c r="H2609" s="221" t="s">
        <v>71</v>
      </c>
      <c r="I2609" s="222"/>
    </row>
    <row r="2610" ht="17.25" customHeight="1" spans="1:9" x14ac:dyDescent="0.25">
      <c r="A2610" s="220">
        <v>2741</v>
      </c>
      <c r="B2610" s="221" t="s">
        <v>5656</v>
      </c>
      <c r="C2610" s="222" t="s">
        <v>5657</v>
      </c>
      <c r="D2610" s="221" t="s">
        <v>205</v>
      </c>
      <c r="E2610" s="221" t="s">
        <v>30</v>
      </c>
      <c r="F2610" s="223">
        <v>0</v>
      </c>
      <c r="G2610" s="221" t="s">
        <v>71</v>
      </c>
      <c r="H2610" s="221" t="s">
        <v>71</v>
      </c>
      <c r="I2610" s="222"/>
    </row>
    <row r="2611" ht="17.25" customHeight="1" spans="1:9" x14ac:dyDescent="0.25">
      <c r="A2611" s="220">
        <v>2742</v>
      </c>
      <c r="B2611" s="221" t="s">
        <v>5658</v>
      </c>
      <c r="C2611" s="222" t="s">
        <v>5659</v>
      </c>
      <c r="D2611" s="221" t="s">
        <v>205</v>
      </c>
      <c r="E2611" s="221" t="s">
        <v>30</v>
      </c>
      <c r="F2611" s="223">
        <v>0</v>
      </c>
      <c r="G2611" s="221" t="s">
        <v>71</v>
      </c>
      <c r="H2611" s="221" t="s">
        <v>71</v>
      </c>
      <c r="I2611" s="222"/>
    </row>
    <row r="2612" ht="17.25" customHeight="1" spans="1:9" x14ac:dyDescent="0.25">
      <c r="A2612" s="220">
        <v>2743</v>
      </c>
      <c r="B2612" s="221" t="s">
        <v>5660</v>
      </c>
      <c r="C2612" s="222" t="s">
        <v>5661</v>
      </c>
      <c r="D2612" s="221" t="s">
        <v>2591</v>
      </c>
      <c r="E2612" s="221" t="s">
        <v>35</v>
      </c>
      <c r="F2612" s="223">
        <v>0</v>
      </c>
      <c r="G2612" s="221" t="s">
        <v>71</v>
      </c>
      <c r="H2612" s="221" t="s">
        <v>71</v>
      </c>
      <c r="I2612" s="222"/>
    </row>
    <row r="2613" ht="17.25" customHeight="1" spans="1:9" x14ac:dyDescent="0.25">
      <c r="A2613" s="220">
        <v>2744</v>
      </c>
      <c r="B2613" s="221" t="s">
        <v>5662</v>
      </c>
      <c r="C2613" s="222" t="s">
        <v>5663</v>
      </c>
      <c r="D2613" s="221" t="s">
        <v>205</v>
      </c>
      <c r="E2613" s="221" t="s">
        <v>30</v>
      </c>
      <c r="F2613" s="223">
        <v>0</v>
      </c>
      <c r="G2613" s="221" t="s">
        <v>71</v>
      </c>
      <c r="H2613" s="221" t="s">
        <v>71</v>
      </c>
      <c r="I2613" s="222"/>
    </row>
    <row r="2614" ht="17.25" customHeight="1" spans="1:9" x14ac:dyDescent="0.25">
      <c r="A2614" s="220">
        <v>2745</v>
      </c>
      <c r="B2614" s="221" t="s">
        <v>5664</v>
      </c>
      <c r="C2614" s="222" t="s">
        <v>5665</v>
      </c>
      <c r="D2614" s="221" t="s">
        <v>2591</v>
      </c>
      <c r="E2614" s="221" t="s">
        <v>35</v>
      </c>
      <c r="F2614" s="223">
        <v>0</v>
      </c>
      <c r="G2614" s="221" t="s">
        <v>71</v>
      </c>
      <c r="H2614" s="221" t="s">
        <v>71</v>
      </c>
      <c r="I2614" s="222"/>
    </row>
    <row r="2615" ht="17.25" customHeight="1" spans="1:9" x14ac:dyDescent="0.25">
      <c r="A2615" s="220">
        <v>2746</v>
      </c>
      <c r="B2615" s="221" t="s">
        <v>5666</v>
      </c>
      <c r="C2615" s="222" t="s">
        <v>5667</v>
      </c>
      <c r="D2615" s="221" t="s">
        <v>205</v>
      </c>
      <c r="E2615" s="221" t="s">
        <v>30</v>
      </c>
      <c r="F2615" s="223">
        <v>0</v>
      </c>
      <c r="G2615" s="221" t="s">
        <v>71</v>
      </c>
      <c r="H2615" s="221" t="s">
        <v>71</v>
      </c>
      <c r="I2615" s="222"/>
    </row>
    <row r="2616" ht="17.25" customHeight="1" spans="1:9" x14ac:dyDescent="0.25">
      <c r="A2616" s="220">
        <v>2747</v>
      </c>
      <c r="B2616" s="221" t="s">
        <v>5668</v>
      </c>
      <c r="C2616" s="222" t="s">
        <v>5669</v>
      </c>
      <c r="D2616" s="221" t="s">
        <v>205</v>
      </c>
      <c r="E2616" s="221" t="s">
        <v>30</v>
      </c>
      <c r="F2616" s="223">
        <v>0</v>
      </c>
      <c r="G2616" s="221" t="s">
        <v>71</v>
      </c>
      <c r="H2616" s="221" t="s">
        <v>71</v>
      </c>
      <c r="I2616" s="222"/>
    </row>
    <row r="2617" ht="17.25" customHeight="1" spans="1:9" x14ac:dyDescent="0.25">
      <c r="A2617" s="220">
        <v>2748</v>
      </c>
      <c r="B2617" s="221" t="s">
        <v>5670</v>
      </c>
      <c r="C2617" s="222" t="s">
        <v>5671</v>
      </c>
      <c r="D2617" s="221" t="s">
        <v>4556</v>
      </c>
      <c r="E2617" s="221" t="s">
        <v>30</v>
      </c>
      <c r="F2617" s="223">
        <v>0</v>
      </c>
      <c r="G2617" s="221" t="s">
        <v>71</v>
      </c>
      <c r="H2617" s="221" t="s">
        <v>71</v>
      </c>
      <c r="I2617" s="222"/>
    </row>
    <row r="2618" ht="17.25" customHeight="1" spans="1:9" x14ac:dyDescent="0.25">
      <c r="A2618" s="220">
        <v>2750</v>
      </c>
      <c r="B2618" s="221"/>
      <c r="C2618" s="222" t="s">
        <v>5672</v>
      </c>
      <c r="D2618" s="221" t="s">
        <v>4556</v>
      </c>
      <c r="E2618" s="221" t="s">
        <v>30</v>
      </c>
      <c r="F2618" s="223">
        <v>0</v>
      </c>
      <c r="G2618" s="221" t="s">
        <v>71</v>
      </c>
      <c r="H2618" s="221" t="s">
        <v>71</v>
      </c>
      <c r="I2618" s="222" t="s">
        <v>5673</v>
      </c>
    </row>
    <row r="2619" ht="17.25" customHeight="1" spans="1:9" x14ac:dyDescent="0.25">
      <c r="A2619" s="220">
        <v>2751</v>
      </c>
      <c r="B2619" s="221" t="s">
        <v>5674</v>
      </c>
      <c r="C2619" s="222" t="s">
        <v>5675</v>
      </c>
      <c r="D2619" s="221" t="s">
        <v>205</v>
      </c>
      <c r="E2619" s="221" t="s">
        <v>30</v>
      </c>
      <c r="F2619" s="223">
        <v>0</v>
      </c>
      <c r="G2619" s="221" t="s">
        <v>71</v>
      </c>
      <c r="H2619" s="221" t="s">
        <v>71</v>
      </c>
      <c r="I2619" s="222"/>
    </row>
    <row r="2620" ht="17.25" customHeight="1" spans="1:9" x14ac:dyDescent="0.25">
      <c r="A2620" s="220">
        <v>2752</v>
      </c>
      <c r="B2620" s="221" t="s">
        <v>5676</v>
      </c>
      <c r="C2620" s="222" t="s">
        <v>5677</v>
      </c>
      <c r="D2620" s="221" t="s">
        <v>573</v>
      </c>
      <c r="E2620" s="221" t="s">
        <v>27</v>
      </c>
      <c r="F2620" s="223">
        <v>0</v>
      </c>
      <c r="G2620" s="221" t="s">
        <v>48</v>
      </c>
      <c r="H2620" s="221" t="s">
        <v>48</v>
      </c>
      <c r="I2620" s="222"/>
    </row>
    <row r="2621" ht="17.25" customHeight="1" spans="1:9" x14ac:dyDescent="0.25">
      <c r="A2621" s="220">
        <v>2753</v>
      </c>
      <c r="B2621" s="221" t="s">
        <v>5678</v>
      </c>
      <c r="C2621" s="222" t="s">
        <v>5679</v>
      </c>
      <c r="D2621" s="221" t="s">
        <v>4556</v>
      </c>
      <c r="E2621" s="221" t="s">
        <v>30</v>
      </c>
      <c r="F2621" s="223">
        <v>0</v>
      </c>
      <c r="G2621" s="221" t="s">
        <v>71</v>
      </c>
      <c r="H2621" s="221" t="s">
        <v>71</v>
      </c>
      <c r="I2621" s="222" t="s">
        <v>5673</v>
      </c>
    </row>
    <row r="2622" ht="17.25" customHeight="1" spans="1:9" x14ac:dyDescent="0.25">
      <c r="A2622" s="220">
        <v>2754</v>
      </c>
      <c r="B2622" s="221" t="s">
        <v>5680</v>
      </c>
      <c r="C2622" s="222" t="s">
        <v>5681</v>
      </c>
      <c r="D2622" s="221" t="s">
        <v>4556</v>
      </c>
      <c r="E2622" s="221" t="s">
        <v>30</v>
      </c>
      <c r="F2622" s="223">
        <v>0</v>
      </c>
      <c r="G2622" s="221" t="s">
        <v>71</v>
      </c>
      <c r="H2622" s="221" t="s">
        <v>71</v>
      </c>
      <c r="I2622" s="222"/>
    </row>
    <row r="2623" ht="17.25" customHeight="1" spans="1:9" x14ac:dyDescent="0.25">
      <c r="A2623" s="220">
        <v>2755</v>
      </c>
      <c r="B2623" s="221" t="s">
        <v>5682</v>
      </c>
      <c r="C2623" s="222" t="s">
        <v>5683</v>
      </c>
      <c r="D2623" s="221" t="s">
        <v>4556</v>
      </c>
      <c r="E2623" s="221" t="s">
        <v>30</v>
      </c>
      <c r="F2623" s="223">
        <v>0</v>
      </c>
      <c r="G2623" s="221" t="s">
        <v>71</v>
      </c>
      <c r="H2623" s="221" t="s">
        <v>71</v>
      </c>
      <c r="I2623" s="222"/>
    </row>
    <row r="2624" ht="17.25" customHeight="1" spans="1:9" x14ac:dyDescent="0.25">
      <c r="A2624" s="220">
        <v>2756</v>
      </c>
      <c r="B2624" s="221" t="s">
        <v>5684</v>
      </c>
      <c r="C2624" s="222" t="s">
        <v>5685</v>
      </c>
      <c r="D2624" s="221" t="s">
        <v>205</v>
      </c>
      <c r="E2624" s="221" t="s">
        <v>30</v>
      </c>
      <c r="F2624" s="223">
        <v>0</v>
      </c>
      <c r="G2624" s="221" t="s">
        <v>71</v>
      </c>
      <c r="H2624" s="221" t="s">
        <v>71</v>
      </c>
      <c r="I2624" s="222" t="s">
        <v>5686</v>
      </c>
    </row>
    <row r="2625" ht="17.25" customHeight="1" spans="1:9" x14ac:dyDescent="0.25">
      <c r="A2625" s="220">
        <v>2757</v>
      </c>
      <c r="B2625" s="221" t="s">
        <v>5687</v>
      </c>
      <c r="C2625" s="222" t="s">
        <v>5688</v>
      </c>
      <c r="D2625" s="221" t="s">
        <v>205</v>
      </c>
      <c r="E2625" s="221" t="s">
        <v>30</v>
      </c>
      <c r="F2625" s="223">
        <v>0</v>
      </c>
      <c r="G2625" s="221" t="s">
        <v>71</v>
      </c>
      <c r="H2625" s="221" t="s">
        <v>71</v>
      </c>
      <c r="I2625" s="222"/>
    </row>
    <row r="2626" ht="17.25" customHeight="1" spans="1:9" x14ac:dyDescent="0.25">
      <c r="A2626" s="220">
        <v>2758</v>
      </c>
      <c r="B2626" s="221" t="s">
        <v>5689</v>
      </c>
      <c r="C2626" s="222" t="s">
        <v>5690</v>
      </c>
      <c r="D2626" s="221" t="s">
        <v>205</v>
      </c>
      <c r="E2626" s="221" t="s">
        <v>30</v>
      </c>
      <c r="F2626" s="223">
        <v>0</v>
      </c>
      <c r="G2626" s="221" t="s">
        <v>71</v>
      </c>
      <c r="H2626" s="221" t="s">
        <v>71</v>
      </c>
      <c r="I2626" s="222"/>
    </row>
    <row r="2627" spans="1:9" x14ac:dyDescent="0.25">
      <c r="A2627" s="220">
        <v>2759</v>
      </c>
      <c r="B2627" s="221" t="s">
        <v>5691</v>
      </c>
      <c r="C2627" s="222" t="s">
        <v>5692</v>
      </c>
      <c r="D2627" s="221" t="s">
        <v>205</v>
      </c>
      <c r="E2627" s="221" t="s">
        <v>30</v>
      </c>
      <c r="F2627" s="223">
        <v>0</v>
      </c>
      <c r="G2627" s="221" t="s">
        <v>71</v>
      </c>
      <c r="H2627" s="221" t="s">
        <v>71</v>
      </c>
      <c r="I2627" s="222"/>
    </row>
    <row r="2628" spans="1:9" x14ac:dyDescent="0.25">
      <c r="A2628" s="220">
        <v>2760</v>
      </c>
      <c r="B2628" s="221" t="s">
        <v>5693</v>
      </c>
      <c r="C2628" s="222" t="s">
        <v>5694</v>
      </c>
      <c r="D2628" s="221" t="s">
        <v>205</v>
      </c>
      <c r="E2628" s="221" t="s">
        <v>30</v>
      </c>
      <c r="F2628" s="223">
        <v>0</v>
      </c>
      <c r="G2628" s="221" t="s">
        <v>71</v>
      </c>
      <c r="H2628" s="221" t="s">
        <v>71</v>
      </c>
      <c r="I2628" s="222"/>
    </row>
    <row r="2629" spans="1:9" x14ac:dyDescent="0.25">
      <c r="A2629" s="220">
        <v>2761</v>
      </c>
      <c r="B2629" s="221" t="s">
        <v>5695</v>
      </c>
      <c r="C2629" s="222" t="s">
        <v>5696</v>
      </c>
      <c r="D2629" s="221" t="s">
        <v>205</v>
      </c>
      <c r="E2629" s="221" t="s">
        <v>30</v>
      </c>
      <c r="F2629" s="223">
        <v>0</v>
      </c>
      <c r="G2629" s="221" t="s">
        <v>71</v>
      </c>
      <c r="H2629" s="221" t="s">
        <v>71</v>
      </c>
      <c r="I2629" s="222"/>
    </row>
    <row r="2630" spans="1:9" x14ac:dyDescent="0.25">
      <c r="A2630" s="220">
        <v>2762</v>
      </c>
      <c r="B2630" s="221" t="s">
        <v>5697</v>
      </c>
      <c r="C2630" s="222" t="s">
        <v>5698</v>
      </c>
      <c r="D2630" s="221" t="s">
        <v>205</v>
      </c>
      <c r="E2630" s="221" t="s">
        <v>30</v>
      </c>
      <c r="F2630" s="223">
        <v>0</v>
      </c>
      <c r="G2630" s="221" t="s">
        <v>71</v>
      </c>
      <c r="H2630" s="221" t="s">
        <v>71</v>
      </c>
      <c r="I2630" s="222"/>
    </row>
    <row r="2631" spans="1:9" x14ac:dyDescent="0.25">
      <c r="A2631" s="220">
        <v>2763</v>
      </c>
      <c r="B2631" s="221" t="s">
        <v>5699</v>
      </c>
      <c r="C2631" s="222" t="s">
        <v>5700</v>
      </c>
      <c r="D2631" s="221" t="s">
        <v>205</v>
      </c>
      <c r="E2631" s="221" t="s">
        <v>30</v>
      </c>
      <c r="F2631" s="223">
        <v>0</v>
      </c>
      <c r="G2631" s="221" t="s">
        <v>71</v>
      </c>
      <c r="H2631" s="221" t="s">
        <v>71</v>
      </c>
      <c r="I2631" s="222"/>
    </row>
    <row r="2632" spans="1:9" x14ac:dyDescent="0.25">
      <c r="A2632" s="220">
        <v>2764</v>
      </c>
      <c r="B2632" s="221" t="s">
        <v>5701</v>
      </c>
      <c r="C2632" s="222" t="s">
        <v>5702</v>
      </c>
      <c r="D2632" s="221" t="s">
        <v>205</v>
      </c>
      <c r="E2632" s="221" t="s">
        <v>30</v>
      </c>
      <c r="F2632" s="223">
        <v>0</v>
      </c>
      <c r="G2632" s="221" t="s">
        <v>71</v>
      </c>
      <c r="H2632" s="221" t="s">
        <v>71</v>
      </c>
      <c r="I2632" s="222"/>
    </row>
    <row r="2633" spans="1:9" x14ac:dyDescent="0.25">
      <c r="A2633" s="220">
        <v>2765</v>
      </c>
      <c r="B2633" s="221" t="s">
        <v>5703</v>
      </c>
      <c r="C2633" s="222" t="s">
        <v>5704</v>
      </c>
      <c r="D2633" s="221" t="s">
        <v>205</v>
      </c>
      <c r="E2633" s="221" t="s">
        <v>30</v>
      </c>
      <c r="F2633" s="223">
        <v>0</v>
      </c>
      <c r="G2633" s="221" t="s">
        <v>71</v>
      </c>
      <c r="H2633" s="221" t="s">
        <v>71</v>
      </c>
      <c r="I2633" s="222"/>
    </row>
    <row r="2634" spans="1:9" x14ac:dyDescent="0.25">
      <c r="A2634" s="220">
        <v>2766</v>
      </c>
      <c r="B2634" s="221" t="s">
        <v>5705</v>
      </c>
      <c r="C2634" s="222" t="s">
        <v>5706</v>
      </c>
      <c r="D2634" s="221" t="s">
        <v>205</v>
      </c>
      <c r="E2634" s="221" t="s">
        <v>30</v>
      </c>
      <c r="F2634" s="223">
        <v>0</v>
      </c>
      <c r="G2634" s="221" t="s">
        <v>71</v>
      </c>
      <c r="H2634" s="221" t="s">
        <v>71</v>
      </c>
      <c r="I2634" s="222"/>
    </row>
    <row r="2635" spans="1:9" x14ac:dyDescent="0.25">
      <c r="A2635" s="220">
        <v>2767</v>
      </c>
      <c r="B2635" s="221" t="s">
        <v>5707</v>
      </c>
      <c r="C2635" s="222" t="s">
        <v>5708</v>
      </c>
      <c r="D2635" s="221" t="s">
        <v>205</v>
      </c>
      <c r="E2635" s="221" t="s">
        <v>30</v>
      </c>
      <c r="F2635" s="223">
        <v>0</v>
      </c>
      <c r="G2635" s="221" t="s">
        <v>71</v>
      </c>
      <c r="H2635" s="221" t="s">
        <v>71</v>
      </c>
      <c r="I2635" s="222"/>
    </row>
    <row r="2636" spans="1:9" x14ac:dyDescent="0.25">
      <c r="A2636" s="220">
        <v>2768</v>
      </c>
      <c r="B2636" s="221" t="s">
        <v>5709</v>
      </c>
      <c r="C2636" s="222" t="s">
        <v>5710</v>
      </c>
      <c r="D2636" s="221" t="s">
        <v>205</v>
      </c>
      <c r="E2636" s="221" t="s">
        <v>30</v>
      </c>
      <c r="F2636" s="223">
        <v>0</v>
      </c>
      <c r="G2636" s="221" t="s">
        <v>71</v>
      </c>
      <c r="H2636" s="221" t="s">
        <v>71</v>
      </c>
      <c r="I2636" s="222"/>
    </row>
    <row r="2637" spans="1:9" x14ac:dyDescent="0.25">
      <c r="A2637" s="220">
        <v>2769</v>
      </c>
      <c r="B2637" s="221" t="s">
        <v>5711</v>
      </c>
      <c r="C2637" s="222" t="s">
        <v>5712</v>
      </c>
      <c r="D2637" s="221" t="s">
        <v>205</v>
      </c>
      <c r="E2637" s="221" t="s">
        <v>30</v>
      </c>
      <c r="F2637" s="223">
        <v>0</v>
      </c>
      <c r="G2637" s="221" t="s">
        <v>71</v>
      </c>
      <c r="H2637" s="221" t="s">
        <v>71</v>
      </c>
      <c r="I2637" s="222"/>
    </row>
    <row r="2638" spans="1:9" x14ac:dyDescent="0.25">
      <c r="A2638" s="220">
        <v>2770</v>
      </c>
      <c r="B2638" s="221" t="s">
        <v>5713</v>
      </c>
      <c r="C2638" s="222" t="s">
        <v>5714</v>
      </c>
      <c r="D2638" s="221" t="s">
        <v>205</v>
      </c>
      <c r="E2638" s="221" t="s">
        <v>30</v>
      </c>
      <c r="F2638" s="223">
        <v>0</v>
      </c>
      <c r="G2638" s="221" t="s">
        <v>71</v>
      </c>
      <c r="H2638" s="221" t="s">
        <v>71</v>
      </c>
      <c r="I2638" s="222"/>
    </row>
    <row r="2639" spans="1:9" x14ac:dyDescent="0.25">
      <c r="A2639" s="220">
        <v>2772</v>
      </c>
      <c r="B2639" s="221" t="s">
        <v>5715</v>
      </c>
      <c r="C2639" s="222" t="s">
        <v>5716</v>
      </c>
      <c r="D2639" s="221" t="s">
        <v>4556</v>
      </c>
      <c r="E2639" s="221" t="s">
        <v>30</v>
      </c>
      <c r="F2639" s="223">
        <v>0</v>
      </c>
      <c r="G2639" s="221" t="s">
        <v>71</v>
      </c>
      <c r="H2639" s="221" t="s">
        <v>71</v>
      </c>
      <c r="I2639" s="222"/>
    </row>
    <row r="2640" spans="1:9" x14ac:dyDescent="0.25">
      <c r="A2640" s="220">
        <v>2773</v>
      </c>
      <c r="B2640" s="221" t="s">
        <v>5717</v>
      </c>
      <c r="C2640" s="222" t="s">
        <v>5718</v>
      </c>
      <c r="D2640" s="221" t="s">
        <v>4556</v>
      </c>
      <c r="E2640" s="221" t="s">
        <v>30</v>
      </c>
      <c r="F2640" s="223">
        <v>0</v>
      </c>
      <c r="G2640" s="221" t="s">
        <v>71</v>
      </c>
      <c r="H2640" s="221" t="s">
        <v>71</v>
      </c>
      <c r="I2640" s="222"/>
    </row>
    <row r="2641" spans="1:9" x14ac:dyDescent="0.25">
      <c r="A2641" s="220">
        <v>2774</v>
      </c>
      <c r="B2641" s="221" t="s">
        <v>5719</v>
      </c>
      <c r="C2641" s="222" t="s">
        <v>5720</v>
      </c>
      <c r="D2641" s="221" t="s">
        <v>4556</v>
      </c>
      <c r="E2641" s="221" t="s">
        <v>30</v>
      </c>
      <c r="F2641" s="223">
        <v>0</v>
      </c>
      <c r="G2641" s="221" t="s">
        <v>71</v>
      </c>
      <c r="H2641" s="221" t="s">
        <v>71</v>
      </c>
      <c r="I2641" s="222"/>
    </row>
    <row r="2642" spans="1:9" x14ac:dyDescent="0.25">
      <c r="A2642" s="220">
        <v>2775</v>
      </c>
      <c r="B2642" s="221" t="s">
        <v>5721</v>
      </c>
      <c r="C2642" s="222" t="s">
        <v>5722</v>
      </c>
      <c r="D2642" s="221" t="s">
        <v>4556</v>
      </c>
      <c r="E2642" s="221" t="s">
        <v>30</v>
      </c>
      <c r="F2642" s="223">
        <v>0</v>
      </c>
      <c r="G2642" s="221" t="s">
        <v>71</v>
      </c>
      <c r="H2642" s="221" t="s">
        <v>71</v>
      </c>
      <c r="I2642" s="222"/>
    </row>
    <row r="2643" spans="1:9" x14ac:dyDescent="0.25">
      <c r="A2643" s="220">
        <v>2776</v>
      </c>
      <c r="B2643" s="221" t="s">
        <v>5723</v>
      </c>
      <c r="C2643" s="222" t="s">
        <v>5724</v>
      </c>
      <c r="D2643" s="221" t="s">
        <v>4556</v>
      </c>
      <c r="E2643" s="221" t="s">
        <v>30</v>
      </c>
      <c r="F2643" s="223">
        <v>0</v>
      </c>
      <c r="G2643" s="221" t="s">
        <v>71</v>
      </c>
      <c r="H2643" s="221" t="s">
        <v>71</v>
      </c>
      <c r="I2643" s="222"/>
    </row>
    <row r="2644" spans="1:9" x14ac:dyDescent="0.25">
      <c r="A2644" s="220">
        <v>2777</v>
      </c>
      <c r="B2644" s="221" t="s">
        <v>5725</v>
      </c>
      <c r="C2644" s="222" t="s">
        <v>5726</v>
      </c>
      <c r="D2644" s="221" t="s">
        <v>4556</v>
      </c>
      <c r="E2644" s="221" t="s">
        <v>30</v>
      </c>
      <c r="F2644" s="223">
        <v>0</v>
      </c>
      <c r="G2644" s="221" t="s">
        <v>71</v>
      </c>
      <c r="H2644" s="221" t="s">
        <v>71</v>
      </c>
      <c r="I2644" s="222"/>
    </row>
    <row r="2645" spans="1:9" x14ac:dyDescent="0.25">
      <c r="A2645" s="220">
        <v>2778</v>
      </c>
      <c r="B2645" s="221" t="s">
        <v>5727</v>
      </c>
      <c r="C2645" s="222" t="s">
        <v>5728</v>
      </c>
      <c r="D2645" s="221" t="s">
        <v>3802</v>
      </c>
      <c r="E2645" s="221" t="s">
        <v>36</v>
      </c>
      <c r="F2645" s="223">
        <v>0</v>
      </c>
      <c r="G2645" s="221" t="s">
        <v>71</v>
      </c>
      <c r="H2645" s="221" t="s">
        <v>71</v>
      </c>
      <c r="I2645" s="222"/>
    </row>
    <row r="2646" spans="1:9" x14ac:dyDescent="0.25">
      <c r="A2646" s="220">
        <v>2779</v>
      </c>
      <c r="B2646" s="221" t="s">
        <v>5729</v>
      </c>
      <c r="C2646" s="222" t="s">
        <v>5730</v>
      </c>
      <c r="D2646" s="221" t="s">
        <v>573</v>
      </c>
      <c r="E2646" s="221" t="s">
        <v>27</v>
      </c>
      <c r="F2646" s="223">
        <v>0</v>
      </c>
      <c r="G2646" s="221" t="s">
        <v>48</v>
      </c>
      <c r="H2646" s="221" t="s">
        <v>48</v>
      </c>
      <c r="I2646" s="222"/>
    </row>
    <row r="2647" spans="1:9" x14ac:dyDescent="0.25">
      <c r="A2647" s="220">
        <v>2780</v>
      </c>
      <c r="B2647" s="221" t="s">
        <v>5731</v>
      </c>
      <c r="C2647" s="222" t="s">
        <v>5732</v>
      </c>
      <c r="D2647" s="221" t="s">
        <v>3802</v>
      </c>
      <c r="E2647" s="221" t="s">
        <v>36</v>
      </c>
      <c r="F2647" s="223">
        <v>0</v>
      </c>
      <c r="G2647" s="221" t="s">
        <v>71</v>
      </c>
      <c r="H2647" s="221" t="s">
        <v>71</v>
      </c>
      <c r="I2647" s="222"/>
    </row>
    <row r="2648" spans="1:9" x14ac:dyDescent="0.25">
      <c r="A2648" s="220">
        <v>2781</v>
      </c>
      <c r="B2648" s="221" t="s">
        <v>5733</v>
      </c>
      <c r="C2648" s="222" t="s">
        <v>5734</v>
      </c>
      <c r="D2648" s="221" t="s">
        <v>70</v>
      </c>
      <c r="E2648" s="221" t="s">
        <v>395</v>
      </c>
      <c r="F2648" s="223">
        <v>0</v>
      </c>
      <c r="G2648" s="221" t="s">
        <v>46</v>
      </c>
      <c r="H2648" s="221" t="s">
        <v>71</v>
      </c>
      <c r="I2648" s="222"/>
    </row>
    <row r="2649" spans="1:9" x14ac:dyDescent="0.25">
      <c r="A2649" s="220">
        <v>2782</v>
      </c>
      <c r="B2649" s="221" t="s">
        <v>5735</v>
      </c>
      <c r="C2649" s="222" t="s">
        <v>5736</v>
      </c>
      <c r="D2649" s="221" t="s">
        <v>70</v>
      </c>
      <c r="E2649" s="221" t="s">
        <v>395</v>
      </c>
      <c r="F2649" s="223">
        <v>0</v>
      </c>
      <c r="G2649" s="221" t="s">
        <v>46</v>
      </c>
      <c r="H2649" s="221" t="s">
        <v>71</v>
      </c>
      <c r="I2649" s="222"/>
    </row>
    <row r="2650" spans="1:9" x14ac:dyDescent="0.25">
      <c r="A2650" s="220">
        <v>2783</v>
      </c>
      <c r="B2650" s="221" t="s">
        <v>5737</v>
      </c>
      <c r="C2650" s="222" t="s">
        <v>5738</v>
      </c>
      <c r="D2650" s="221" t="s">
        <v>3802</v>
      </c>
      <c r="E2650" s="221" t="s">
        <v>36</v>
      </c>
      <c r="F2650" s="223">
        <v>0</v>
      </c>
      <c r="G2650" s="221" t="s">
        <v>71</v>
      </c>
      <c r="H2650" s="221" t="s">
        <v>71</v>
      </c>
      <c r="I2650" s="222"/>
    </row>
    <row r="2651" spans="1:9" x14ac:dyDescent="0.25">
      <c r="A2651" s="220">
        <v>2784</v>
      </c>
      <c r="B2651" s="221" t="s">
        <v>5739</v>
      </c>
      <c r="C2651" s="222" t="s">
        <v>5740</v>
      </c>
      <c r="D2651" s="221" t="s">
        <v>3802</v>
      </c>
      <c r="E2651" s="221" t="s">
        <v>36</v>
      </c>
      <c r="F2651" s="223">
        <v>0</v>
      </c>
      <c r="G2651" s="221" t="s">
        <v>71</v>
      </c>
      <c r="H2651" s="221" t="s">
        <v>71</v>
      </c>
      <c r="I2651" s="222"/>
    </row>
    <row r="2652" spans="1:9" x14ac:dyDescent="0.25">
      <c r="A2652" s="220">
        <v>2785</v>
      </c>
      <c r="B2652" s="221" t="s">
        <v>5741</v>
      </c>
      <c r="C2652" s="222" t="s">
        <v>5742</v>
      </c>
      <c r="D2652" s="221" t="s">
        <v>3802</v>
      </c>
      <c r="E2652" s="221" t="s">
        <v>36</v>
      </c>
      <c r="F2652" s="223">
        <v>0</v>
      </c>
      <c r="G2652" s="221" t="s">
        <v>71</v>
      </c>
      <c r="H2652" s="221" t="s">
        <v>71</v>
      </c>
      <c r="I2652" s="222"/>
    </row>
    <row r="2653" spans="1:9" x14ac:dyDescent="0.25">
      <c r="A2653" s="220">
        <v>2786</v>
      </c>
      <c r="B2653" s="221" t="s">
        <v>5743</v>
      </c>
      <c r="C2653" s="222" t="s">
        <v>5744</v>
      </c>
      <c r="D2653" s="221" t="s">
        <v>3802</v>
      </c>
      <c r="E2653" s="221" t="s">
        <v>36</v>
      </c>
      <c r="F2653" s="223">
        <v>0</v>
      </c>
      <c r="G2653" s="221" t="s">
        <v>71</v>
      </c>
      <c r="H2653" s="221" t="s">
        <v>71</v>
      </c>
      <c r="I2653" s="222"/>
    </row>
    <row r="2654" spans="1:9" x14ac:dyDescent="0.25">
      <c r="A2654" s="220">
        <v>2787</v>
      </c>
      <c r="B2654" s="221" t="s">
        <v>5745</v>
      </c>
      <c r="C2654" s="222" t="s">
        <v>5746</v>
      </c>
      <c r="D2654" s="221" t="s">
        <v>3802</v>
      </c>
      <c r="E2654" s="221" t="s">
        <v>36</v>
      </c>
      <c r="F2654" s="223">
        <v>0</v>
      </c>
      <c r="G2654" s="221" t="s">
        <v>71</v>
      </c>
      <c r="H2654" s="221" t="s">
        <v>71</v>
      </c>
      <c r="I2654" s="222"/>
    </row>
    <row r="2655" spans="1:9" x14ac:dyDescent="0.25">
      <c r="A2655" s="220">
        <v>2788</v>
      </c>
      <c r="B2655" s="221" t="s">
        <v>5747</v>
      </c>
      <c r="C2655" s="222" t="s">
        <v>5748</v>
      </c>
      <c r="D2655" s="221" t="s">
        <v>3802</v>
      </c>
      <c r="E2655" s="221" t="s">
        <v>36</v>
      </c>
      <c r="F2655" s="223">
        <v>0</v>
      </c>
      <c r="G2655" s="221" t="s">
        <v>71</v>
      </c>
      <c r="H2655" s="221" t="s">
        <v>71</v>
      </c>
      <c r="I2655" s="222"/>
    </row>
    <row r="2656" spans="1:9" x14ac:dyDescent="0.25">
      <c r="A2656" s="220">
        <v>2789</v>
      </c>
      <c r="B2656" s="221" t="s">
        <v>5749</v>
      </c>
      <c r="C2656" s="222" t="s">
        <v>5750</v>
      </c>
      <c r="D2656" s="221" t="s">
        <v>3802</v>
      </c>
      <c r="E2656" s="221" t="s">
        <v>36</v>
      </c>
      <c r="F2656" s="223">
        <v>0</v>
      </c>
      <c r="G2656" s="221" t="s">
        <v>71</v>
      </c>
      <c r="H2656" s="221" t="s">
        <v>71</v>
      </c>
      <c r="I2656" s="222"/>
    </row>
    <row r="2657" spans="1:9" x14ac:dyDescent="0.25">
      <c r="A2657" s="220">
        <v>2790</v>
      </c>
      <c r="B2657" s="221" t="s">
        <v>5751</v>
      </c>
      <c r="C2657" s="222" t="s">
        <v>5752</v>
      </c>
      <c r="D2657" s="221" t="s">
        <v>3802</v>
      </c>
      <c r="E2657" s="221" t="s">
        <v>36</v>
      </c>
      <c r="F2657" s="223">
        <v>0</v>
      </c>
      <c r="G2657" s="221" t="s">
        <v>71</v>
      </c>
      <c r="H2657" s="221" t="s">
        <v>71</v>
      </c>
      <c r="I2657" s="222"/>
    </row>
    <row r="2658" spans="1:9" x14ac:dyDescent="0.25">
      <c r="A2658" s="220">
        <v>2791</v>
      </c>
      <c r="B2658" s="221" t="s">
        <v>5753</v>
      </c>
      <c r="C2658" s="222" t="s">
        <v>5754</v>
      </c>
      <c r="D2658" s="221" t="s">
        <v>3802</v>
      </c>
      <c r="E2658" s="221" t="s">
        <v>36</v>
      </c>
      <c r="F2658" s="223">
        <v>0</v>
      </c>
      <c r="G2658" s="221" t="s">
        <v>71</v>
      </c>
      <c r="H2658" s="221" t="s">
        <v>71</v>
      </c>
      <c r="I2658" s="222"/>
    </row>
    <row r="2659" spans="1:9" x14ac:dyDescent="0.25">
      <c r="A2659" s="220">
        <v>2792</v>
      </c>
      <c r="B2659" s="221" t="s">
        <v>5755</v>
      </c>
      <c r="C2659" s="222" t="s">
        <v>5756</v>
      </c>
      <c r="D2659" s="221" t="s">
        <v>3802</v>
      </c>
      <c r="E2659" s="221" t="s">
        <v>36</v>
      </c>
      <c r="F2659" s="223">
        <v>0</v>
      </c>
      <c r="G2659" s="221" t="s">
        <v>71</v>
      </c>
      <c r="H2659" s="221" t="s">
        <v>71</v>
      </c>
      <c r="I2659" s="222"/>
    </row>
    <row r="2660" spans="1:9" x14ac:dyDescent="0.25">
      <c r="A2660" s="220">
        <v>2793</v>
      </c>
      <c r="B2660" s="221" t="s">
        <v>5757</v>
      </c>
      <c r="C2660" s="222" t="s">
        <v>5758</v>
      </c>
      <c r="D2660" s="221" t="s">
        <v>3802</v>
      </c>
      <c r="E2660" s="221" t="s">
        <v>36</v>
      </c>
      <c r="F2660" s="223">
        <v>0</v>
      </c>
      <c r="G2660" s="221" t="s">
        <v>71</v>
      </c>
      <c r="H2660" s="221" t="s">
        <v>71</v>
      </c>
      <c r="I2660" s="222"/>
    </row>
    <row r="2661" spans="1:9" x14ac:dyDescent="0.25">
      <c r="A2661" s="220">
        <v>2794</v>
      </c>
      <c r="B2661" s="221" t="s">
        <v>5759</v>
      </c>
      <c r="C2661" s="222" t="s">
        <v>5760</v>
      </c>
      <c r="D2661" s="221" t="s">
        <v>3802</v>
      </c>
      <c r="E2661" s="221" t="s">
        <v>36</v>
      </c>
      <c r="F2661" s="223">
        <v>0</v>
      </c>
      <c r="G2661" s="221" t="s">
        <v>71</v>
      </c>
      <c r="H2661" s="221" t="s">
        <v>71</v>
      </c>
      <c r="I2661" s="222"/>
    </row>
    <row r="2662" spans="1:9" x14ac:dyDescent="0.25">
      <c r="A2662" s="220">
        <v>2795</v>
      </c>
      <c r="B2662" s="221" t="s">
        <v>5761</v>
      </c>
      <c r="C2662" s="222" t="s">
        <v>5762</v>
      </c>
      <c r="D2662" s="221" t="s">
        <v>3802</v>
      </c>
      <c r="E2662" s="221" t="s">
        <v>36</v>
      </c>
      <c r="F2662" s="223">
        <v>0</v>
      </c>
      <c r="G2662" s="221" t="s">
        <v>71</v>
      </c>
      <c r="H2662" s="221" t="s">
        <v>71</v>
      </c>
      <c r="I2662" s="222"/>
    </row>
    <row r="2663" spans="1:9" x14ac:dyDescent="0.25">
      <c r="A2663" s="220">
        <v>2796</v>
      </c>
      <c r="B2663" s="221" t="s">
        <v>5763</v>
      </c>
      <c r="C2663" s="222" t="s">
        <v>5764</v>
      </c>
      <c r="D2663" s="221" t="s">
        <v>3802</v>
      </c>
      <c r="E2663" s="221" t="s">
        <v>36</v>
      </c>
      <c r="F2663" s="223">
        <v>0</v>
      </c>
      <c r="G2663" s="221" t="s">
        <v>71</v>
      </c>
      <c r="H2663" s="221" t="s">
        <v>71</v>
      </c>
      <c r="I2663" s="222"/>
    </row>
    <row r="2664" spans="1:9" x14ac:dyDescent="0.25">
      <c r="A2664" s="220">
        <v>2797</v>
      </c>
      <c r="B2664" s="221" t="s">
        <v>5765</v>
      </c>
      <c r="C2664" s="222" t="s">
        <v>5766</v>
      </c>
      <c r="D2664" s="221" t="s">
        <v>3802</v>
      </c>
      <c r="E2664" s="221" t="s">
        <v>36</v>
      </c>
      <c r="F2664" s="223">
        <v>0</v>
      </c>
      <c r="G2664" s="221" t="s">
        <v>71</v>
      </c>
      <c r="H2664" s="221" t="s">
        <v>71</v>
      </c>
      <c r="I2664" s="222"/>
    </row>
    <row r="2665" spans="1:9" x14ac:dyDescent="0.25">
      <c r="A2665" s="220">
        <v>2798</v>
      </c>
      <c r="B2665" s="221" t="s">
        <v>5767</v>
      </c>
      <c r="C2665" s="222" t="s">
        <v>5768</v>
      </c>
      <c r="D2665" s="221" t="s">
        <v>3802</v>
      </c>
      <c r="E2665" s="221" t="s">
        <v>36</v>
      </c>
      <c r="F2665" s="223">
        <v>0</v>
      </c>
      <c r="G2665" s="221" t="s">
        <v>71</v>
      </c>
      <c r="H2665" s="221" t="s">
        <v>71</v>
      </c>
      <c r="I2665" s="222"/>
    </row>
    <row r="2666" spans="1:9" x14ac:dyDescent="0.25">
      <c r="A2666" s="220">
        <v>2799</v>
      </c>
      <c r="B2666" s="221" t="s">
        <v>5769</v>
      </c>
      <c r="C2666" s="222" t="s">
        <v>5770</v>
      </c>
      <c r="D2666" s="221" t="s">
        <v>3802</v>
      </c>
      <c r="E2666" s="221" t="s">
        <v>36</v>
      </c>
      <c r="F2666" s="223">
        <v>0</v>
      </c>
      <c r="G2666" s="221" t="s">
        <v>71</v>
      </c>
      <c r="H2666" s="221" t="s">
        <v>71</v>
      </c>
      <c r="I2666" s="222"/>
    </row>
    <row r="2667" spans="1:9" x14ac:dyDescent="0.25">
      <c r="A2667" s="220">
        <v>2800</v>
      </c>
      <c r="B2667" s="221" t="s">
        <v>5771</v>
      </c>
      <c r="C2667" s="222" t="s">
        <v>5772</v>
      </c>
      <c r="D2667" s="221" t="s">
        <v>3802</v>
      </c>
      <c r="E2667" s="221" t="s">
        <v>36</v>
      </c>
      <c r="F2667" s="223">
        <v>0</v>
      </c>
      <c r="G2667" s="221" t="s">
        <v>71</v>
      </c>
      <c r="H2667" s="221" t="s">
        <v>71</v>
      </c>
      <c r="I2667" s="222"/>
    </row>
    <row r="2668" spans="1:9" x14ac:dyDescent="0.25">
      <c r="A2668" s="220">
        <v>2801</v>
      </c>
      <c r="B2668" s="221" t="s">
        <v>5773</v>
      </c>
      <c r="C2668" s="222" t="s">
        <v>5774</v>
      </c>
      <c r="D2668" s="221" t="s">
        <v>3802</v>
      </c>
      <c r="E2668" s="221" t="s">
        <v>36</v>
      </c>
      <c r="F2668" s="223">
        <v>0</v>
      </c>
      <c r="G2668" s="221" t="s">
        <v>71</v>
      </c>
      <c r="H2668" s="221" t="s">
        <v>71</v>
      </c>
      <c r="I2668" s="222"/>
    </row>
    <row r="2669" spans="1:9" x14ac:dyDescent="0.25">
      <c r="A2669" s="220">
        <v>2802</v>
      </c>
      <c r="B2669" s="221" t="s">
        <v>5775</v>
      </c>
      <c r="C2669" s="222" t="s">
        <v>5776</v>
      </c>
      <c r="D2669" s="221" t="s">
        <v>3802</v>
      </c>
      <c r="E2669" s="221" t="s">
        <v>36</v>
      </c>
      <c r="F2669" s="223">
        <v>0</v>
      </c>
      <c r="G2669" s="221" t="s">
        <v>71</v>
      </c>
      <c r="H2669" s="221" t="s">
        <v>71</v>
      </c>
      <c r="I2669" s="222"/>
    </row>
    <row r="2670" spans="1:9" x14ac:dyDescent="0.25">
      <c r="A2670" s="220">
        <v>2803</v>
      </c>
      <c r="B2670" s="221" t="s">
        <v>5777</v>
      </c>
      <c r="C2670" s="222" t="s">
        <v>5778</v>
      </c>
      <c r="D2670" s="221" t="s">
        <v>3802</v>
      </c>
      <c r="E2670" s="221" t="s">
        <v>36</v>
      </c>
      <c r="F2670" s="223">
        <v>0</v>
      </c>
      <c r="G2670" s="221" t="s">
        <v>71</v>
      </c>
      <c r="H2670" s="221" t="s">
        <v>71</v>
      </c>
      <c r="I2670" s="222"/>
    </row>
    <row r="2671" spans="1:9" x14ac:dyDescent="0.25">
      <c r="A2671" s="220">
        <v>2804</v>
      </c>
      <c r="B2671" s="221" t="s">
        <v>5779</v>
      </c>
      <c r="C2671" s="222" t="s">
        <v>5780</v>
      </c>
      <c r="D2671" s="221" t="s">
        <v>3802</v>
      </c>
      <c r="E2671" s="221" t="s">
        <v>36</v>
      </c>
      <c r="F2671" s="223">
        <v>0</v>
      </c>
      <c r="G2671" s="221" t="s">
        <v>71</v>
      </c>
      <c r="H2671" s="221" t="s">
        <v>71</v>
      </c>
      <c r="I2671" s="222"/>
    </row>
    <row r="2672" spans="1:9" x14ac:dyDescent="0.25">
      <c r="A2672" s="220">
        <v>2805</v>
      </c>
      <c r="B2672" s="221" t="s">
        <v>5781</v>
      </c>
      <c r="C2672" s="222" t="s">
        <v>5782</v>
      </c>
      <c r="D2672" s="221" t="s">
        <v>3802</v>
      </c>
      <c r="E2672" s="221" t="s">
        <v>36</v>
      </c>
      <c r="F2672" s="223">
        <v>0</v>
      </c>
      <c r="G2672" s="221" t="s">
        <v>71</v>
      </c>
      <c r="H2672" s="221" t="s">
        <v>71</v>
      </c>
      <c r="I2672" s="222"/>
    </row>
    <row r="2673" spans="1:9" x14ac:dyDescent="0.25">
      <c r="A2673" s="220">
        <v>2806</v>
      </c>
      <c r="B2673" s="221" t="s">
        <v>5783</v>
      </c>
      <c r="C2673" s="222" t="s">
        <v>5784</v>
      </c>
      <c r="D2673" s="221" t="s">
        <v>3802</v>
      </c>
      <c r="E2673" s="221" t="s">
        <v>36</v>
      </c>
      <c r="F2673" s="223">
        <v>0</v>
      </c>
      <c r="G2673" s="221" t="s">
        <v>71</v>
      </c>
      <c r="H2673" s="221" t="s">
        <v>71</v>
      </c>
      <c r="I2673" s="222"/>
    </row>
    <row r="2674" spans="1:9" x14ac:dyDescent="0.25">
      <c r="A2674" s="220">
        <v>2807</v>
      </c>
      <c r="B2674" s="221" t="s">
        <v>5785</v>
      </c>
      <c r="C2674" s="222" t="s">
        <v>5786</v>
      </c>
      <c r="D2674" s="221" t="s">
        <v>3802</v>
      </c>
      <c r="E2674" s="221" t="s">
        <v>36</v>
      </c>
      <c r="F2674" s="223">
        <v>0</v>
      </c>
      <c r="G2674" s="221" t="s">
        <v>71</v>
      </c>
      <c r="H2674" s="221" t="s">
        <v>71</v>
      </c>
      <c r="I2674" s="222"/>
    </row>
    <row r="2675" spans="1:9" x14ac:dyDescent="0.25">
      <c r="A2675" s="220">
        <v>2808</v>
      </c>
      <c r="B2675" s="221" t="s">
        <v>5787</v>
      </c>
      <c r="C2675" s="222" t="s">
        <v>5788</v>
      </c>
      <c r="D2675" s="221" t="s">
        <v>3802</v>
      </c>
      <c r="E2675" s="221" t="s">
        <v>36</v>
      </c>
      <c r="F2675" s="223">
        <v>0</v>
      </c>
      <c r="G2675" s="221" t="s">
        <v>71</v>
      </c>
      <c r="H2675" s="221" t="s">
        <v>71</v>
      </c>
      <c r="I2675" s="222"/>
    </row>
    <row r="2676" spans="1:9" x14ac:dyDescent="0.25">
      <c r="A2676" s="220">
        <v>2809</v>
      </c>
      <c r="B2676" s="221" t="s">
        <v>5789</v>
      </c>
      <c r="C2676" s="222" t="s">
        <v>5790</v>
      </c>
      <c r="D2676" s="221" t="s">
        <v>3802</v>
      </c>
      <c r="E2676" s="221" t="s">
        <v>36</v>
      </c>
      <c r="F2676" s="223">
        <v>0</v>
      </c>
      <c r="G2676" s="221" t="s">
        <v>71</v>
      </c>
      <c r="H2676" s="221" t="s">
        <v>71</v>
      </c>
      <c r="I2676" s="222"/>
    </row>
    <row r="2677" spans="1:9" x14ac:dyDescent="0.25">
      <c r="A2677" s="220">
        <v>2810</v>
      </c>
      <c r="B2677" s="221" t="s">
        <v>5791</v>
      </c>
      <c r="C2677" s="222" t="s">
        <v>5792</v>
      </c>
      <c r="D2677" s="221" t="s">
        <v>3802</v>
      </c>
      <c r="E2677" s="221" t="s">
        <v>36</v>
      </c>
      <c r="F2677" s="223">
        <v>0</v>
      </c>
      <c r="G2677" s="221" t="s">
        <v>71</v>
      </c>
      <c r="H2677" s="221" t="s">
        <v>71</v>
      </c>
      <c r="I2677" s="222"/>
    </row>
    <row r="2678" spans="1:9" x14ac:dyDescent="0.25">
      <c r="A2678" s="220">
        <v>2811</v>
      </c>
      <c r="B2678" s="221" t="s">
        <v>5793</v>
      </c>
      <c r="C2678" s="222" t="s">
        <v>5794</v>
      </c>
      <c r="D2678" s="221" t="s">
        <v>3802</v>
      </c>
      <c r="E2678" s="221" t="s">
        <v>36</v>
      </c>
      <c r="F2678" s="223">
        <v>0</v>
      </c>
      <c r="G2678" s="221" t="s">
        <v>71</v>
      </c>
      <c r="H2678" s="221" t="s">
        <v>71</v>
      </c>
      <c r="I2678" s="222"/>
    </row>
    <row r="2679" spans="1:9" x14ac:dyDescent="0.25">
      <c r="A2679" s="220">
        <v>2812</v>
      </c>
      <c r="B2679" s="221" t="s">
        <v>5795</v>
      </c>
      <c r="C2679" s="222" t="s">
        <v>5796</v>
      </c>
      <c r="D2679" s="221" t="s">
        <v>3802</v>
      </c>
      <c r="E2679" s="221" t="s">
        <v>36</v>
      </c>
      <c r="F2679" s="223">
        <v>0</v>
      </c>
      <c r="G2679" s="221" t="s">
        <v>71</v>
      </c>
      <c r="H2679" s="221" t="s">
        <v>71</v>
      </c>
      <c r="I2679" s="222"/>
    </row>
    <row r="2680" spans="1:9" x14ac:dyDescent="0.25">
      <c r="A2680" s="220">
        <v>2813</v>
      </c>
      <c r="B2680" s="221" t="s">
        <v>5797</v>
      </c>
      <c r="C2680" s="222" t="s">
        <v>5798</v>
      </c>
      <c r="D2680" s="221" t="s">
        <v>3802</v>
      </c>
      <c r="E2680" s="221" t="s">
        <v>36</v>
      </c>
      <c r="F2680" s="223">
        <v>0</v>
      </c>
      <c r="G2680" s="221" t="s">
        <v>71</v>
      </c>
      <c r="H2680" s="221" t="s">
        <v>71</v>
      </c>
      <c r="I2680" s="222"/>
    </row>
    <row r="2681" spans="1:9" x14ac:dyDescent="0.25">
      <c r="A2681" s="220">
        <v>2814</v>
      </c>
      <c r="B2681" s="221" t="s">
        <v>5799</v>
      </c>
      <c r="C2681" s="222" t="s">
        <v>5800</v>
      </c>
      <c r="D2681" s="221" t="s">
        <v>3802</v>
      </c>
      <c r="E2681" s="221" t="s">
        <v>36</v>
      </c>
      <c r="F2681" s="223">
        <v>0</v>
      </c>
      <c r="G2681" s="221" t="s">
        <v>71</v>
      </c>
      <c r="H2681" s="221" t="s">
        <v>71</v>
      </c>
      <c r="I2681" s="222"/>
    </row>
    <row r="2682" spans="1:9" x14ac:dyDescent="0.25">
      <c r="A2682" s="220">
        <v>2815</v>
      </c>
      <c r="B2682" s="221" t="s">
        <v>5801</v>
      </c>
      <c r="C2682" s="222" t="s">
        <v>5802</v>
      </c>
      <c r="D2682" s="221" t="s">
        <v>3802</v>
      </c>
      <c r="E2682" s="221" t="s">
        <v>36</v>
      </c>
      <c r="F2682" s="223">
        <v>0</v>
      </c>
      <c r="G2682" s="221" t="s">
        <v>71</v>
      </c>
      <c r="H2682" s="221" t="s">
        <v>71</v>
      </c>
      <c r="I2682" s="222"/>
    </row>
    <row r="2683" spans="1:9" x14ac:dyDescent="0.25">
      <c r="A2683" s="220">
        <v>2817</v>
      </c>
      <c r="B2683" s="221" t="s">
        <v>5803</v>
      </c>
      <c r="C2683" s="222" t="s">
        <v>5804</v>
      </c>
      <c r="D2683" s="221" t="s">
        <v>3802</v>
      </c>
      <c r="E2683" s="221" t="s">
        <v>36</v>
      </c>
      <c r="F2683" s="223">
        <v>0</v>
      </c>
      <c r="G2683" s="221" t="s">
        <v>71</v>
      </c>
      <c r="H2683" s="221" t="s">
        <v>71</v>
      </c>
      <c r="I2683" s="222"/>
    </row>
    <row r="2684" spans="1:9" x14ac:dyDescent="0.25">
      <c r="A2684" s="220">
        <v>2818</v>
      </c>
      <c r="B2684" s="221" t="s">
        <v>5805</v>
      </c>
      <c r="C2684" s="222" t="s">
        <v>5806</v>
      </c>
      <c r="D2684" s="221" t="s">
        <v>3802</v>
      </c>
      <c r="E2684" s="221" t="s">
        <v>36</v>
      </c>
      <c r="F2684" s="223">
        <v>0</v>
      </c>
      <c r="G2684" s="221" t="s">
        <v>71</v>
      </c>
      <c r="H2684" s="221" t="s">
        <v>71</v>
      </c>
      <c r="I2684" s="222"/>
    </row>
    <row r="2685" spans="1:9" x14ac:dyDescent="0.25">
      <c r="A2685" s="220">
        <v>2819</v>
      </c>
      <c r="B2685" s="221" t="s">
        <v>5807</v>
      </c>
      <c r="C2685" s="222" t="s">
        <v>5808</v>
      </c>
      <c r="D2685" s="221" t="s">
        <v>70</v>
      </c>
      <c r="E2685" s="221" t="s">
        <v>395</v>
      </c>
      <c r="F2685" s="223">
        <v>0</v>
      </c>
      <c r="G2685" s="221" t="s">
        <v>46</v>
      </c>
      <c r="H2685" s="221" t="s">
        <v>71</v>
      </c>
      <c r="I2685" s="222"/>
    </row>
    <row r="2686" spans="1:9" x14ac:dyDescent="0.25">
      <c r="A2686" s="220">
        <v>2820</v>
      </c>
      <c r="B2686" s="221" t="s">
        <v>5809</v>
      </c>
      <c r="C2686" s="222" t="s">
        <v>5810</v>
      </c>
      <c r="D2686" s="221" t="s">
        <v>70</v>
      </c>
      <c r="E2686" s="221" t="s">
        <v>395</v>
      </c>
      <c r="F2686" s="223">
        <v>0</v>
      </c>
      <c r="G2686" s="221" t="s">
        <v>46</v>
      </c>
      <c r="H2686" s="221" t="s">
        <v>71</v>
      </c>
      <c r="I2686" s="222"/>
    </row>
    <row r="2687" spans="1:9" x14ac:dyDescent="0.25">
      <c r="A2687" s="220">
        <v>2821</v>
      </c>
      <c r="B2687" s="221" t="s">
        <v>5811</v>
      </c>
      <c r="C2687" s="222" t="s">
        <v>5812</v>
      </c>
      <c r="D2687" s="221" t="s">
        <v>205</v>
      </c>
      <c r="E2687" s="221" t="s">
        <v>395</v>
      </c>
      <c r="F2687" s="223">
        <v>0</v>
      </c>
      <c r="G2687" s="221" t="s">
        <v>71</v>
      </c>
      <c r="H2687" s="221" t="s">
        <v>71</v>
      </c>
      <c r="I2687" s="222"/>
    </row>
    <row r="2688" spans="1:9" x14ac:dyDescent="0.25">
      <c r="A2688" s="220">
        <v>2822</v>
      </c>
      <c r="B2688" s="221" t="s">
        <v>5813</v>
      </c>
      <c r="C2688" s="222" t="s">
        <v>5814</v>
      </c>
      <c r="D2688" s="221" t="s">
        <v>70</v>
      </c>
      <c r="E2688" s="221" t="s">
        <v>395</v>
      </c>
      <c r="F2688" s="223">
        <v>0</v>
      </c>
      <c r="G2688" s="221" t="s">
        <v>46</v>
      </c>
      <c r="H2688" s="221" t="s">
        <v>71</v>
      </c>
      <c r="I2688" s="222"/>
    </row>
    <row r="2689" spans="1:9" x14ac:dyDescent="0.25">
      <c r="A2689" s="220">
        <v>2823</v>
      </c>
      <c r="B2689" s="221" t="s">
        <v>5815</v>
      </c>
      <c r="C2689" s="222" t="s">
        <v>5816</v>
      </c>
      <c r="D2689" s="221" t="s">
        <v>70</v>
      </c>
      <c r="E2689" s="221" t="s">
        <v>395</v>
      </c>
      <c r="F2689" s="223">
        <v>0</v>
      </c>
      <c r="G2689" s="221" t="s">
        <v>46</v>
      </c>
      <c r="H2689" s="221" t="s">
        <v>71</v>
      </c>
      <c r="I2689" s="222"/>
    </row>
    <row r="2690" spans="1:9" x14ac:dyDescent="0.25">
      <c r="A2690" s="220">
        <v>2824</v>
      </c>
      <c r="B2690" s="221" t="s">
        <v>5817</v>
      </c>
      <c r="C2690" s="222" t="s">
        <v>5818</v>
      </c>
      <c r="D2690" s="221" t="s">
        <v>70</v>
      </c>
      <c r="E2690" s="221" t="s">
        <v>395</v>
      </c>
      <c r="F2690" s="223">
        <v>0</v>
      </c>
      <c r="G2690" s="221" t="s">
        <v>46</v>
      </c>
      <c r="H2690" s="221" t="s">
        <v>71</v>
      </c>
      <c r="I2690" s="222"/>
    </row>
    <row r="2691" spans="1:9" x14ac:dyDescent="0.25">
      <c r="A2691" s="220">
        <v>2825</v>
      </c>
      <c r="B2691" s="221" t="s">
        <v>5819</v>
      </c>
      <c r="C2691" s="222" t="s">
        <v>5820</v>
      </c>
      <c r="D2691" s="221" t="s">
        <v>1999</v>
      </c>
      <c r="E2691" s="221" t="s">
        <v>27</v>
      </c>
      <c r="F2691" s="223">
        <v>0</v>
      </c>
      <c r="G2691" s="221" t="s">
        <v>71</v>
      </c>
      <c r="H2691" s="221" t="s">
        <v>71</v>
      </c>
      <c r="I2691" s="222"/>
    </row>
    <row r="2692" spans="1:9" x14ac:dyDescent="0.25">
      <c r="A2692" s="220">
        <v>2826</v>
      </c>
      <c r="B2692" s="221" t="s">
        <v>5821</v>
      </c>
      <c r="C2692" s="222" t="s">
        <v>5822</v>
      </c>
      <c r="D2692" s="221" t="s">
        <v>1999</v>
      </c>
      <c r="E2692" s="221" t="s">
        <v>27</v>
      </c>
      <c r="F2692" s="223">
        <v>0</v>
      </c>
      <c r="G2692" s="221" t="s">
        <v>71</v>
      </c>
      <c r="H2692" s="221" t="s">
        <v>71</v>
      </c>
      <c r="I2692" s="222"/>
    </row>
    <row r="2693" spans="1:9" x14ac:dyDescent="0.25">
      <c r="A2693" s="220">
        <v>2827</v>
      </c>
      <c r="B2693" s="221" t="s">
        <v>5823</v>
      </c>
      <c r="C2693" s="222" t="s">
        <v>5824</v>
      </c>
      <c r="D2693" s="221" t="s">
        <v>1999</v>
      </c>
      <c r="E2693" s="221" t="s">
        <v>27</v>
      </c>
      <c r="F2693" s="223">
        <v>0</v>
      </c>
      <c r="G2693" s="221" t="s">
        <v>71</v>
      </c>
      <c r="H2693" s="221" t="s">
        <v>71</v>
      </c>
      <c r="I2693" s="222"/>
    </row>
    <row r="2694" spans="1:9" x14ac:dyDescent="0.25">
      <c r="A2694" s="220">
        <v>2828</v>
      </c>
      <c r="B2694" s="221" t="s">
        <v>5825</v>
      </c>
      <c r="C2694" s="222" t="s">
        <v>5826</v>
      </c>
      <c r="D2694" s="221" t="s">
        <v>1999</v>
      </c>
      <c r="E2694" s="221" t="s">
        <v>27</v>
      </c>
      <c r="F2694" s="223">
        <v>0</v>
      </c>
      <c r="G2694" s="221" t="s">
        <v>71</v>
      </c>
      <c r="H2694" s="221" t="s">
        <v>71</v>
      </c>
      <c r="I2694" s="222"/>
    </row>
    <row r="2695" spans="1:9" x14ac:dyDescent="0.25">
      <c r="A2695" s="220">
        <v>2829</v>
      </c>
      <c r="B2695" s="221" t="s">
        <v>5827</v>
      </c>
      <c r="C2695" s="222" t="s">
        <v>5828</v>
      </c>
      <c r="D2695" s="221" t="s">
        <v>746</v>
      </c>
      <c r="E2695" s="221" t="s">
        <v>27</v>
      </c>
      <c r="F2695" s="223">
        <v>0</v>
      </c>
      <c r="G2695" s="221" t="s">
        <v>48</v>
      </c>
      <c r="H2695" s="221" t="s">
        <v>48</v>
      </c>
      <c r="I2695" s="222" t="s">
        <v>747</v>
      </c>
    </row>
    <row r="2696" spans="1:9" x14ac:dyDescent="0.25">
      <c r="A2696" s="220">
        <v>2830</v>
      </c>
      <c r="B2696" s="221" t="s">
        <v>5829</v>
      </c>
      <c r="C2696" s="222" t="s">
        <v>5830</v>
      </c>
      <c r="D2696" s="221" t="s">
        <v>746</v>
      </c>
      <c r="E2696" s="221" t="s">
        <v>27</v>
      </c>
      <c r="F2696" s="223">
        <v>0</v>
      </c>
      <c r="G2696" s="221" t="s">
        <v>48</v>
      </c>
      <c r="H2696" s="221" t="s">
        <v>48</v>
      </c>
      <c r="I2696" s="222" t="s">
        <v>747</v>
      </c>
    </row>
    <row r="2697" spans="1:9" x14ac:dyDescent="0.25">
      <c r="A2697" s="220">
        <v>2831</v>
      </c>
      <c r="B2697" s="221" t="s">
        <v>5831</v>
      </c>
      <c r="C2697" s="222" t="s">
        <v>5832</v>
      </c>
      <c r="D2697" s="221" t="s">
        <v>44</v>
      </c>
      <c r="E2697" s="221" t="s">
        <v>35</v>
      </c>
      <c r="F2697" s="223">
        <v>0</v>
      </c>
      <c r="G2697" s="221" t="s">
        <v>48</v>
      </c>
      <c r="H2697" s="221" t="s">
        <v>48</v>
      </c>
      <c r="I2697" s="222"/>
    </row>
    <row r="2698" spans="1:9" x14ac:dyDescent="0.25">
      <c r="A2698" s="220">
        <v>2832</v>
      </c>
      <c r="B2698" s="221" t="s">
        <v>5833</v>
      </c>
      <c r="C2698" s="222" t="s">
        <v>5834</v>
      </c>
      <c r="D2698" s="221" t="s">
        <v>44</v>
      </c>
      <c r="E2698" s="221" t="s">
        <v>35</v>
      </c>
      <c r="F2698" s="223">
        <v>0</v>
      </c>
      <c r="G2698" s="221" t="s">
        <v>48</v>
      </c>
      <c r="H2698" s="221" t="s">
        <v>48</v>
      </c>
      <c r="I2698" s="222"/>
    </row>
    <row r="2699" spans="1:9" x14ac:dyDescent="0.25">
      <c r="A2699" s="220">
        <v>2833</v>
      </c>
      <c r="B2699" s="221" t="s">
        <v>5835</v>
      </c>
      <c r="C2699" s="222" t="s">
        <v>5836</v>
      </c>
      <c r="D2699" s="221" t="s">
        <v>4556</v>
      </c>
      <c r="E2699" s="221" t="s">
        <v>30</v>
      </c>
      <c r="F2699" s="223">
        <v>0</v>
      </c>
      <c r="G2699" s="221" t="s">
        <v>71</v>
      </c>
      <c r="H2699" s="221" t="s">
        <v>71</v>
      </c>
      <c r="I2699" s="222"/>
    </row>
    <row r="2700" spans="1:9" x14ac:dyDescent="0.25">
      <c r="A2700" s="220">
        <v>2834</v>
      </c>
      <c r="B2700" s="221" t="s">
        <v>5837</v>
      </c>
      <c r="C2700" s="222" t="s">
        <v>5838</v>
      </c>
      <c r="D2700" s="221" t="s">
        <v>4556</v>
      </c>
      <c r="E2700" s="221" t="s">
        <v>30</v>
      </c>
      <c r="F2700" s="223">
        <v>0</v>
      </c>
      <c r="G2700" s="221" t="s">
        <v>71</v>
      </c>
      <c r="H2700" s="221" t="s">
        <v>71</v>
      </c>
      <c r="I2700" s="222"/>
    </row>
    <row r="2701" spans="1:9" x14ac:dyDescent="0.25">
      <c r="A2701" s="220">
        <v>2835</v>
      </c>
      <c r="B2701" s="221" t="s">
        <v>5839</v>
      </c>
      <c r="C2701" s="222" t="s">
        <v>5840</v>
      </c>
      <c r="D2701" s="221" t="s">
        <v>4556</v>
      </c>
      <c r="E2701" s="221" t="s">
        <v>30</v>
      </c>
      <c r="F2701" s="223">
        <v>0</v>
      </c>
      <c r="G2701" s="221" t="s">
        <v>71</v>
      </c>
      <c r="H2701" s="221" t="s">
        <v>71</v>
      </c>
      <c r="I2701" s="222"/>
    </row>
    <row r="2702" spans="1:9" x14ac:dyDescent="0.25">
      <c r="A2702" s="220">
        <v>2836</v>
      </c>
      <c r="B2702" s="221" t="s">
        <v>5841</v>
      </c>
      <c r="C2702" s="222" t="s">
        <v>5842</v>
      </c>
      <c r="D2702" s="221" t="s">
        <v>4556</v>
      </c>
      <c r="E2702" s="221" t="s">
        <v>30</v>
      </c>
      <c r="F2702" s="223">
        <v>0</v>
      </c>
      <c r="G2702" s="221" t="s">
        <v>71</v>
      </c>
      <c r="H2702" s="221" t="s">
        <v>71</v>
      </c>
      <c r="I2702" s="222"/>
    </row>
    <row r="2703" spans="1:9" x14ac:dyDescent="0.25">
      <c r="A2703" s="220">
        <v>2837</v>
      </c>
      <c r="B2703" s="221" t="s">
        <v>5843</v>
      </c>
      <c r="C2703" s="222" t="s">
        <v>5844</v>
      </c>
      <c r="D2703" s="221" t="s">
        <v>4556</v>
      </c>
      <c r="E2703" s="221" t="s">
        <v>30</v>
      </c>
      <c r="F2703" s="223">
        <v>0</v>
      </c>
      <c r="G2703" s="221" t="s">
        <v>71</v>
      </c>
      <c r="H2703" s="221" t="s">
        <v>71</v>
      </c>
      <c r="I2703" s="222"/>
    </row>
    <row r="2704" spans="1:9" x14ac:dyDescent="0.25">
      <c r="A2704" s="220">
        <v>2839</v>
      </c>
      <c r="B2704" s="221" t="s">
        <v>5845</v>
      </c>
      <c r="C2704" s="222" t="s">
        <v>5846</v>
      </c>
      <c r="D2704" s="221" t="s">
        <v>4556</v>
      </c>
      <c r="E2704" s="221" t="s">
        <v>30</v>
      </c>
      <c r="F2704" s="223">
        <v>0</v>
      </c>
      <c r="G2704" s="221" t="s">
        <v>71</v>
      </c>
      <c r="H2704" s="221" t="s">
        <v>71</v>
      </c>
      <c r="I2704" s="222"/>
    </row>
    <row r="2705" spans="1:9" x14ac:dyDescent="0.25">
      <c r="A2705" s="220">
        <v>2840</v>
      </c>
      <c r="B2705" s="221" t="s">
        <v>5847</v>
      </c>
      <c r="C2705" s="222" t="s">
        <v>5848</v>
      </c>
      <c r="D2705" s="221" t="s">
        <v>4556</v>
      </c>
      <c r="E2705" s="221" t="s">
        <v>30</v>
      </c>
      <c r="F2705" s="223">
        <v>0</v>
      </c>
      <c r="G2705" s="221" t="s">
        <v>71</v>
      </c>
      <c r="H2705" s="221" t="s">
        <v>71</v>
      </c>
      <c r="I2705" s="222"/>
    </row>
    <row r="2706" spans="1:9" x14ac:dyDescent="0.25">
      <c r="A2706" s="220">
        <v>2841</v>
      </c>
      <c r="B2706" s="221" t="s">
        <v>5849</v>
      </c>
      <c r="C2706" s="222" t="s">
        <v>5850</v>
      </c>
      <c r="D2706" s="221" t="s">
        <v>205</v>
      </c>
      <c r="E2706" s="221" t="s">
        <v>30</v>
      </c>
      <c r="F2706" s="223">
        <v>0</v>
      </c>
      <c r="G2706" s="221" t="s">
        <v>71</v>
      </c>
      <c r="H2706" s="221" t="s">
        <v>71</v>
      </c>
      <c r="I2706" s="222"/>
    </row>
    <row r="2707" spans="1:9" x14ac:dyDescent="0.25">
      <c r="A2707" s="220">
        <v>2842</v>
      </c>
      <c r="B2707" s="221" t="s">
        <v>5851</v>
      </c>
      <c r="C2707" s="222" t="s">
        <v>5852</v>
      </c>
      <c r="D2707" s="221" t="s">
        <v>1999</v>
      </c>
      <c r="E2707" s="221" t="s">
        <v>27</v>
      </c>
      <c r="F2707" s="223">
        <v>0</v>
      </c>
      <c r="G2707" s="221" t="s">
        <v>71</v>
      </c>
      <c r="H2707" s="221" t="s">
        <v>71</v>
      </c>
      <c r="I2707" s="222"/>
    </row>
    <row r="2708" spans="1:9" x14ac:dyDescent="0.25">
      <c r="A2708" s="220">
        <v>2843</v>
      </c>
      <c r="B2708" s="221" t="s">
        <v>5853</v>
      </c>
      <c r="C2708" s="222" t="s">
        <v>5854</v>
      </c>
      <c r="D2708" s="221" t="s">
        <v>1999</v>
      </c>
      <c r="E2708" s="221" t="s">
        <v>27</v>
      </c>
      <c r="F2708" s="223">
        <v>0</v>
      </c>
      <c r="G2708" s="221" t="s">
        <v>71</v>
      </c>
      <c r="H2708" s="221" t="s">
        <v>71</v>
      </c>
      <c r="I2708" s="222"/>
    </row>
    <row r="2709" spans="1:9" x14ac:dyDescent="0.25">
      <c r="A2709" s="220">
        <v>2844</v>
      </c>
      <c r="B2709" s="221" t="s">
        <v>5855</v>
      </c>
      <c r="C2709" s="222" t="s">
        <v>5856</v>
      </c>
      <c r="D2709" s="221" t="s">
        <v>2542</v>
      </c>
      <c r="E2709" s="221" t="s">
        <v>27</v>
      </c>
      <c r="F2709" s="223">
        <v>0</v>
      </c>
      <c r="G2709" s="221" t="s">
        <v>48</v>
      </c>
      <c r="H2709" s="221" t="s">
        <v>48</v>
      </c>
      <c r="I2709" s="222"/>
    </row>
    <row r="2710" spans="1:9" x14ac:dyDescent="0.25">
      <c r="A2710" s="220">
        <v>2845</v>
      </c>
      <c r="B2710" s="221" t="s">
        <v>5857</v>
      </c>
      <c r="C2710" s="222" t="s">
        <v>5858</v>
      </c>
      <c r="D2710" s="221" t="s">
        <v>1535</v>
      </c>
      <c r="E2710" s="221" t="s">
        <v>29</v>
      </c>
      <c r="F2710" s="223">
        <v>0</v>
      </c>
      <c r="G2710" s="221" t="s">
        <v>71</v>
      </c>
      <c r="H2710" s="221" t="s">
        <v>71</v>
      </c>
      <c r="I2710" s="222"/>
    </row>
    <row r="2711" spans="1:9" x14ac:dyDescent="0.25">
      <c r="A2711" s="220">
        <v>2846</v>
      </c>
      <c r="B2711" s="221" t="s">
        <v>5859</v>
      </c>
      <c r="C2711" s="222" t="s">
        <v>5860</v>
      </c>
      <c r="D2711" s="221" t="s">
        <v>4556</v>
      </c>
      <c r="E2711" s="221" t="s">
        <v>30</v>
      </c>
      <c r="F2711" s="223">
        <v>0</v>
      </c>
      <c r="G2711" s="221" t="s">
        <v>71</v>
      </c>
      <c r="H2711" s="221" t="s">
        <v>71</v>
      </c>
      <c r="I2711" s="222"/>
    </row>
    <row r="2712" spans="1:9" x14ac:dyDescent="0.25">
      <c r="A2712" s="220">
        <v>2847</v>
      </c>
      <c r="B2712" s="221" t="s">
        <v>5861</v>
      </c>
      <c r="C2712" s="222" t="s">
        <v>5862</v>
      </c>
      <c r="D2712" s="221" t="s">
        <v>4556</v>
      </c>
      <c r="E2712" s="221" t="s">
        <v>30</v>
      </c>
      <c r="F2712" s="223">
        <v>0</v>
      </c>
      <c r="G2712" s="221" t="s">
        <v>71</v>
      </c>
      <c r="H2712" s="221" t="s">
        <v>71</v>
      </c>
      <c r="I2712" s="222"/>
    </row>
    <row r="2713" spans="1:9" x14ac:dyDescent="0.25">
      <c r="A2713" s="220">
        <v>2848</v>
      </c>
      <c r="B2713" s="221" t="s">
        <v>5863</v>
      </c>
      <c r="C2713" s="222" t="s">
        <v>5864</v>
      </c>
      <c r="D2713" s="221" t="s">
        <v>4556</v>
      </c>
      <c r="E2713" s="221" t="s">
        <v>30</v>
      </c>
      <c r="F2713" s="223">
        <v>0</v>
      </c>
      <c r="G2713" s="221" t="s">
        <v>71</v>
      </c>
      <c r="H2713" s="221" t="s">
        <v>71</v>
      </c>
      <c r="I2713" s="222"/>
    </row>
    <row r="2714" spans="1:9" x14ac:dyDescent="0.25">
      <c r="A2714" s="220">
        <v>2849</v>
      </c>
      <c r="B2714" s="221" t="s">
        <v>5865</v>
      </c>
      <c r="C2714" s="222" t="s">
        <v>5866</v>
      </c>
      <c r="D2714" s="221" t="s">
        <v>1999</v>
      </c>
      <c r="E2714" s="221" t="s">
        <v>27</v>
      </c>
      <c r="F2714" s="223">
        <v>0</v>
      </c>
      <c r="G2714" s="221" t="s">
        <v>71</v>
      </c>
      <c r="H2714" s="221" t="s">
        <v>71</v>
      </c>
      <c r="I2714" s="222"/>
    </row>
    <row r="2715" spans="1:9" x14ac:dyDescent="0.25">
      <c r="A2715" s="220">
        <v>2850</v>
      </c>
      <c r="B2715" s="221" t="s">
        <v>5867</v>
      </c>
      <c r="C2715" s="222" t="s">
        <v>5868</v>
      </c>
      <c r="D2715" s="221" t="s">
        <v>2591</v>
      </c>
      <c r="E2715" s="221" t="s">
        <v>35</v>
      </c>
      <c r="F2715" s="223">
        <v>0</v>
      </c>
      <c r="G2715" s="221" t="s">
        <v>71</v>
      </c>
      <c r="H2715" s="221" t="s">
        <v>71</v>
      </c>
      <c r="I2715" s="222"/>
    </row>
    <row r="2716" spans="1:9" x14ac:dyDescent="0.25">
      <c r="A2716" s="220">
        <v>2851</v>
      </c>
      <c r="B2716" s="221" t="s">
        <v>5869</v>
      </c>
      <c r="C2716" s="222" t="s">
        <v>5870</v>
      </c>
      <c r="D2716" s="221" t="s">
        <v>205</v>
      </c>
      <c r="E2716" s="221" t="s">
        <v>30</v>
      </c>
      <c r="F2716" s="223">
        <v>0</v>
      </c>
      <c r="G2716" s="221" t="s">
        <v>71</v>
      </c>
      <c r="H2716" s="221" t="s">
        <v>71</v>
      </c>
      <c r="I2716" s="222"/>
    </row>
    <row r="2717" spans="1:9" x14ac:dyDescent="0.25">
      <c r="A2717" s="220">
        <v>2852</v>
      </c>
      <c r="B2717" s="221" t="s">
        <v>5871</v>
      </c>
      <c r="C2717" s="222" t="s">
        <v>5872</v>
      </c>
      <c r="D2717" s="221" t="s">
        <v>205</v>
      </c>
      <c r="E2717" s="221" t="s">
        <v>30</v>
      </c>
      <c r="F2717" s="223">
        <v>0</v>
      </c>
      <c r="G2717" s="221" t="s">
        <v>71</v>
      </c>
      <c r="H2717" s="221" t="s">
        <v>71</v>
      </c>
      <c r="I2717" s="222"/>
    </row>
    <row r="2718" spans="1:9" x14ac:dyDescent="0.25">
      <c r="A2718" s="220">
        <v>2853</v>
      </c>
      <c r="B2718" s="221" t="s">
        <v>5873</v>
      </c>
      <c r="C2718" s="222" t="s">
        <v>5874</v>
      </c>
      <c r="D2718" s="221" t="s">
        <v>4556</v>
      </c>
      <c r="E2718" s="221" t="s">
        <v>30</v>
      </c>
      <c r="F2718" s="223">
        <v>0</v>
      </c>
      <c r="G2718" s="221" t="s">
        <v>71</v>
      </c>
      <c r="H2718" s="221" t="s">
        <v>71</v>
      </c>
      <c r="I2718" s="222"/>
    </row>
    <row r="2719" spans="1:9" x14ac:dyDescent="0.25">
      <c r="A2719" s="220">
        <v>2854</v>
      </c>
      <c r="B2719" s="221" t="s">
        <v>5875</v>
      </c>
      <c r="C2719" s="222" t="s">
        <v>5876</v>
      </c>
      <c r="D2719" s="221" t="s">
        <v>205</v>
      </c>
      <c r="E2719" s="221" t="s">
        <v>30</v>
      </c>
      <c r="F2719" s="223">
        <v>0</v>
      </c>
      <c r="G2719" s="221" t="s">
        <v>71</v>
      </c>
      <c r="H2719" s="221" t="s">
        <v>71</v>
      </c>
      <c r="I2719" s="222"/>
    </row>
    <row r="2720" spans="1:9" x14ac:dyDescent="0.25">
      <c r="A2720" s="220">
        <v>2855</v>
      </c>
      <c r="B2720" s="221" t="s">
        <v>5877</v>
      </c>
      <c r="C2720" s="222" t="s">
        <v>5878</v>
      </c>
      <c r="D2720" s="221" t="s">
        <v>205</v>
      </c>
      <c r="E2720" s="221" t="s">
        <v>30</v>
      </c>
      <c r="F2720" s="223">
        <v>0</v>
      </c>
      <c r="G2720" s="221" t="s">
        <v>71</v>
      </c>
      <c r="H2720" s="221" t="s">
        <v>71</v>
      </c>
      <c r="I2720" s="222"/>
    </row>
    <row r="2721" spans="1:9" x14ac:dyDescent="0.25">
      <c r="A2721" s="220">
        <v>2856</v>
      </c>
      <c r="B2721" s="221" t="s">
        <v>5879</v>
      </c>
      <c r="C2721" s="222" t="s">
        <v>5880</v>
      </c>
      <c r="D2721" s="221" t="s">
        <v>205</v>
      </c>
      <c r="E2721" s="221" t="s">
        <v>30</v>
      </c>
      <c r="F2721" s="223">
        <v>0</v>
      </c>
      <c r="G2721" s="221" t="s">
        <v>71</v>
      </c>
      <c r="H2721" s="221" t="s">
        <v>71</v>
      </c>
      <c r="I2721" s="222"/>
    </row>
    <row r="2722" spans="1:9" x14ac:dyDescent="0.25">
      <c r="A2722" s="220">
        <v>2857</v>
      </c>
      <c r="B2722" s="221" t="s">
        <v>5881</v>
      </c>
      <c r="C2722" s="222" t="s">
        <v>5882</v>
      </c>
      <c r="D2722" s="221" t="s">
        <v>3802</v>
      </c>
      <c r="E2722" s="221" t="s">
        <v>36</v>
      </c>
      <c r="F2722" s="223">
        <v>0</v>
      </c>
      <c r="G2722" s="221" t="s">
        <v>71</v>
      </c>
      <c r="H2722" s="221" t="s">
        <v>71</v>
      </c>
      <c r="I2722" s="222"/>
    </row>
    <row r="2723" spans="1:9" x14ac:dyDescent="0.25">
      <c r="A2723" s="220">
        <v>2858</v>
      </c>
      <c r="B2723" s="221" t="s">
        <v>5883</v>
      </c>
      <c r="C2723" s="222" t="s">
        <v>5884</v>
      </c>
      <c r="D2723" s="221" t="s">
        <v>3802</v>
      </c>
      <c r="E2723" s="221" t="s">
        <v>36</v>
      </c>
      <c r="F2723" s="223">
        <v>0</v>
      </c>
      <c r="G2723" s="221" t="s">
        <v>71</v>
      </c>
      <c r="H2723" s="221" t="s">
        <v>71</v>
      </c>
      <c r="I2723" s="222"/>
    </row>
    <row r="2724" spans="1:9" x14ac:dyDescent="0.25">
      <c r="A2724" s="220">
        <v>2859</v>
      </c>
      <c r="B2724" s="221" t="s">
        <v>5885</v>
      </c>
      <c r="C2724" s="222" t="s">
        <v>5886</v>
      </c>
      <c r="D2724" s="221" t="s">
        <v>3802</v>
      </c>
      <c r="E2724" s="221" t="s">
        <v>36</v>
      </c>
      <c r="F2724" s="223">
        <v>0</v>
      </c>
      <c r="G2724" s="221" t="s">
        <v>71</v>
      </c>
      <c r="H2724" s="221" t="s">
        <v>71</v>
      </c>
      <c r="I2724" s="222"/>
    </row>
    <row r="2725" spans="1:9" x14ac:dyDescent="0.25">
      <c r="A2725" s="220">
        <v>2860</v>
      </c>
      <c r="B2725" s="221" t="s">
        <v>5887</v>
      </c>
      <c r="C2725" s="222" t="s">
        <v>5888</v>
      </c>
      <c r="D2725" s="221" t="s">
        <v>3802</v>
      </c>
      <c r="E2725" s="221" t="s">
        <v>36</v>
      </c>
      <c r="F2725" s="223">
        <v>0</v>
      </c>
      <c r="G2725" s="221" t="s">
        <v>71</v>
      </c>
      <c r="H2725" s="221" t="s">
        <v>71</v>
      </c>
      <c r="I2725" s="222"/>
    </row>
    <row r="2726" spans="1:9" x14ac:dyDescent="0.25">
      <c r="A2726" s="220">
        <v>2861</v>
      </c>
      <c r="B2726" s="221" t="s">
        <v>5889</v>
      </c>
      <c r="C2726" s="222" t="s">
        <v>5890</v>
      </c>
      <c r="D2726" s="221" t="s">
        <v>205</v>
      </c>
      <c r="E2726" s="221" t="s">
        <v>30</v>
      </c>
      <c r="F2726" s="223">
        <v>0</v>
      </c>
      <c r="G2726" s="221" t="s">
        <v>71</v>
      </c>
      <c r="H2726" s="221" t="s">
        <v>71</v>
      </c>
      <c r="I2726" s="222"/>
    </row>
    <row r="2727" spans="1:9" x14ac:dyDescent="0.25">
      <c r="A2727" s="220">
        <v>2862</v>
      </c>
      <c r="B2727" s="221" t="s">
        <v>5891</v>
      </c>
      <c r="C2727" s="222" t="s">
        <v>5892</v>
      </c>
      <c r="D2727" s="221" t="s">
        <v>70</v>
      </c>
      <c r="E2727" s="221" t="s">
        <v>30</v>
      </c>
      <c r="F2727" s="223">
        <v>0</v>
      </c>
      <c r="G2727" s="221" t="s">
        <v>71</v>
      </c>
      <c r="H2727" s="221" t="s">
        <v>71</v>
      </c>
      <c r="I2727" s="222"/>
    </row>
    <row r="2728" spans="1:9" x14ac:dyDescent="0.25">
      <c r="A2728" s="220">
        <v>2863</v>
      </c>
      <c r="B2728" s="221" t="s">
        <v>5893</v>
      </c>
      <c r="C2728" s="222" t="s">
        <v>5894</v>
      </c>
      <c r="D2728" s="221" t="s">
        <v>205</v>
      </c>
      <c r="E2728" s="221" t="s">
        <v>30</v>
      </c>
      <c r="F2728" s="223">
        <v>0</v>
      </c>
      <c r="G2728" s="221" t="s">
        <v>71</v>
      </c>
      <c r="H2728" s="221" t="s">
        <v>71</v>
      </c>
      <c r="I2728" s="222"/>
    </row>
    <row r="2729" spans="1:9" x14ac:dyDescent="0.25">
      <c r="A2729" s="220">
        <v>2864</v>
      </c>
      <c r="B2729" s="221" t="s">
        <v>5895</v>
      </c>
      <c r="C2729" s="222" t="s">
        <v>5896</v>
      </c>
      <c r="D2729" s="221" t="s">
        <v>70</v>
      </c>
      <c r="E2729" s="221" t="s">
        <v>395</v>
      </c>
      <c r="F2729" s="223">
        <v>0</v>
      </c>
      <c r="G2729" s="221" t="s">
        <v>46</v>
      </c>
      <c r="H2729" s="221" t="s">
        <v>71</v>
      </c>
      <c r="I2729" s="222"/>
    </row>
    <row r="2730" spans="1:9" x14ac:dyDescent="0.25">
      <c r="A2730" s="220">
        <v>2865</v>
      </c>
      <c r="B2730" s="221" t="s">
        <v>5897</v>
      </c>
      <c r="C2730" s="222" t="s">
        <v>5898</v>
      </c>
      <c r="D2730" s="221" t="s">
        <v>44</v>
      </c>
      <c r="E2730" s="221" t="s">
        <v>35</v>
      </c>
      <c r="F2730" s="223">
        <v>0</v>
      </c>
      <c r="G2730" s="221" t="s">
        <v>48</v>
      </c>
      <c r="H2730" s="221" t="s">
        <v>48</v>
      </c>
      <c r="I2730" s="222"/>
    </row>
    <row r="2731" spans="1:9" x14ac:dyDescent="0.25">
      <c r="A2731" s="220">
        <v>2866</v>
      </c>
      <c r="B2731" s="221" t="s">
        <v>5899</v>
      </c>
      <c r="C2731" s="222" t="s">
        <v>5900</v>
      </c>
      <c r="D2731" s="221" t="s">
        <v>92</v>
      </c>
      <c r="E2731" s="221" t="s">
        <v>395</v>
      </c>
      <c r="F2731" s="223">
        <v>0</v>
      </c>
      <c r="G2731" s="221" t="s">
        <v>71</v>
      </c>
      <c r="H2731" s="221" t="s">
        <v>48</v>
      </c>
      <c r="I2731" s="222"/>
    </row>
    <row r="2732" spans="1:9" x14ac:dyDescent="0.25">
      <c r="A2732" s="220">
        <v>2867</v>
      </c>
      <c r="B2732" s="221" t="s">
        <v>5901</v>
      </c>
      <c r="C2732" s="222" t="s">
        <v>5902</v>
      </c>
      <c r="D2732" s="221" t="s">
        <v>4434</v>
      </c>
      <c r="E2732" s="221" t="s">
        <v>38</v>
      </c>
      <c r="F2732" s="223">
        <v>0</v>
      </c>
      <c r="G2732" s="221" t="s">
        <v>46</v>
      </c>
      <c r="H2732" s="221" t="s">
        <v>46</v>
      </c>
      <c r="I2732" s="222"/>
    </row>
    <row r="2733" spans="1:9" x14ac:dyDescent="0.25">
      <c r="A2733" s="220">
        <v>2868</v>
      </c>
      <c r="B2733" s="221" t="s">
        <v>5903</v>
      </c>
      <c r="C2733" s="222" t="s">
        <v>5904</v>
      </c>
      <c r="D2733" s="221" t="s">
        <v>4434</v>
      </c>
      <c r="E2733" s="221" t="s">
        <v>38</v>
      </c>
      <c r="F2733" s="223">
        <v>0</v>
      </c>
      <c r="G2733" s="221" t="s">
        <v>46</v>
      </c>
      <c r="H2733" s="221" t="s">
        <v>46</v>
      </c>
      <c r="I2733" s="222"/>
    </row>
    <row r="2734" spans="1:9" x14ac:dyDescent="0.25">
      <c r="A2734" s="220">
        <v>2869</v>
      </c>
      <c r="B2734" s="221" t="s">
        <v>5905</v>
      </c>
      <c r="C2734" s="222" t="s">
        <v>5906</v>
      </c>
      <c r="D2734" s="221" t="s">
        <v>573</v>
      </c>
      <c r="E2734" s="221" t="s">
        <v>27</v>
      </c>
      <c r="F2734" s="223">
        <v>0</v>
      </c>
      <c r="G2734" s="221" t="s">
        <v>48</v>
      </c>
      <c r="H2734" s="221" t="s">
        <v>48</v>
      </c>
      <c r="I2734" s="222"/>
    </row>
    <row r="2735" spans="1:9" x14ac:dyDescent="0.25">
      <c r="A2735" s="220">
        <v>2870</v>
      </c>
      <c r="B2735" s="221" t="s">
        <v>5907</v>
      </c>
      <c r="C2735" s="222" t="s">
        <v>5908</v>
      </c>
      <c r="D2735" s="221" t="s">
        <v>70</v>
      </c>
      <c r="E2735" s="221" t="s">
        <v>395</v>
      </c>
      <c r="F2735" s="223">
        <v>0</v>
      </c>
      <c r="G2735" s="221" t="s">
        <v>46</v>
      </c>
      <c r="H2735" s="221" t="s">
        <v>71</v>
      </c>
      <c r="I2735" s="222"/>
    </row>
    <row r="2736" spans="1:9" x14ac:dyDescent="0.25">
      <c r="A2736" s="220">
        <v>2871</v>
      </c>
      <c r="B2736" s="221" t="s">
        <v>5909</v>
      </c>
      <c r="C2736" s="222" t="s">
        <v>5910</v>
      </c>
      <c r="D2736" s="221" t="s">
        <v>1999</v>
      </c>
      <c r="E2736" s="221" t="s">
        <v>27</v>
      </c>
      <c r="F2736" s="223">
        <v>0</v>
      </c>
      <c r="G2736" s="221" t="s">
        <v>71</v>
      </c>
      <c r="H2736" s="221" t="s">
        <v>71</v>
      </c>
      <c r="I2736" s="222"/>
    </row>
    <row r="2737" spans="1:9" x14ac:dyDescent="0.25">
      <c r="A2737" s="220">
        <v>2872</v>
      </c>
      <c r="B2737" s="221" t="s">
        <v>5911</v>
      </c>
      <c r="C2737" s="222" t="s">
        <v>5912</v>
      </c>
      <c r="D2737" s="221" t="s">
        <v>3862</v>
      </c>
      <c r="E2737" s="221" t="s">
        <v>27</v>
      </c>
      <c r="F2737" s="223">
        <v>0</v>
      </c>
      <c r="G2737" s="221" t="s">
        <v>71</v>
      </c>
      <c r="H2737" s="221" t="s">
        <v>71</v>
      </c>
      <c r="I2737" s="222"/>
    </row>
    <row r="2738" spans="1:9" x14ac:dyDescent="0.25">
      <c r="A2738" s="220">
        <v>2873</v>
      </c>
      <c r="B2738" s="221" t="s">
        <v>5913</v>
      </c>
      <c r="C2738" s="222" t="s">
        <v>5914</v>
      </c>
      <c r="D2738" s="221" t="s">
        <v>205</v>
      </c>
      <c r="E2738" s="221" t="s">
        <v>395</v>
      </c>
      <c r="F2738" s="223">
        <v>0</v>
      </c>
      <c r="G2738" s="221" t="s">
        <v>71</v>
      </c>
      <c r="H2738" s="221" t="s">
        <v>71</v>
      </c>
      <c r="I2738" s="222"/>
    </row>
    <row r="2739" spans="1:9" x14ac:dyDescent="0.25">
      <c r="A2739" s="220">
        <v>2874</v>
      </c>
      <c r="B2739" s="221" t="s">
        <v>5915</v>
      </c>
      <c r="C2739" s="222" t="s">
        <v>5916</v>
      </c>
      <c r="D2739" s="221" t="s">
        <v>3802</v>
      </c>
      <c r="E2739" s="221" t="s">
        <v>36</v>
      </c>
      <c r="F2739" s="223">
        <v>0</v>
      </c>
      <c r="G2739" s="221" t="s">
        <v>71</v>
      </c>
      <c r="H2739" s="221" t="s">
        <v>71</v>
      </c>
      <c r="I2739" s="222"/>
    </row>
    <row r="2740" spans="1:9" x14ac:dyDescent="0.25">
      <c r="A2740" s="220">
        <v>2875</v>
      </c>
      <c r="B2740" s="221" t="s">
        <v>5917</v>
      </c>
      <c r="C2740" s="222" t="s">
        <v>5918</v>
      </c>
      <c r="D2740" s="221" t="s">
        <v>3802</v>
      </c>
      <c r="E2740" s="221" t="s">
        <v>36</v>
      </c>
      <c r="F2740" s="223">
        <v>0</v>
      </c>
      <c r="G2740" s="221" t="s">
        <v>71</v>
      </c>
      <c r="H2740" s="221" t="s">
        <v>71</v>
      </c>
      <c r="I2740" s="222"/>
    </row>
    <row r="2741" spans="1:9" x14ac:dyDescent="0.25">
      <c r="A2741" s="220">
        <v>2876</v>
      </c>
      <c r="B2741" s="221" t="s">
        <v>5919</v>
      </c>
      <c r="C2741" s="222" t="s">
        <v>5920</v>
      </c>
      <c r="D2741" s="221" t="s">
        <v>746</v>
      </c>
      <c r="E2741" s="221" t="s">
        <v>27</v>
      </c>
      <c r="F2741" s="223">
        <v>0</v>
      </c>
      <c r="G2741" s="221" t="s">
        <v>48</v>
      </c>
      <c r="H2741" s="221" t="s">
        <v>48</v>
      </c>
      <c r="I2741" s="222" t="s">
        <v>747</v>
      </c>
    </row>
    <row r="2742" spans="1:9" x14ac:dyDescent="0.25">
      <c r="A2742" s="220">
        <v>2877</v>
      </c>
      <c r="B2742" s="221" t="s">
        <v>5921</v>
      </c>
      <c r="C2742" s="222" t="s">
        <v>5922</v>
      </c>
      <c r="D2742" s="221" t="s">
        <v>205</v>
      </c>
      <c r="E2742" s="221" t="s">
        <v>30</v>
      </c>
      <c r="F2742" s="223">
        <v>0</v>
      </c>
      <c r="G2742" s="221" t="s">
        <v>71</v>
      </c>
      <c r="H2742" s="221" t="s">
        <v>71</v>
      </c>
      <c r="I2742" s="222"/>
    </row>
    <row r="2743" spans="1:9" x14ac:dyDescent="0.25">
      <c r="A2743" s="220">
        <v>2878</v>
      </c>
      <c r="B2743" s="221" t="s">
        <v>5923</v>
      </c>
      <c r="C2743" s="222" t="s">
        <v>5924</v>
      </c>
      <c r="D2743" s="221" t="s">
        <v>70</v>
      </c>
      <c r="E2743" s="221" t="s">
        <v>395</v>
      </c>
      <c r="F2743" s="223">
        <v>0</v>
      </c>
      <c r="G2743" s="221" t="s">
        <v>46</v>
      </c>
      <c r="H2743" s="221" t="s">
        <v>71</v>
      </c>
      <c r="I2743" s="222"/>
    </row>
    <row r="2744" spans="1:9" x14ac:dyDescent="0.25">
      <c r="A2744" s="220">
        <v>2879</v>
      </c>
      <c r="B2744" s="221" t="s">
        <v>5925</v>
      </c>
      <c r="C2744" s="222" t="s">
        <v>5926</v>
      </c>
      <c r="D2744" s="221" t="s">
        <v>70</v>
      </c>
      <c r="E2744" s="221" t="s">
        <v>395</v>
      </c>
      <c r="F2744" s="223">
        <v>0</v>
      </c>
      <c r="G2744" s="221" t="s">
        <v>46</v>
      </c>
      <c r="H2744" s="221" t="s">
        <v>71</v>
      </c>
      <c r="I2744" s="222"/>
    </row>
    <row r="2745" spans="1:9" x14ac:dyDescent="0.25">
      <c r="A2745" s="220">
        <v>2880</v>
      </c>
      <c r="B2745" s="221" t="s">
        <v>5927</v>
      </c>
      <c r="C2745" s="222" t="s">
        <v>5928</v>
      </c>
      <c r="D2745" s="221" t="s">
        <v>1999</v>
      </c>
      <c r="E2745" s="221" t="s">
        <v>27</v>
      </c>
      <c r="F2745" s="223">
        <v>0</v>
      </c>
      <c r="G2745" s="221" t="s">
        <v>71</v>
      </c>
      <c r="H2745" s="221" t="s">
        <v>71</v>
      </c>
      <c r="I2745" s="222"/>
    </row>
    <row r="2746" spans="1:9" x14ac:dyDescent="0.25">
      <c r="A2746" s="220">
        <v>2881</v>
      </c>
      <c r="B2746" s="221" t="s">
        <v>5929</v>
      </c>
      <c r="C2746" s="222" t="s">
        <v>5930</v>
      </c>
      <c r="D2746" s="221" t="s">
        <v>3862</v>
      </c>
      <c r="E2746" s="221" t="s">
        <v>27</v>
      </c>
      <c r="F2746" s="223">
        <v>0</v>
      </c>
      <c r="G2746" s="221" t="s">
        <v>71</v>
      </c>
      <c r="H2746" s="221" t="s">
        <v>71</v>
      </c>
      <c r="I2746" s="222"/>
    </row>
    <row r="2747" spans="1:9" x14ac:dyDescent="0.25">
      <c r="A2747" s="220">
        <v>2882</v>
      </c>
      <c r="B2747" s="221" t="s">
        <v>5931</v>
      </c>
      <c r="C2747" s="222" t="s">
        <v>5932</v>
      </c>
      <c r="D2747" s="221" t="s">
        <v>3862</v>
      </c>
      <c r="E2747" s="221" t="s">
        <v>27</v>
      </c>
      <c r="F2747" s="223">
        <v>0</v>
      </c>
      <c r="G2747" s="221" t="s">
        <v>71</v>
      </c>
      <c r="H2747" s="221" t="s">
        <v>71</v>
      </c>
      <c r="I2747" s="222"/>
    </row>
    <row r="2748" spans="1:9" x14ac:dyDescent="0.25">
      <c r="A2748" s="220">
        <v>2883</v>
      </c>
      <c r="B2748" s="221" t="s">
        <v>5933</v>
      </c>
      <c r="C2748" s="222" t="s">
        <v>5934</v>
      </c>
      <c r="D2748" s="221" t="s">
        <v>1999</v>
      </c>
      <c r="E2748" s="221" t="s">
        <v>27</v>
      </c>
      <c r="F2748" s="223">
        <v>0</v>
      </c>
      <c r="G2748" s="221" t="s">
        <v>71</v>
      </c>
      <c r="H2748" s="221" t="s">
        <v>71</v>
      </c>
      <c r="I2748" s="222"/>
    </row>
    <row r="2749" spans="1:9" x14ac:dyDescent="0.25">
      <c r="A2749" s="220">
        <v>2884</v>
      </c>
      <c r="B2749" s="221" t="s">
        <v>5935</v>
      </c>
      <c r="C2749" s="222" t="s">
        <v>5936</v>
      </c>
      <c r="D2749" s="221" t="s">
        <v>573</v>
      </c>
      <c r="E2749" s="221" t="s">
        <v>27</v>
      </c>
      <c r="F2749" s="223">
        <v>0</v>
      </c>
      <c r="G2749" s="221" t="s">
        <v>48</v>
      </c>
      <c r="H2749" s="221" t="s">
        <v>48</v>
      </c>
      <c r="I2749" s="222"/>
    </row>
    <row r="2750" spans="1:9" x14ac:dyDescent="0.25">
      <c r="A2750" s="220">
        <v>2885</v>
      </c>
      <c r="B2750" s="221" t="s">
        <v>5937</v>
      </c>
      <c r="C2750" s="222" t="s">
        <v>5938</v>
      </c>
      <c r="D2750" s="221" t="s">
        <v>4556</v>
      </c>
      <c r="E2750" s="221" t="s">
        <v>30</v>
      </c>
      <c r="F2750" s="223">
        <v>0</v>
      </c>
      <c r="G2750" s="221" t="s">
        <v>71</v>
      </c>
      <c r="H2750" s="221" t="s">
        <v>71</v>
      </c>
      <c r="I2750" s="222"/>
    </row>
    <row r="2751" spans="1:9" x14ac:dyDescent="0.25">
      <c r="A2751" s="220">
        <v>2886</v>
      </c>
      <c r="B2751" s="221" t="s">
        <v>5939</v>
      </c>
      <c r="C2751" s="222" t="s">
        <v>5940</v>
      </c>
      <c r="D2751" s="221" t="s">
        <v>205</v>
      </c>
      <c r="E2751" s="221" t="s">
        <v>395</v>
      </c>
      <c r="F2751" s="223">
        <v>0</v>
      </c>
      <c r="G2751" s="221" t="s">
        <v>71</v>
      </c>
      <c r="H2751" s="221" t="s">
        <v>71</v>
      </c>
      <c r="I2751" s="222"/>
    </row>
    <row r="2752" spans="1:9" x14ac:dyDescent="0.25">
      <c r="A2752" s="220">
        <v>2887</v>
      </c>
      <c r="B2752" s="221" t="s">
        <v>5941</v>
      </c>
      <c r="C2752" s="222" t="s">
        <v>5942</v>
      </c>
      <c r="D2752" s="221" t="s">
        <v>205</v>
      </c>
      <c r="E2752" s="221" t="s">
        <v>30</v>
      </c>
      <c r="F2752" s="223">
        <v>0</v>
      </c>
      <c r="G2752" s="221" t="s">
        <v>71</v>
      </c>
      <c r="H2752" s="221" t="s">
        <v>71</v>
      </c>
      <c r="I2752" s="222"/>
    </row>
    <row r="2753" spans="1:9" x14ac:dyDescent="0.25">
      <c r="A2753" s="220">
        <v>2888</v>
      </c>
      <c r="B2753" s="221" t="s">
        <v>5943</v>
      </c>
      <c r="C2753" s="222" t="s">
        <v>5944</v>
      </c>
      <c r="D2753" s="221" t="s">
        <v>205</v>
      </c>
      <c r="E2753" s="221" t="s">
        <v>395</v>
      </c>
      <c r="F2753" s="223">
        <v>0</v>
      </c>
      <c r="G2753" s="221" t="s">
        <v>71</v>
      </c>
      <c r="H2753" s="221" t="s">
        <v>71</v>
      </c>
      <c r="I2753" s="222"/>
    </row>
    <row r="2754" spans="1:9" x14ac:dyDescent="0.25">
      <c r="A2754" s="220">
        <v>2889</v>
      </c>
      <c r="B2754" s="221" t="s">
        <v>5945</v>
      </c>
      <c r="C2754" s="222" t="s">
        <v>5946</v>
      </c>
      <c r="D2754" s="221" t="s">
        <v>205</v>
      </c>
      <c r="E2754" s="221" t="s">
        <v>30</v>
      </c>
      <c r="F2754" s="223">
        <v>0</v>
      </c>
      <c r="G2754" s="221" t="s">
        <v>71</v>
      </c>
      <c r="H2754" s="221" t="s">
        <v>71</v>
      </c>
      <c r="I2754" s="222"/>
    </row>
    <row r="2755" spans="1:9" x14ac:dyDescent="0.25">
      <c r="A2755" s="220">
        <v>2890</v>
      </c>
      <c r="B2755" s="221" t="s">
        <v>5947</v>
      </c>
      <c r="C2755" s="222" t="s">
        <v>5948</v>
      </c>
      <c r="D2755" s="221" t="s">
        <v>205</v>
      </c>
      <c r="E2755" s="221" t="s">
        <v>30</v>
      </c>
      <c r="F2755" s="223">
        <v>0</v>
      </c>
      <c r="G2755" s="221" t="s">
        <v>71</v>
      </c>
      <c r="H2755" s="221" t="s">
        <v>71</v>
      </c>
      <c r="I2755" s="222"/>
    </row>
    <row r="2756" spans="1:9" x14ac:dyDescent="0.25">
      <c r="A2756" s="220">
        <v>2891</v>
      </c>
      <c r="B2756" s="221" t="s">
        <v>5949</v>
      </c>
      <c r="C2756" s="222" t="s">
        <v>5950</v>
      </c>
      <c r="D2756" s="221" t="s">
        <v>205</v>
      </c>
      <c r="E2756" s="221" t="s">
        <v>30</v>
      </c>
      <c r="F2756" s="223">
        <v>0</v>
      </c>
      <c r="G2756" s="221" t="s">
        <v>71</v>
      </c>
      <c r="H2756" s="221" t="s">
        <v>71</v>
      </c>
      <c r="I2756" s="222"/>
    </row>
    <row r="2757" spans="1:9" x14ac:dyDescent="0.25">
      <c r="A2757" s="220">
        <v>2892</v>
      </c>
      <c r="B2757" s="221" t="s">
        <v>5951</v>
      </c>
      <c r="C2757" s="222" t="s">
        <v>5952</v>
      </c>
      <c r="D2757" s="221" t="s">
        <v>92</v>
      </c>
      <c r="E2757" s="221" t="s">
        <v>395</v>
      </c>
      <c r="F2757" s="223">
        <v>0</v>
      </c>
      <c r="G2757" s="221" t="s">
        <v>71</v>
      </c>
      <c r="H2757" s="221" t="s">
        <v>48</v>
      </c>
      <c r="I2757" s="222"/>
    </row>
    <row r="2758" spans="1:9" x14ac:dyDescent="0.25">
      <c r="A2758" s="220">
        <v>2893</v>
      </c>
      <c r="B2758" s="221" t="s">
        <v>5953</v>
      </c>
      <c r="C2758" s="222" t="s">
        <v>5954</v>
      </c>
      <c r="D2758" s="221" t="s">
        <v>4556</v>
      </c>
      <c r="E2758" s="221" t="s">
        <v>30</v>
      </c>
      <c r="F2758" s="223">
        <v>0</v>
      </c>
      <c r="G2758" s="221" t="s">
        <v>71</v>
      </c>
      <c r="H2758" s="221" t="s">
        <v>71</v>
      </c>
      <c r="I2758" s="222"/>
    </row>
    <row r="2759" spans="1:9" x14ac:dyDescent="0.25">
      <c r="A2759" s="220">
        <v>2894</v>
      </c>
      <c r="B2759" s="221" t="s">
        <v>5955</v>
      </c>
      <c r="C2759" s="222" t="s">
        <v>5956</v>
      </c>
      <c r="D2759" s="221" t="s">
        <v>4556</v>
      </c>
      <c r="E2759" s="221" t="s">
        <v>30</v>
      </c>
      <c r="F2759" s="223">
        <v>0</v>
      </c>
      <c r="G2759" s="221" t="s">
        <v>71</v>
      </c>
      <c r="H2759" s="221" t="s">
        <v>71</v>
      </c>
      <c r="I2759" s="222"/>
    </row>
    <row r="2760" spans="1:9" x14ac:dyDescent="0.25">
      <c r="A2760" s="220">
        <v>2895</v>
      </c>
      <c r="B2760" s="221" t="s">
        <v>5957</v>
      </c>
      <c r="C2760" s="222" t="s">
        <v>5958</v>
      </c>
      <c r="D2760" s="221" t="s">
        <v>4556</v>
      </c>
      <c r="E2760" s="221" t="s">
        <v>30</v>
      </c>
      <c r="F2760" s="223">
        <v>0</v>
      </c>
      <c r="G2760" s="221" t="s">
        <v>71</v>
      </c>
      <c r="H2760" s="221" t="s">
        <v>71</v>
      </c>
      <c r="I2760" s="222"/>
    </row>
    <row r="2761" spans="1:9" x14ac:dyDescent="0.25">
      <c r="A2761" s="220">
        <v>2896</v>
      </c>
      <c r="B2761" s="221" t="s">
        <v>5959</v>
      </c>
      <c r="C2761" s="222" t="s">
        <v>5960</v>
      </c>
      <c r="D2761" s="221" t="s">
        <v>1999</v>
      </c>
      <c r="E2761" s="221" t="s">
        <v>27</v>
      </c>
      <c r="F2761" s="223">
        <v>0</v>
      </c>
      <c r="G2761" s="221" t="s">
        <v>71</v>
      </c>
      <c r="H2761" s="221" t="s">
        <v>71</v>
      </c>
      <c r="I2761" s="222"/>
    </row>
    <row r="2762" spans="1:9" x14ac:dyDescent="0.25">
      <c r="A2762" s="220">
        <v>2897</v>
      </c>
      <c r="B2762" s="221" t="s">
        <v>5961</v>
      </c>
      <c r="C2762" s="222" t="s">
        <v>5962</v>
      </c>
      <c r="D2762" s="221" t="s">
        <v>70</v>
      </c>
      <c r="E2762" s="221" t="s">
        <v>30</v>
      </c>
      <c r="F2762" s="223">
        <v>0</v>
      </c>
      <c r="G2762" s="221" t="s">
        <v>71</v>
      </c>
      <c r="H2762" s="221" t="s">
        <v>71</v>
      </c>
      <c r="I2762" s="222"/>
    </row>
    <row r="2763" spans="1:9" x14ac:dyDescent="0.25">
      <c r="A2763" s="220">
        <v>2898</v>
      </c>
      <c r="B2763" s="221" t="s">
        <v>5963</v>
      </c>
      <c r="C2763" s="222" t="s">
        <v>5964</v>
      </c>
      <c r="D2763" s="221" t="s">
        <v>70</v>
      </c>
      <c r="E2763" s="221" t="s">
        <v>30</v>
      </c>
      <c r="F2763" s="223">
        <v>0</v>
      </c>
      <c r="G2763" s="221" t="s">
        <v>71</v>
      </c>
      <c r="H2763" s="221" t="s">
        <v>71</v>
      </c>
      <c r="I2763" s="222"/>
    </row>
    <row r="2764" spans="1:9" x14ac:dyDescent="0.25">
      <c r="A2764" s="220">
        <v>2899</v>
      </c>
      <c r="B2764" s="221" t="s">
        <v>5965</v>
      </c>
      <c r="C2764" s="222" t="s">
        <v>5966</v>
      </c>
      <c r="D2764" s="221" t="s">
        <v>205</v>
      </c>
      <c r="E2764" s="221" t="s">
        <v>30</v>
      </c>
      <c r="F2764" s="223">
        <v>0</v>
      </c>
      <c r="G2764" s="221" t="s">
        <v>71</v>
      </c>
      <c r="H2764" s="221" t="s">
        <v>71</v>
      </c>
      <c r="I2764" s="222"/>
    </row>
    <row r="2765" spans="1:9" x14ac:dyDescent="0.25">
      <c r="A2765" s="220">
        <v>2900</v>
      </c>
      <c r="B2765" s="221" t="s">
        <v>5967</v>
      </c>
      <c r="C2765" s="222" t="s">
        <v>5968</v>
      </c>
      <c r="D2765" s="221" t="s">
        <v>44</v>
      </c>
      <c r="E2765" s="221" t="s">
        <v>35</v>
      </c>
      <c r="F2765" s="223">
        <v>0</v>
      </c>
      <c r="G2765" s="221" t="s">
        <v>48</v>
      </c>
      <c r="H2765" s="221" t="s">
        <v>48</v>
      </c>
      <c r="I2765" s="222"/>
    </row>
    <row r="2766" spans="1:9" x14ac:dyDescent="0.25">
      <c r="A2766" s="220">
        <v>2901</v>
      </c>
      <c r="B2766" s="221" t="s">
        <v>5969</v>
      </c>
      <c r="C2766" s="222" t="s">
        <v>5970</v>
      </c>
      <c r="D2766" s="221" t="s">
        <v>44</v>
      </c>
      <c r="E2766" s="221" t="s">
        <v>35</v>
      </c>
      <c r="F2766" s="223">
        <v>0</v>
      </c>
      <c r="G2766" s="221" t="s">
        <v>48</v>
      </c>
      <c r="H2766" s="221" t="s">
        <v>48</v>
      </c>
      <c r="I2766" s="222"/>
    </row>
    <row r="2767" spans="1:9" x14ac:dyDescent="0.25">
      <c r="A2767" s="220">
        <v>2902</v>
      </c>
      <c r="B2767" s="221" t="s">
        <v>5971</v>
      </c>
      <c r="C2767" s="222" t="s">
        <v>5972</v>
      </c>
      <c r="D2767" s="221" t="s">
        <v>573</v>
      </c>
      <c r="E2767" s="221" t="s">
        <v>27</v>
      </c>
      <c r="F2767" s="223">
        <v>0</v>
      </c>
      <c r="G2767" s="221" t="s">
        <v>48</v>
      </c>
      <c r="H2767" s="221" t="s">
        <v>48</v>
      </c>
      <c r="I2767" s="222"/>
    </row>
    <row r="2768" spans="1:9" x14ac:dyDescent="0.25">
      <c r="A2768" s="220">
        <v>2903</v>
      </c>
      <c r="B2768" s="221" t="s">
        <v>5973</v>
      </c>
      <c r="C2768" s="222" t="s">
        <v>5974</v>
      </c>
      <c r="D2768" s="221" t="s">
        <v>3862</v>
      </c>
      <c r="E2768" s="221" t="s">
        <v>27</v>
      </c>
      <c r="F2768" s="223">
        <v>0</v>
      </c>
      <c r="G2768" s="221" t="s">
        <v>71</v>
      </c>
      <c r="H2768" s="221" t="s">
        <v>71</v>
      </c>
      <c r="I2768" s="222"/>
    </row>
    <row r="2769" spans="1:9" x14ac:dyDescent="0.25">
      <c r="A2769" s="220">
        <v>2904</v>
      </c>
      <c r="B2769" s="221" t="s">
        <v>5975</v>
      </c>
      <c r="C2769" s="222" t="s">
        <v>5976</v>
      </c>
      <c r="D2769" s="221" t="s">
        <v>1637</v>
      </c>
      <c r="E2769" s="221" t="s">
        <v>27</v>
      </c>
      <c r="F2769" s="223">
        <v>0</v>
      </c>
      <c r="G2769" s="221" t="s">
        <v>48</v>
      </c>
      <c r="H2769" s="221" t="s">
        <v>48</v>
      </c>
      <c r="I2769" s="222"/>
    </row>
    <row r="2770" spans="1:9" x14ac:dyDescent="0.25">
      <c r="A2770" s="220">
        <v>2905</v>
      </c>
      <c r="B2770" s="221" t="s">
        <v>5977</v>
      </c>
      <c r="C2770" s="222" t="s">
        <v>5978</v>
      </c>
      <c r="D2770" s="221" t="s">
        <v>205</v>
      </c>
      <c r="E2770" s="221" t="s">
        <v>395</v>
      </c>
      <c r="F2770" s="223">
        <v>0</v>
      </c>
      <c r="G2770" s="221" t="s">
        <v>71</v>
      </c>
      <c r="H2770" s="221" t="s">
        <v>71</v>
      </c>
      <c r="I2770" s="222"/>
    </row>
    <row r="2771" spans="1:9" x14ac:dyDescent="0.25">
      <c r="A2771" s="220">
        <v>2906</v>
      </c>
      <c r="B2771" s="221" t="s">
        <v>5979</v>
      </c>
      <c r="C2771" s="222" t="s">
        <v>5980</v>
      </c>
      <c r="D2771" s="221" t="s">
        <v>205</v>
      </c>
      <c r="E2771" s="221" t="s">
        <v>395</v>
      </c>
      <c r="F2771" s="223">
        <v>0</v>
      </c>
      <c r="G2771" s="221" t="s">
        <v>71</v>
      </c>
      <c r="H2771" s="221" t="s">
        <v>71</v>
      </c>
      <c r="I2771" s="222"/>
    </row>
    <row r="2772" spans="1:9" x14ac:dyDescent="0.25">
      <c r="A2772" s="220">
        <v>2907</v>
      </c>
      <c r="B2772" s="221" t="s">
        <v>5981</v>
      </c>
      <c r="C2772" s="222" t="s">
        <v>5982</v>
      </c>
      <c r="D2772" s="221" t="s">
        <v>205</v>
      </c>
      <c r="E2772" s="221" t="s">
        <v>395</v>
      </c>
      <c r="F2772" s="223">
        <v>0</v>
      </c>
      <c r="G2772" s="221" t="s">
        <v>71</v>
      </c>
      <c r="H2772" s="221" t="s">
        <v>71</v>
      </c>
      <c r="I2772" s="222"/>
    </row>
    <row r="2773" spans="1:9" x14ac:dyDescent="0.25">
      <c r="A2773" s="220">
        <v>2908</v>
      </c>
      <c r="B2773" s="221" t="s">
        <v>5983</v>
      </c>
      <c r="C2773" s="222" t="s">
        <v>5984</v>
      </c>
      <c r="D2773" s="221" t="s">
        <v>205</v>
      </c>
      <c r="E2773" s="221" t="s">
        <v>395</v>
      </c>
      <c r="F2773" s="223">
        <v>0</v>
      </c>
      <c r="G2773" s="221" t="s">
        <v>71</v>
      </c>
      <c r="H2773" s="221" t="s">
        <v>71</v>
      </c>
      <c r="I2773" s="222"/>
    </row>
    <row r="2774" spans="1:9" x14ac:dyDescent="0.25">
      <c r="A2774" s="220">
        <v>2909</v>
      </c>
      <c r="B2774" s="221" t="s">
        <v>5985</v>
      </c>
      <c r="C2774" s="222" t="s">
        <v>5986</v>
      </c>
      <c r="D2774" s="221" t="s">
        <v>205</v>
      </c>
      <c r="E2774" s="221" t="s">
        <v>395</v>
      </c>
      <c r="F2774" s="223">
        <v>0</v>
      </c>
      <c r="G2774" s="221" t="s">
        <v>71</v>
      </c>
      <c r="H2774" s="221" t="s">
        <v>71</v>
      </c>
      <c r="I2774" s="222"/>
    </row>
    <row r="2775" spans="1:9" x14ac:dyDescent="0.25">
      <c r="A2775" s="220">
        <v>2910</v>
      </c>
      <c r="B2775" s="221" t="s">
        <v>5987</v>
      </c>
      <c r="C2775" s="222" t="s">
        <v>5988</v>
      </c>
      <c r="D2775" s="221" t="s">
        <v>205</v>
      </c>
      <c r="E2775" s="221" t="s">
        <v>395</v>
      </c>
      <c r="F2775" s="223">
        <v>0</v>
      </c>
      <c r="G2775" s="221" t="s">
        <v>71</v>
      </c>
      <c r="H2775" s="221" t="s">
        <v>71</v>
      </c>
      <c r="I2775" s="222"/>
    </row>
    <row r="2776" spans="1:9" x14ac:dyDescent="0.25">
      <c r="A2776" s="220">
        <v>2911</v>
      </c>
      <c r="B2776" s="221" t="s">
        <v>5989</v>
      </c>
      <c r="C2776" s="222" t="s">
        <v>5990</v>
      </c>
      <c r="D2776" s="221" t="s">
        <v>205</v>
      </c>
      <c r="E2776" s="221" t="s">
        <v>395</v>
      </c>
      <c r="F2776" s="223">
        <v>0</v>
      </c>
      <c r="G2776" s="221" t="s">
        <v>71</v>
      </c>
      <c r="H2776" s="221" t="s">
        <v>71</v>
      </c>
      <c r="I2776" s="222"/>
    </row>
    <row r="2777" spans="1:9" x14ac:dyDescent="0.25">
      <c r="A2777" s="220">
        <v>2912</v>
      </c>
      <c r="B2777" s="221" t="s">
        <v>5991</v>
      </c>
      <c r="C2777" s="222" t="s">
        <v>5992</v>
      </c>
      <c r="D2777" s="221" t="s">
        <v>205</v>
      </c>
      <c r="E2777" s="221" t="s">
        <v>395</v>
      </c>
      <c r="F2777" s="223">
        <v>0</v>
      </c>
      <c r="G2777" s="221" t="s">
        <v>71</v>
      </c>
      <c r="H2777" s="221" t="s">
        <v>71</v>
      </c>
      <c r="I2777" s="222"/>
    </row>
    <row r="2778" spans="1:9" x14ac:dyDescent="0.25">
      <c r="A2778" s="220">
        <v>2913</v>
      </c>
      <c r="B2778" s="221" t="s">
        <v>5993</v>
      </c>
      <c r="C2778" s="222" t="s">
        <v>5994</v>
      </c>
      <c r="D2778" s="221" t="s">
        <v>205</v>
      </c>
      <c r="E2778" s="221" t="s">
        <v>395</v>
      </c>
      <c r="F2778" s="223">
        <v>0</v>
      </c>
      <c r="G2778" s="221" t="s">
        <v>71</v>
      </c>
      <c r="H2778" s="221" t="s">
        <v>71</v>
      </c>
      <c r="I2778" s="222"/>
    </row>
    <row r="2779" spans="1:9" x14ac:dyDescent="0.25">
      <c r="A2779" s="220">
        <v>2914</v>
      </c>
      <c r="B2779" s="221" t="s">
        <v>5995</v>
      </c>
      <c r="C2779" s="222" t="s">
        <v>5996</v>
      </c>
      <c r="D2779" s="221" t="s">
        <v>205</v>
      </c>
      <c r="E2779" s="221" t="s">
        <v>395</v>
      </c>
      <c r="F2779" s="223">
        <v>0</v>
      </c>
      <c r="G2779" s="221" t="s">
        <v>71</v>
      </c>
      <c r="H2779" s="221" t="s">
        <v>71</v>
      </c>
      <c r="I2779" s="222"/>
    </row>
    <row r="2780" spans="1:9" x14ac:dyDescent="0.25">
      <c r="A2780" s="220">
        <v>2915</v>
      </c>
      <c r="B2780" s="221" t="s">
        <v>5997</v>
      </c>
      <c r="C2780" s="222" t="s">
        <v>5998</v>
      </c>
      <c r="D2780" s="221" t="s">
        <v>205</v>
      </c>
      <c r="E2780" s="221" t="s">
        <v>395</v>
      </c>
      <c r="F2780" s="223">
        <v>0</v>
      </c>
      <c r="G2780" s="221" t="s">
        <v>71</v>
      </c>
      <c r="H2780" s="221" t="s">
        <v>71</v>
      </c>
      <c r="I2780" s="222"/>
    </row>
    <row r="2781" spans="1:9" x14ac:dyDescent="0.25">
      <c r="A2781" s="220">
        <v>2916</v>
      </c>
      <c r="B2781" s="221" t="s">
        <v>5999</v>
      </c>
      <c r="C2781" s="222" t="s">
        <v>6000</v>
      </c>
      <c r="D2781" s="221" t="s">
        <v>205</v>
      </c>
      <c r="E2781" s="221" t="s">
        <v>395</v>
      </c>
      <c r="F2781" s="223">
        <v>0</v>
      </c>
      <c r="G2781" s="221" t="s">
        <v>71</v>
      </c>
      <c r="H2781" s="221" t="s">
        <v>71</v>
      </c>
      <c r="I2781" s="222"/>
    </row>
    <row r="2782" spans="1:9" x14ac:dyDescent="0.25">
      <c r="A2782" s="220">
        <v>2917</v>
      </c>
      <c r="B2782" s="221" t="s">
        <v>6001</v>
      </c>
      <c r="C2782" s="222" t="s">
        <v>6002</v>
      </c>
      <c r="D2782" s="221" t="s">
        <v>205</v>
      </c>
      <c r="E2782" s="221" t="s">
        <v>395</v>
      </c>
      <c r="F2782" s="223">
        <v>0</v>
      </c>
      <c r="G2782" s="221" t="s">
        <v>71</v>
      </c>
      <c r="H2782" s="221" t="s">
        <v>71</v>
      </c>
      <c r="I2782" s="222"/>
    </row>
    <row r="2783" spans="1:9" x14ac:dyDescent="0.25">
      <c r="A2783" s="220">
        <v>2918</v>
      </c>
      <c r="B2783" s="221" t="s">
        <v>6003</v>
      </c>
      <c r="C2783" s="222" t="s">
        <v>6004</v>
      </c>
      <c r="D2783" s="221" t="s">
        <v>205</v>
      </c>
      <c r="E2783" s="221" t="s">
        <v>30</v>
      </c>
      <c r="F2783" s="223">
        <v>0</v>
      </c>
      <c r="G2783" s="221" t="s">
        <v>71</v>
      </c>
      <c r="H2783" s="221" t="s">
        <v>71</v>
      </c>
      <c r="I2783" s="222"/>
    </row>
    <row r="2784" spans="1:9" x14ac:dyDescent="0.25">
      <c r="A2784" s="220">
        <v>2919</v>
      </c>
      <c r="B2784" s="221" t="s">
        <v>6005</v>
      </c>
      <c r="C2784" s="222" t="s">
        <v>6006</v>
      </c>
      <c r="D2784" s="221" t="s">
        <v>4556</v>
      </c>
      <c r="E2784" s="221" t="s">
        <v>30</v>
      </c>
      <c r="F2784" s="223">
        <v>0</v>
      </c>
      <c r="G2784" s="221" t="s">
        <v>71</v>
      </c>
      <c r="H2784" s="221" t="s">
        <v>71</v>
      </c>
      <c r="I2784" s="222"/>
    </row>
    <row r="2785" spans="1:9" x14ac:dyDescent="0.25">
      <c r="A2785" s="220">
        <v>2920</v>
      </c>
      <c r="B2785" s="221" t="s">
        <v>6007</v>
      </c>
      <c r="C2785" s="222" t="s">
        <v>6008</v>
      </c>
      <c r="D2785" s="221" t="s">
        <v>70</v>
      </c>
      <c r="E2785" s="221" t="s">
        <v>395</v>
      </c>
      <c r="F2785" s="223">
        <v>0</v>
      </c>
      <c r="G2785" s="221" t="s">
        <v>46</v>
      </c>
      <c r="H2785" s="221" t="s">
        <v>71</v>
      </c>
      <c r="I2785" s="222"/>
    </row>
    <row r="2786" spans="1:9" x14ac:dyDescent="0.25">
      <c r="A2786" s="220">
        <v>2922</v>
      </c>
      <c r="B2786" s="221" t="s">
        <v>6009</v>
      </c>
      <c r="C2786" s="222" t="s">
        <v>6010</v>
      </c>
      <c r="D2786" s="221" t="s">
        <v>205</v>
      </c>
      <c r="E2786" s="221" t="s">
        <v>30</v>
      </c>
      <c r="F2786" s="223">
        <v>0</v>
      </c>
      <c r="G2786" s="221" t="s">
        <v>71</v>
      </c>
      <c r="H2786" s="221" t="s">
        <v>71</v>
      </c>
      <c r="I2786" s="222"/>
    </row>
    <row r="2787" spans="1:9" x14ac:dyDescent="0.25">
      <c r="A2787" s="220">
        <v>2923</v>
      </c>
      <c r="B2787" s="221" t="s">
        <v>6011</v>
      </c>
      <c r="C2787" s="222" t="s">
        <v>6012</v>
      </c>
      <c r="D2787" s="221" t="s">
        <v>70</v>
      </c>
      <c r="E2787" s="221" t="s">
        <v>395</v>
      </c>
      <c r="F2787" s="223">
        <v>0</v>
      </c>
      <c r="G2787" s="221" t="s">
        <v>46</v>
      </c>
      <c r="H2787" s="221" t="s">
        <v>71</v>
      </c>
      <c r="I2787" s="222"/>
    </row>
    <row r="2788" spans="1:9" x14ac:dyDescent="0.25">
      <c r="A2788" s="220">
        <v>2924</v>
      </c>
      <c r="B2788" s="221" t="s">
        <v>6013</v>
      </c>
      <c r="C2788" s="222" t="s">
        <v>6014</v>
      </c>
      <c r="D2788" s="221" t="s">
        <v>70</v>
      </c>
      <c r="E2788" s="221" t="s">
        <v>395</v>
      </c>
      <c r="F2788" s="223">
        <v>0</v>
      </c>
      <c r="G2788" s="221" t="s">
        <v>46</v>
      </c>
      <c r="H2788" s="221" t="s">
        <v>71</v>
      </c>
      <c r="I2788" s="222"/>
    </row>
    <row r="2789" spans="1:9" x14ac:dyDescent="0.25">
      <c r="A2789" s="220">
        <v>2925</v>
      </c>
      <c r="B2789" s="221" t="s">
        <v>6015</v>
      </c>
      <c r="C2789" s="222" t="s">
        <v>6016</v>
      </c>
      <c r="D2789" s="221" t="s">
        <v>70</v>
      </c>
      <c r="E2789" s="221" t="s">
        <v>395</v>
      </c>
      <c r="F2789" s="223">
        <v>0</v>
      </c>
      <c r="G2789" s="221" t="s">
        <v>46</v>
      </c>
      <c r="H2789" s="221" t="s">
        <v>71</v>
      </c>
      <c r="I2789" s="222"/>
    </row>
    <row r="2790" spans="1:9" x14ac:dyDescent="0.25">
      <c r="A2790" s="220">
        <v>2926</v>
      </c>
      <c r="B2790" s="221" t="s">
        <v>6017</v>
      </c>
      <c r="C2790" s="222" t="s">
        <v>6018</v>
      </c>
      <c r="D2790" s="221" t="s">
        <v>70</v>
      </c>
      <c r="E2790" s="221" t="s">
        <v>395</v>
      </c>
      <c r="F2790" s="223">
        <v>0</v>
      </c>
      <c r="G2790" s="221" t="s">
        <v>46</v>
      </c>
      <c r="H2790" s="221" t="s">
        <v>71</v>
      </c>
      <c r="I2790" s="222"/>
    </row>
    <row r="2791" spans="1:9" x14ac:dyDescent="0.25">
      <c r="A2791" s="220">
        <v>2927</v>
      </c>
      <c r="B2791" s="221" t="s">
        <v>6019</v>
      </c>
      <c r="C2791" s="222" t="s">
        <v>6020</v>
      </c>
      <c r="D2791" s="221" t="s">
        <v>205</v>
      </c>
      <c r="E2791" s="221" t="s">
        <v>31</v>
      </c>
      <c r="F2791" s="223">
        <v>0</v>
      </c>
      <c r="G2791" s="221" t="s">
        <v>48</v>
      </c>
      <c r="H2791" s="221" t="s">
        <v>48</v>
      </c>
      <c r="I2791" s="222"/>
    </row>
    <row r="2792" spans="1:9" x14ac:dyDescent="0.25">
      <c r="A2792" s="220">
        <v>2928</v>
      </c>
      <c r="B2792" s="221" t="s">
        <v>6021</v>
      </c>
      <c r="C2792" s="222" t="s">
        <v>6022</v>
      </c>
      <c r="D2792" s="221" t="s">
        <v>205</v>
      </c>
      <c r="E2792" s="221" t="s">
        <v>395</v>
      </c>
      <c r="F2792" s="223">
        <v>0</v>
      </c>
      <c r="G2792" s="221" t="s">
        <v>71</v>
      </c>
      <c r="H2792" s="221" t="s">
        <v>71</v>
      </c>
      <c r="I2792" s="222"/>
    </row>
    <row r="2793" spans="1:9" x14ac:dyDescent="0.25">
      <c r="A2793" s="220">
        <v>2929</v>
      </c>
      <c r="B2793" s="221" t="s">
        <v>6023</v>
      </c>
      <c r="C2793" s="222" t="s">
        <v>6024</v>
      </c>
      <c r="D2793" s="221" t="s">
        <v>205</v>
      </c>
      <c r="E2793" s="221" t="s">
        <v>395</v>
      </c>
      <c r="F2793" s="223">
        <v>0</v>
      </c>
      <c r="G2793" s="221" t="s">
        <v>71</v>
      </c>
      <c r="H2793" s="221" t="s">
        <v>71</v>
      </c>
      <c r="I2793" s="222"/>
    </row>
    <row r="2794" spans="1:9" x14ac:dyDescent="0.25">
      <c r="A2794" s="220">
        <v>2930</v>
      </c>
      <c r="B2794" s="221" t="s">
        <v>6025</v>
      </c>
      <c r="C2794" s="222" t="s">
        <v>6026</v>
      </c>
      <c r="D2794" s="221" t="s">
        <v>1535</v>
      </c>
      <c r="E2794" s="221" t="s">
        <v>29</v>
      </c>
      <c r="F2794" s="223">
        <v>0</v>
      </c>
      <c r="G2794" s="221" t="s">
        <v>71</v>
      </c>
      <c r="H2794" s="221" t="s">
        <v>71</v>
      </c>
      <c r="I2794" s="222"/>
    </row>
    <row r="2795" spans="1:9" x14ac:dyDescent="0.25">
      <c r="A2795" s="220">
        <v>2931</v>
      </c>
      <c r="B2795" s="221" t="s">
        <v>6027</v>
      </c>
      <c r="C2795" s="222" t="s">
        <v>6028</v>
      </c>
      <c r="D2795" s="221" t="s">
        <v>205</v>
      </c>
      <c r="E2795" s="221" t="s">
        <v>395</v>
      </c>
      <c r="F2795" s="223">
        <v>0</v>
      </c>
      <c r="G2795" s="221" t="s">
        <v>71</v>
      </c>
      <c r="H2795" s="221" t="s">
        <v>71</v>
      </c>
      <c r="I2795" s="222"/>
    </row>
    <row r="2796" spans="1:9" x14ac:dyDescent="0.25">
      <c r="A2796" s="220">
        <v>2932</v>
      </c>
      <c r="B2796" s="221" t="s">
        <v>6029</v>
      </c>
      <c r="C2796" s="222" t="s">
        <v>6030</v>
      </c>
      <c r="D2796" s="221" t="s">
        <v>205</v>
      </c>
      <c r="E2796" s="221" t="s">
        <v>395</v>
      </c>
      <c r="F2796" s="223">
        <v>0</v>
      </c>
      <c r="G2796" s="221" t="s">
        <v>71</v>
      </c>
      <c r="H2796" s="221" t="s">
        <v>71</v>
      </c>
      <c r="I2796" s="222"/>
    </row>
    <row r="2797" spans="1:9" x14ac:dyDescent="0.25">
      <c r="A2797" s="220">
        <v>2933</v>
      </c>
      <c r="B2797" s="221" t="s">
        <v>6031</v>
      </c>
      <c r="C2797" s="222" t="s">
        <v>6032</v>
      </c>
      <c r="D2797" s="221" t="s">
        <v>205</v>
      </c>
      <c r="E2797" s="221" t="s">
        <v>30</v>
      </c>
      <c r="F2797" s="223">
        <v>0</v>
      </c>
      <c r="G2797" s="221" t="s">
        <v>71</v>
      </c>
      <c r="H2797" s="221" t="s">
        <v>71</v>
      </c>
      <c r="I2797" s="222"/>
    </row>
    <row r="2798" spans="1:9" x14ac:dyDescent="0.25">
      <c r="A2798" s="220">
        <v>2934</v>
      </c>
      <c r="B2798" s="221" t="s">
        <v>6033</v>
      </c>
      <c r="C2798" s="222" t="s">
        <v>6034</v>
      </c>
      <c r="D2798" s="221" t="s">
        <v>205</v>
      </c>
      <c r="E2798" s="221" t="s">
        <v>30</v>
      </c>
      <c r="F2798" s="223">
        <v>0</v>
      </c>
      <c r="G2798" s="221" t="s">
        <v>71</v>
      </c>
      <c r="H2798" s="221" t="s">
        <v>71</v>
      </c>
      <c r="I2798" s="222"/>
    </row>
    <row r="2799" spans="1:9" x14ac:dyDescent="0.25">
      <c r="A2799" s="220">
        <v>2935</v>
      </c>
      <c r="B2799" s="221" t="s">
        <v>6035</v>
      </c>
      <c r="C2799" s="222" t="s">
        <v>6036</v>
      </c>
      <c r="D2799" s="221" t="s">
        <v>205</v>
      </c>
      <c r="E2799" s="221" t="s">
        <v>30</v>
      </c>
      <c r="F2799" s="223">
        <v>0</v>
      </c>
      <c r="G2799" s="221" t="s">
        <v>71</v>
      </c>
      <c r="H2799" s="221" t="s">
        <v>71</v>
      </c>
      <c r="I2799" s="222"/>
    </row>
    <row r="2800" spans="1:9" x14ac:dyDescent="0.25">
      <c r="A2800" s="220">
        <v>2936</v>
      </c>
      <c r="B2800" s="221" t="s">
        <v>6037</v>
      </c>
      <c r="C2800" s="222" t="s">
        <v>6038</v>
      </c>
      <c r="D2800" s="221" t="s">
        <v>205</v>
      </c>
      <c r="E2800" s="221" t="s">
        <v>30</v>
      </c>
      <c r="F2800" s="223">
        <v>0</v>
      </c>
      <c r="G2800" s="221" t="s">
        <v>71</v>
      </c>
      <c r="H2800" s="221" t="s">
        <v>71</v>
      </c>
      <c r="I2800" s="222"/>
    </row>
    <row r="2801" spans="1:9" x14ac:dyDescent="0.25">
      <c r="A2801" s="220">
        <v>2937</v>
      </c>
      <c r="B2801" s="221" t="s">
        <v>6039</v>
      </c>
      <c r="C2801" s="222" t="s">
        <v>6040</v>
      </c>
      <c r="D2801" s="221" t="s">
        <v>70</v>
      </c>
      <c r="E2801" s="221" t="s">
        <v>395</v>
      </c>
      <c r="F2801" s="223">
        <v>0</v>
      </c>
      <c r="G2801" s="221" t="s">
        <v>46</v>
      </c>
      <c r="H2801" s="221" t="s">
        <v>71</v>
      </c>
      <c r="I2801" s="222"/>
    </row>
    <row r="2802" spans="1:9" x14ac:dyDescent="0.25">
      <c r="A2802" s="220">
        <v>2938</v>
      </c>
      <c r="B2802" s="221" t="s">
        <v>6041</v>
      </c>
      <c r="C2802" s="222" t="s">
        <v>6042</v>
      </c>
      <c r="D2802" s="221" t="s">
        <v>44</v>
      </c>
      <c r="E2802" s="221" t="s">
        <v>395</v>
      </c>
      <c r="F2802" s="223">
        <v>0</v>
      </c>
      <c r="G2802" s="221" t="s">
        <v>46</v>
      </c>
      <c r="H2802" s="221" t="s">
        <v>48</v>
      </c>
      <c r="I2802" s="222"/>
    </row>
    <row r="2803" spans="1:9" x14ac:dyDescent="0.25">
      <c r="A2803" s="220">
        <v>2939</v>
      </c>
      <c r="B2803" s="221" t="s">
        <v>6043</v>
      </c>
      <c r="C2803" s="222" t="s">
        <v>6044</v>
      </c>
      <c r="D2803" s="221" t="s">
        <v>4556</v>
      </c>
      <c r="E2803" s="221" t="s">
        <v>38</v>
      </c>
      <c r="F2803" s="223">
        <v>0</v>
      </c>
      <c r="G2803" s="221" t="s">
        <v>71</v>
      </c>
      <c r="H2803" s="221" t="s">
        <v>71</v>
      </c>
      <c r="I2803" s="222"/>
    </row>
    <row r="2804" spans="1:9" x14ac:dyDescent="0.25">
      <c r="A2804" s="220">
        <v>2940</v>
      </c>
      <c r="B2804" s="221" t="s">
        <v>6045</v>
      </c>
      <c r="C2804" s="222" t="s">
        <v>6046</v>
      </c>
      <c r="D2804" s="221" t="s">
        <v>70</v>
      </c>
      <c r="E2804" s="221" t="s">
        <v>30</v>
      </c>
      <c r="F2804" s="223">
        <v>0</v>
      </c>
      <c r="G2804" s="221" t="s">
        <v>71</v>
      </c>
      <c r="H2804" s="221" t="s">
        <v>71</v>
      </c>
      <c r="I2804" s="222"/>
    </row>
    <row r="2805" spans="1:9" x14ac:dyDescent="0.25">
      <c r="A2805" s="220">
        <v>2941</v>
      </c>
      <c r="B2805" s="221" t="s">
        <v>6047</v>
      </c>
      <c r="C2805" s="222" t="s">
        <v>6048</v>
      </c>
      <c r="D2805" s="221" t="s">
        <v>70</v>
      </c>
      <c r="E2805" s="221" t="s">
        <v>30</v>
      </c>
      <c r="F2805" s="223">
        <v>0</v>
      </c>
      <c r="G2805" s="221" t="s">
        <v>71</v>
      </c>
      <c r="H2805" s="221" t="s">
        <v>71</v>
      </c>
      <c r="I2805" s="222"/>
    </row>
    <row r="2806" spans="1:9" x14ac:dyDescent="0.25">
      <c r="A2806" s="220">
        <v>2942</v>
      </c>
      <c r="B2806" s="221" t="s">
        <v>6049</v>
      </c>
      <c r="C2806" s="222" t="s">
        <v>6050</v>
      </c>
      <c r="D2806" s="221" t="s">
        <v>3862</v>
      </c>
      <c r="E2806" s="221" t="s">
        <v>27</v>
      </c>
      <c r="F2806" s="223">
        <v>0</v>
      </c>
      <c r="G2806" s="221" t="s">
        <v>71</v>
      </c>
      <c r="H2806" s="221" t="s">
        <v>71</v>
      </c>
      <c r="I2806" s="222"/>
    </row>
    <row r="2807" spans="1:9" x14ac:dyDescent="0.25">
      <c r="A2807" s="220">
        <v>2943</v>
      </c>
      <c r="B2807" s="221" t="s">
        <v>6051</v>
      </c>
      <c r="C2807" s="222" t="s">
        <v>6052</v>
      </c>
      <c r="D2807" s="221" t="s">
        <v>4556</v>
      </c>
      <c r="E2807" s="221" t="s">
        <v>30</v>
      </c>
      <c r="F2807" s="223">
        <v>0</v>
      </c>
      <c r="G2807" s="221" t="s">
        <v>71</v>
      </c>
      <c r="H2807" s="221" t="s">
        <v>71</v>
      </c>
      <c r="I2807" s="222"/>
    </row>
    <row r="2808" spans="1:9" x14ac:dyDescent="0.25">
      <c r="A2808" s="220">
        <v>2944</v>
      </c>
      <c r="B2808" s="221" t="s">
        <v>6053</v>
      </c>
      <c r="C2808" s="222" t="s">
        <v>6054</v>
      </c>
      <c r="D2808" s="221" t="s">
        <v>2591</v>
      </c>
      <c r="E2808" s="221" t="s">
        <v>27</v>
      </c>
      <c r="F2808" s="223">
        <v>0</v>
      </c>
      <c r="G2808" s="221" t="s">
        <v>48</v>
      </c>
      <c r="H2808" s="221" t="s">
        <v>48</v>
      </c>
      <c r="I2808" s="222"/>
    </row>
    <row r="2809" spans="1:9" x14ac:dyDescent="0.25">
      <c r="A2809" s="220">
        <v>2945</v>
      </c>
      <c r="B2809" s="221" t="s">
        <v>6055</v>
      </c>
      <c r="C2809" s="222" t="s">
        <v>6056</v>
      </c>
      <c r="D2809" s="221" t="s">
        <v>805</v>
      </c>
      <c r="E2809" s="221" t="s">
        <v>27</v>
      </c>
      <c r="F2809" s="223">
        <v>0</v>
      </c>
      <c r="G2809" s="221" t="s">
        <v>48</v>
      </c>
      <c r="H2809" s="221" t="s">
        <v>48</v>
      </c>
      <c r="I2809" s="222"/>
    </row>
    <row r="2810" spans="1:9" x14ac:dyDescent="0.25">
      <c r="A2810" s="220">
        <v>2946</v>
      </c>
      <c r="B2810" s="221"/>
      <c r="C2810" s="222" t="s">
        <v>6057</v>
      </c>
      <c r="D2810" s="221" t="s">
        <v>205</v>
      </c>
      <c r="E2810" s="221" t="s">
        <v>395</v>
      </c>
      <c r="F2810" s="223">
        <v>0</v>
      </c>
      <c r="G2810" s="221" t="s">
        <v>48</v>
      </c>
      <c r="H2810" s="221" t="s">
        <v>48</v>
      </c>
      <c r="I2810" s="222" t="s">
        <v>6058</v>
      </c>
    </row>
    <row r="2811" spans="1:9" x14ac:dyDescent="0.25">
      <c r="A2811" s="220">
        <v>2947</v>
      </c>
      <c r="B2811" s="221" t="s">
        <v>6059</v>
      </c>
      <c r="C2811" s="222" t="s">
        <v>6060</v>
      </c>
      <c r="D2811" s="221" t="s">
        <v>205</v>
      </c>
      <c r="E2811" s="221" t="s">
        <v>30</v>
      </c>
      <c r="F2811" s="223">
        <v>0</v>
      </c>
      <c r="G2811" s="221" t="s">
        <v>71</v>
      </c>
      <c r="H2811" s="221" t="s">
        <v>71</v>
      </c>
      <c r="I2811" s="222"/>
    </row>
    <row r="2812" spans="1:9" x14ac:dyDescent="0.25">
      <c r="A2812" s="220">
        <v>2948</v>
      </c>
      <c r="B2812" s="221" t="s">
        <v>6061</v>
      </c>
      <c r="C2812" s="222" t="s">
        <v>6062</v>
      </c>
      <c r="D2812" s="221" t="s">
        <v>2591</v>
      </c>
      <c r="E2812" s="221" t="s">
        <v>27</v>
      </c>
      <c r="F2812" s="223">
        <v>0</v>
      </c>
      <c r="G2812" s="221" t="s">
        <v>48</v>
      </c>
      <c r="H2812" s="221" t="s">
        <v>48</v>
      </c>
      <c r="I2812" s="222"/>
    </row>
    <row r="2813" spans="1:9" x14ac:dyDescent="0.25">
      <c r="A2813" s="220">
        <v>2949</v>
      </c>
      <c r="B2813" s="221" t="s">
        <v>6063</v>
      </c>
      <c r="C2813" s="222" t="s">
        <v>6064</v>
      </c>
      <c r="D2813" s="221" t="s">
        <v>2591</v>
      </c>
      <c r="E2813" s="221" t="s">
        <v>27</v>
      </c>
      <c r="F2813" s="223">
        <v>0</v>
      </c>
      <c r="G2813" s="221" t="s">
        <v>48</v>
      </c>
      <c r="H2813" s="221" t="s">
        <v>48</v>
      </c>
      <c r="I2813" s="222"/>
    </row>
    <row r="2814" spans="1:9" x14ac:dyDescent="0.25">
      <c r="A2814" s="220">
        <v>2950</v>
      </c>
      <c r="B2814" s="221" t="s">
        <v>6065</v>
      </c>
      <c r="C2814" s="222" t="s">
        <v>6066</v>
      </c>
      <c r="D2814" s="221" t="s">
        <v>4556</v>
      </c>
      <c r="E2814" s="221" t="s">
        <v>30</v>
      </c>
      <c r="F2814" s="223">
        <v>0</v>
      </c>
      <c r="G2814" s="221" t="s">
        <v>71</v>
      </c>
      <c r="H2814" s="221" t="s">
        <v>71</v>
      </c>
      <c r="I2814" s="222" t="s">
        <v>6067</v>
      </c>
    </row>
    <row r="2815" spans="1:9" x14ac:dyDescent="0.25">
      <c r="A2815" s="220">
        <v>2951</v>
      </c>
      <c r="B2815" s="221" t="s">
        <v>6068</v>
      </c>
      <c r="C2815" s="222" t="s">
        <v>6069</v>
      </c>
      <c r="D2815" s="221" t="s">
        <v>205</v>
      </c>
      <c r="E2815" s="221" t="s">
        <v>395</v>
      </c>
      <c r="F2815" s="223">
        <v>0</v>
      </c>
      <c r="G2815" s="221" t="s">
        <v>71</v>
      </c>
      <c r="H2815" s="221" t="s">
        <v>71</v>
      </c>
      <c r="I2815" s="222"/>
    </row>
    <row r="2816" spans="1:9" x14ac:dyDescent="0.25">
      <c r="A2816" s="220">
        <v>2952</v>
      </c>
      <c r="B2816" s="221" t="s">
        <v>6070</v>
      </c>
      <c r="C2816" s="222" t="s">
        <v>6071</v>
      </c>
      <c r="D2816" s="221" t="s">
        <v>573</v>
      </c>
      <c r="E2816" s="221" t="s">
        <v>29</v>
      </c>
      <c r="F2816" s="223">
        <v>0</v>
      </c>
      <c r="G2816" s="221" t="s">
        <v>48</v>
      </c>
      <c r="H2816" s="221" t="s">
        <v>48</v>
      </c>
      <c r="I2816" s="222"/>
    </row>
    <row r="2817" spans="1:9" x14ac:dyDescent="0.25">
      <c r="A2817" s="220">
        <v>2953</v>
      </c>
      <c r="B2817" s="221" t="s">
        <v>6072</v>
      </c>
      <c r="C2817" s="222" t="s">
        <v>6073</v>
      </c>
      <c r="D2817" s="221" t="s">
        <v>3862</v>
      </c>
      <c r="E2817" s="221" t="s">
        <v>27</v>
      </c>
      <c r="F2817" s="223">
        <v>0</v>
      </c>
      <c r="G2817" s="221" t="s">
        <v>71</v>
      </c>
      <c r="H2817" s="221" t="s">
        <v>71</v>
      </c>
      <c r="I2817" s="222"/>
    </row>
    <row r="2818" spans="1:9" x14ac:dyDescent="0.25">
      <c r="A2818" s="220">
        <v>2954</v>
      </c>
      <c r="B2818" s="221" t="s">
        <v>6074</v>
      </c>
      <c r="C2818" s="222" t="s">
        <v>6075</v>
      </c>
      <c r="D2818" s="221" t="s">
        <v>1535</v>
      </c>
      <c r="E2818" s="221" t="s">
        <v>29</v>
      </c>
      <c r="F2818" s="223">
        <v>0</v>
      </c>
      <c r="G2818" s="221" t="s">
        <v>71</v>
      </c>
      <c r="H2818" s="221" t="s">
        <v>71</v>
      </c>
      <c r="I2818" s="222"/>
    </row>
    <row r="2819" spans="1:9" x14ac:dyDescent="0.25">
      <c r="A2819" s="220">
        <v>2955</v>
      </c>
      <c r="B2819" s="221" t="s">
        <v>6076</v>
      </c>
      <c r="C2819" s="222" t="s">
        <v>6077</v>
      </c>
      <c r="D2819" s="221" t="s">
        <v>1494</v>
      </c>
      <c r="E2819" s="221" t="s">
        <v>29</v>
      </c>
      <c r="F2819" s="223">
        <v>0</v>
      </c>
      <c r="G2819" s="221" t="s">
        <v>71</v>
      </c>
      <c r="H2819" s="221" t="s">
        <v>71</v>
      </c>
      <c r="I2819" s="222"/>
    </row>
    <row r="2820" spans="1:9" x14ac:dyDescent="0.25">
      <c r="A2820" s="220">
        <v>2956</v>
      </c>
      <c r="B2820" s="221" t="s">
        <v>6078</v>
      </c>
      <c r="C2820" s="222" t="s">
        <v>6079</v>
      </c>
      <c r="D2820" s="221" t="s">
        <v>4556</v>
      </c>
      <c r="E2820" s="221" t="s">
        <v>30</v>
      </c>
      <c r="F2820" s="223">
        <v>0</v>
      </c>
      <c r="G2820" s="221" t="s">
        <v>71</v>
      </c>
      <c r="H2820" s="221" t="s">
        <v>71</v>
      </c>
      <c r="I2820" s="222"/>
    </row>
    <row r="2821" spans="1:9" x14ac:dyDescent="0.25">
      <c r="A2821" s="220">
        <v>2957</v>
      </c>
      <c r="B2821" s="221" t="s">
        <v>6080</v>
      </c>
      <c r="C2821" s="222" t="s">
        <v>6081</v>
      </c>
      <c r="D2821" s="221" t="s">
        <v>4556</v>
      </c>
      <c r="E2821" s="221" t="s">
        <v>30</v>
      </c>
      <c r="F2821" s="223">
        <v>0</v>
      </c>
      <c r="G2821" s="221" t="s">
        <v>71</v>
      </c>
      <c r="H2821" s="221" t="s">
        <v>71</v>
      </c>
      <c r="I2821" s="222"/>
    </row>
    <row r="2822" spans="1:9" x14ac:dyDescent="0.25">
      <c r="A2822" s="220">
        <v>2958</v>
      </c>
      <c r="B2822" s="221" t="s">
        <v>6082</v>
      </c>
      <c r="C2822" s="222" t="s">
        <v>6083</v>
      </c>
      <c r="D2822" s="221" t="s">
        <v>4556</v>
      </c>
      <c r="E2822" s="221" t="s">
        <v>30</v>
      </c>
      <c r="F2822" s="223">
        <v>0</v>
      </c>
      <c r="G2822" s="221" t="s">
        <v>71</v>
      </c>
      <c r="H2822" s="221" t="s">
        <v>71</v>
      </c>
      <c r="I2822" s="222"/>
    </row>
    <row r="2823" spans="1:9" x14ac:dyDescent="0.25">
      <c r="A2823" s="220">
        <v>2959</v>
      </c>
      <c r="B2823" s="221" t="s">
        <v>6084</v>
      </c>
      <c r="C2823" s="222" t="s">
        <v>6085</v>
      </c>
      <c r="D2823" s="221" t="s">
        <v>91</v>
      </c>
      <c r="E2823" s="221" t="s">
        <v>395</v>
      </c>
      <c r="F2823" s="223">
        <v>0</v>
      </c>
      <c r="G2823" s="221" t="s">
        <v>46</v>
      </c>
      <c r="H2823" s="221" t="s">
        <v>71</v>
      </c>
      <c r="I2823" s="222"/>
    </row>
    <row r="2824" spans="1:9" x14ac:dyDescent="0.25">
      <c r="A2824" s="220">
        <v>2960</v>
      </c>
      <c r="B2824" s="221" t="s">
        <v>6086</v>
      </c>
      <c r="C2824" s="222" t="s">
        <v>6087</v>
      </c>
      <c r="D2824" s="221" t="s">
        <v>44</v>
      </c>
      <c r="E2824" s="221" t="s">
        <v>395</v>
      </c>
      <c r="F2824" s="223">
        <v>0</v>
      </c>
      <c r="G2824" s="221" t="s">
        <v>46</v>
      </c>
      <c r="H2824" s="221" t="s">
        <v>48</v>
      </c>
      <c r="I2824" s="222"/>
    </row>
    <row r="2825" spans="1:9" x14ac:dyDescent="0.25">
      <c r="A2825" s="220">
        <v>2961</v>
      </c>
      <c r="B2825" s="221" t="s">
        <v>6088</v>
      </c>
      <c r="C2825" s="222" t="s">
        <v>6089</v>
      </c>
      <c r="D2825" s="221" t="s">
        <v>205</v>
      </c>
      <c r="E2825" s="221" t="s">
        <v>30</v>
      </c>
      <c r="F2825" s="223">
        <v>0</v>
      </c>
      <c r="G2825" s="221" t="s">
        <v>71</v>
      </c>
      <c r="H2825" s="221" t="s">
        <v>71</v>
      </c>
      <c r="I2825" s="222"/>
    </row>
    <row r="2826" spans="1:9" x14ac:dyDescent="0.25">
      <c r="A2826" s="220">
        <v>2962</v>
      </c>
      <c r="B2826" s="221" t="s">
        <v>6090</v>
      </c>
      <c r="C2826" s="222" t="s">
        <v>6091</v>
      </c>
      <c r="D2826" s="221" t="s">
        <v>205</v>
      </c>
      <c r="E2826" s="221" t="s">
        <v>30</v>
      </c>
      <c r="F2826" s="223">
        <v>0</v>
      </c>
      <c r="G2826" s="221" t="s">
        <v>71</v>
      </c>
      <c r="H2826" s="221" t="s">
        <v>71</v>
      </c>
      <c r="I2826" s="222"/>
    </row>
    <row r="2827" spans="1:9" x14ac:dyDescent="0.25">
      <c r="A2827" s="220">
        <v>2963</v>
      </c>
      <c r="B2827" s="221" t="s">
        <v>6092</v>
      </c>
      <c r="C2827" s="222" t="s">
        <v>6093</v>
      </c>
      <c r="D2827" s="221" t="s">
        <v>205</v>
      </c>
      <c r="E2827" s="221" t="s">
        <v>30</v>
      </c>
      <c r="F2827" s="223">
        <v>0</v>
      </c>
      <c r="G2827" s="221" t="s">
        <v>71</v>
      </c>
      <c r="H2827" s="221" t="s">
        <v>71</v>
      </c>
      <c r="I2827" s="222" t="s">
        <v>6094</v>
      </c>
    </row>
    <row r="2828" spans="1:9" x14ac:dyDescent="0.25">
      <c r="A2828" s="220">
        <v>2964</v>
      </c>
      <c r="B2828" s="221" t="s">
        <v>6095</v>
      </c>
      <c r="C2828" s="222" t="s">
        <v>6096</v>
      </c>
      <c r="D2828" s="221" t="s">
        <v>205</v>
      </c>
      <c r="E2828" s="221" t="s">
        <v>395</v>
      </c>
      <c r="F2828" s="223">
        <v>0</v>
      </c>
      <c r="G2828" s="221" t="s">
        <v>71</v>
      </c>
      <c r="H2828" s="221" t="s">
        <v>71</v>
      </c>
      <c r="I2828" s="222"/>
    </row>
    <row r="2829" spans="1:9" x14ac:dyDescent="0.25">
      <c r="A2829" s="220">
        <v>2965</v>
      </c>
      <c r="B2829" s="221" t="s">
        <v>6097</v>
      </c>
      <c r="C2829" s="222" t="s">
        <v>6098</v>
      </c>
      <c r="D2829" s="221" t="s">
        <v>4556</v>
      </c>
      <c r="E2829" s="221" t="s">
        <v>30</v>
      </c>
      <c r="F2829" s="223">
        <v>0</v>
      </c>
      <c r="G2829" s="221" t="s">
        <v>71</v>
      </c>
      <c r="H2829" s="221" t="s">
        <v>71</v>
      </c>
      <c r="I2829" s="222"/>
    </row>
    <row r="2830" spans="1:9" x14ac:dyDescent="0.25">
      <c r="A2830" s="220">
        <v>2966</v>
      </c>
      <c r="B2830" s="221" t="s">
        <v>6099</v>
      </c>
      <c r="C2830" s="222" t="s">
        <v>6100</v>
      </c>
      <c r="D2830" s="221" t="s">
        <v>4556</v>
      </c>
      <c r="E2830" s="221" t="s">
        <v>30</v>
      </c>
      <c r="F2830" s="223">
        <v>0</v>
      </c>
      <c r="G2830" s="221" t="s">
        <v>71</v>
      </c>
      <c r="H2830" s="221" t="s">
        <v>71</v>
      </c>
      <c r="I2830" s="222"/>
    </row>
    <row r="2831" spans="1:9" x14ac:dyDescent="0.25">
      <c r="A2831" s="220">
        <v>2967</v>
      </c>
      <c r="B2831" s="221" t="s">
        <v>6101</v>
      </c>
      <c r="C2831" s="222" t="s">
        <v>6102</v>
      </c>
      <c r="D2831" s="221" t="s">
        <v>4556</v>
      </c>
      <c r="E2831" s="221" t="s">
        <v>30</v>
      </c>
      <c r="F2831" s="223">
        <v>0</v>
      </c>
      <c r="G2831" s="221" t="s">
        <v>71</v>
      </c>
      <c r="H2831" s="221" t="s">
        <v>71</v>
      </c>
      <c r="I2831" s="222"/>
    </row>
    <row r="2832" spans="1:9" x14ac:dyDescent="0.25">
      <c r="A2832" s="220">
        <v>2968</v>
      </c>
      <c r="B2832" s="221" t="s">
        <v>6103</v>
      </c>
      <c r="C2832" s="222" t="s">
        <v>6104</v>
      </c>
      <c r="D2832" s="221" t="s">
        <v>4556</v>
      </c>
      <c r="E2832" s="221" t="s">
        <v>30</v>
      </c>
      <c r="F2832" s="223">
        <v>0</v>
      </c>
      <c r="G2832" s="221" t="s">
        <v>71</v>
      </c>
      <c r="H2832" s="221" t="s">
        <v>71</v>
      </c>
      <c r="I2832" s="222"/>
    </row>
    <row r="2833" spans="1:9" x14ac:dyDescent="0.25">
      <c r="A2833" s="220">
        <v>2969</v>
      </c>
      <c r="B2833" s="221" t="s">
        <v>6105</v>
      </c>
      <c r="C2833" s="222" t="s">
        <v>6106</v>
      </c>
      <c r="D2833" s="221" t="s">
        <v>573</v>
      </c>
      <c r="E2833" s="221" t="s">
        <v>29</v>
      </c>
      <c r="F2833" s="223">
        <v>0</v>
      </c>
      <c r="G2833" s="221" t="s">
        <v>48</v>
      </c>
      <c r="H2833" s="221" t="s">
        <v>48</v>
      </c>
      <c r="I2833" s="222"/>
    </row>
    <row r="2834" spans="1:9" x14ac:dyDescent="0.25">
      <c r="A2834" s="220">
        <v>2970</v>
      </c>
      <c r="B2834" s="221" t="s">
        <v>6107</v>
      </c>
      <c r="C2834" s="222" t="s">
        <v>6108</v>
      </c>
      <c r="D2834" s="221" t="s">
        <v>573</v>
      </c>
      <c r="E2834" s="221" t="s">
        <v>29</v>
      </c>
      <c r="F2834" s="223">
        <v>0</v>
      </c>
      <c r="G2834" s="221" t="s">
        <v>48</v>
      </c>
      <c r="H2834" s="221" t="s">
        <v>48</v>
      </c>
      <c r="I2834" s="222"/>
    </row>
    <row r="2835" spans="1:9" x14ac:dyDescent="0.25">
      <c r="A2835" s="220">
        <v>2971</v>
      </c>
      <c r="B2835" s="221" t="s">
        <v>6109</v>
      </c>
      <c r="C2835" s="222" t="s">
        <v>6110</v>
      </c>
      <c r="D2835" s="221" t="s">
        <v>573</v>
      </c>
      <c r="E2835" s="221" t="s">
        <v>29</v>
      </c>
      <c r="F2835" s="223">
        <v>0</v>
      </c>
      <c r="G2835" s="221" t="s">
        <v>48</v>
      </c>
      <c r="H2835" s="221" t="s">
        <v>48</v>
      </c>
      <c r="I2835" s="222"/>
    </row>
    <row r="2836" spans="1:9" x14ac:dyDescent="0.25">
      <c r="A2836" s="220">
        <v>2972</v>
      </c>
      <c r="B2836" s="221" t="s">
        <v>6111</v>
      </c>
      <c r="C2836" s="222" t="s">
        <v>6112</v>
      </c>
      <c r="D2836" s="221" t="s">
        <v>573</v>
      </c>
      <c r="E2836" s="221" t="s">
        <v>29</v>
      </c>
      <c r="F2836" s="223">
        <v>0</v>
      </c>
      <c r="G2836" s="221" t="s">
        <v>48</v>
      </c>
      <c r="H2836" s="221" t="s">
        <v>48</v>
      </c>
      <c r="I2836" s="222"/>
    </row>
    <row r="2837" spans="1:9" x14ac:dyDescent="0.25">
      <c r="A2837" s="220">
        <v>2973</v>
      </c>
      <c r="B2837" s="221" t="s">
        <v>6113</v>
      </c>
      <c r="C2837" s="222" t="s">
        <v>6114</v>
      </c>
      <c r="D2837" s="221" t="s">
        <v>3862</v>
      </c>
      <c r="E2837" s="221" t="s">
        <v>27</v>
      </c>
      <c r="F2837" s="223">
        <v>0</v>
      </c>
      <c r="G2837" s="221" t="s">
        <v>71</v>
      </c>
      <c r="H2837" s="221" t="s">
        <v>71</v>
      </c>
      <c r="I2837" s="222"/>
    </row>
    <row r="2838" spans="1:9" x14ac:dyDescent="0.25">
      <c r="A2838" s="220">
        <v>2974</v>
      </c>
      <c r="B2838" s="221" t="s">
        <v>6115</v>
      </c>
      <c r="C2838" s="222" t="s">
        <v>6116</v>
      </c>
      <c r="D2838" s="221" t="s">
        <v>4556</v>
      </c>
      <c r="E2838" s="221" t="s">
        <v>30</v>
      </c>
      <c r="F2838" s="223">
        <v>0</v>
      </c>
      <c r="G2838" s="221" t="s">
        <v>71</v>
      </c>
      <c r="H2838" s="221" t="s">
        <v>71</v>
      </c>
      <c r="I2838" s="222"/>
    </row>
    <row r="2839" spans="1:9" x14ac:dyDescent="0.25">
      <c r="A2839" s="220">
        <v>2975</v>
      </c>
      <c r="B2839" s="221" t="s">
        <v>6117</v>
      </c>
      <c r="C2839" s="222" t="s">
        <v>6118</v>
      </c>
      <c r="D2839" s="221" t="s">
        <v>4556</v>
      </c>
      <c r="E2839" s="221" t="s">
        <v>30</v>
      </c>
      <c r="F2839" s="223">
        <v>0</v>
      </c>
      <c r="G2839" s="221" t="s">
        <v>71</v>
      </c>
      <c r="H2839" s="221" t="s">
        <v>71</v>
      </c>
      <c r="I2839" s="222"/>
    </row>
    <row r="2840" spans="1:9" x14ac:dyDescent="0.25">
      <c r="A2840" s="220">
        <v>2976</v>
      </c>
      <c r="B2840" s="221" t="s">
        <v>6119</v>
      </c>
      <c r="C2840" s="222" t="s">
        <v>6120</v>
      </c>
      <c r="D2840" s="221" t="s">
        <v>4556</v>
      </c>
      <c r="E2840" s="221" t="s">
        <v>30</v>
      </c>
      <c r="F2840" s="223">
        <v>0</v>
      </c>
      <c r="G2840" s="221" t="s">
        <v>71</v>
      </c>
      <c r="H2840" s="221" t="s">
        <v>71</v>
      </c>
      <c r="I2840" s="222"/>
    </row>
    <row r="2841" spans="1:9" x14ac:dyDescent="0.25">
      <c r="A2841" s="220">
        <v>2977</v>
      </c>
      <c r="B2841" s="221" t="s">
        <v>6121</v>
      </c>
      <c r="C2841" s="222" t="s">
        <v>6122</v>
      </c>
      <c r="D2841" s="221" t="s">
        <v>4556</v>
      </c>
      <c r="E2841" s="221" t="s">
        <v>30</v>
      </c>
      <c r="F2841" s="223">
        <v>0</v>
      </c>
      <c r="G2841" s="221" t="s">
        <v>71</v>
      </c>
      <c r="H2841" s="221" t="s">
        <v>71</v>
      </c>
      <c r="I2841" s="222"/>
    </row>
    <row r="2842" spans="1:9" x14ac:dyDescent="0.25">
      <c r="A2842" s="220">
        <v>2978</v>
      </c>
      <c r="B2842" s="221" t="s">
        <v>6123</v>
      </c>
      <c r="C2842" s="222" t="s">
        <v>6124</v>
      </c>
      <c r="D2842" s="221" t="s">
        <v>4556</v>
      </c>
      <c r="E2842" s="221" t="s">
        <v>30</v>
      </c>
      <c r="F2842" s="223">
        <v>0</v>
      </c>
      <c r="G2842" s="221" t="s">
        <v>71</v>
      </c>
      <c r="H2842" s="221" t="s">
        <v>71</v>
      </c>
      <c r="I2842" s="222"/>
    </row>
    <row r="2843" spans="1:9" x14ac:dyDescent="0.25">
      <c r="A2843" s="220">
        <v>2979</v>
      </c>
      <c r="B2843" s="221" t="s">
        <v>6125</v>
      </c>
      <c r="C2843" s="222" t="s">
        <v>6126</v>
      </c>
      <c r="D2843" s="221" t="s">
        <v>4556</v>
      </c>
      <c r="E2843" s="221" t="s">
        <v>30</v>
      </c>
      <c r="F2843" s="223">
        <v>0</v>
      </c>
      <c r="G2843" s="221" t="s">
        <v>71</v>
      </c>
      <c r="H2843" s="221" t="s">
        <v>71</v>
      </c>
      <c r="I2843" s="222"/>
    </row>
    <row r="2844" spans="1:9" x14ac:dyDescent="0.25">
      <c r="A2844" s="220">
        <v>2980</v>
      </c>
      <c r="B2844" s="221" t="s">
        <v>6127</v>
      </c>
      <c r="C2844" s="222" t="s">
        <v>6128</v>
      </c>
      <c r="D2844" s="221" t="s">
        <v>4556</v>
      </c>
      <c r="E2844" s="221" t="s">
        <v>30</v>
      </c>
      <c r="F2844" s="223">
        <v>0</v>
      </c>
      <c r="G2844" s="221" t="s">
        <v>71</v>
      </c>
      <c r="H2844" s="221" t="s">
        <v>71</v>
      </c>
      <c r="I2844" s="222"/>
    </row>
    <row r="2845" spans="1:9" x14ac:dyDescent="0.25">
      <c r="A2845" s="220">
        <v>2981</v>
      </c>
      <c r="B2845" s="221" t="s">
        <v>6129</v>
      </c>
      <c r="C2845" s="222" t="s">
        <v>6130</v>
      </c>
      <c r="D2845" s="221" t="s">
        <v>4556</v>
      </c>
      <c r="E2845" s="221" t="s">
        <v>30</v>
      </c>
      <c r="F2845" s="223">
        <v>0</v>
      </c>
      <c r="G2845" s="221" t="s">
        <v>71</v>
      </c>
      <c r="H2845" s="221" t="s">
        <v>71</v>
      </c>
      <c r="I2845" s="222"/>
    </row>
    <row r="2846" spans="1:9" x14ac:dyDescent="0.25">
      <c r="A2846" s="220">
        <v>2982</v>
      </c>
      <c r="B2846" s="221" t="s">
        <v>6131</v>
      </c>
      <c r="C2846" s="222" t="s">
        <v>6132</v>
      </c>
      <c r="D2846" s="221" t="s">
        <v>4556</v>
      </c>
      <c r="E2846" s="221" t="s">
        <v>30</v>
      </c>
      <c r="F2846" s="223">
        <v>0</v>
      </c>
      <c r="G2846" s="221" t="s">
        <v>71</v>
      </c>
      <c r="H2846" s="221" t="s">
        <v>71</v>
      </c>
      <c r="I2846" s="222"/>
    </row>
    <row r="2847" spans="1:9" x14ac:dyDescent="0.25">
      <c r="A2847" s="220">
        <v>2983</v>
      </c>
      <c r="B2847" s="221" t="s">
        <v>6133</v>
      </c>
      <c r="C2847" s="222" t="s">
        <v>6134</v>
      </c>
      <c r="D2847" s="221" t="s">
        <v>4556</v>
      </c>
      <c r="E2847" s="221" t="s">
        <v>30</v>
      </c>
      <c r="F2847" s="223">
        <v>0</v>
      </c>
      <c r="G2847" s="221" t="s">
        <v>71</v>
      </c>
      <c r="H2847" s="221" t="s">
        <v>71</v>
      </c>
      <c r="I2847" s="222"/>
    </row>
    <row r="2848" spans="1:9" x14ac:dyDescent="0.25">
      <c r="A2848" s="220">
        <v>2984</v>
      </c>
      <c r="B2848" s="221" t="s">
        <v>6135</v>
      </c>
      <c r="C2848" s="222" t="s">
        <v>6136</v>
      </c>
      <c r="D2848" s="221" t="s">
        <v>4556</v>
      </c>
      <c r="E2848" s="221" t="s">
        <v>30</v>
      </c>
      <c r="F2848" s="223">
        <v>0</v>
      </c>
      <c r="G2848" s="221" t="s">
        <v>71</v>
      </c>
      <c r="H2848" s="221" t="s">
        <v>71</v>
      </c>
      <c r="I2848" s="222"/>
    </row>
    <row r="2849" spans="1:9" x14ac:dyDescent="0.25">
      <c r="A2849" s="220">
        <v>2985</v>
      </c>
      <c r="B2849" s="221" t="s">
        <v>6137</v>
      </c>
      <c r="C2849" s="222" t="s">
        <v>6138</v>
      </c>
      <c r="D2849" s="221" t="s">
        <v>4556</v>
      </c>
      <c r="E2849" s="221" t="s">
        <v>30</v>
      </c>
      <c r="F2849" s="223">
        <v>0</v>
      </c>
      <c r="G2849" s="221" t="s">
        <v>71</v>
      </c>
      <c r="H2849" s="221" t="s">
        <v>71</v>
      </c>
      <c r="I2849" s="222"/>
    </row>
    <row r="2850" spans="1:9" x14ac:dyDescent="0.25">
      <c r="A2850" s="220">
        <v>2986</v>
      </c>
      <c r="B2850" s="221" t="s">
        <v>6139</v>
      </c>
      <c r="C2850" s="222" t="s">
        <v>6140</v>
      </c>
      <c r="D2850" s="221" t="s">
        <v>4556</v>
      </c>
      <c r="E2850" s="221" t="s">
        <v>30</v>
      </c>
      <c r="F2850" s="223">
        <v>0</v>
      </c>
      <c r="G2850" s="221" t="s">
        <v>71</v>
      </c>
      <c r="H2850" s="221" t="s">
        <v>71</v>
      </c>
      <c r="I2850" s="222"/>
    </row>
    <row r="2851" spans="1:9" x14ac:dyDescent="0.25">
      <c r="A2851" s="220">
        <v>2987</v>
      </c>
      <c r="B2851" s="221" t="s">
        <v>6141</v>
      </c>
      <c r="C2851" s="222" t="s">
        <v>6142</v>
      </c>
      <c r="D2851" s="221" t="s">
        <v>4556</v>
      </c>
      <c r="E2851" s="221" t="s">
        <v>30</v>
      </c>
      <c r="F2851" s="223">
        <v>0</v>
      </c>
      <c r="G2851" s="221" t="s">
        <v>71</v>
      </c>
      <c r="H2851" s="221" t="s">
        <v>71</v>
      </c>
      <c r="I2851" s="222" t="s">
        <v>6143</v>
      </c>
    </row>
    <row r="2852" spans="1:9" x14ac:dyDescent="0.25">
      <c r="A2852" s="220">
        <v>2989</v>
      </c>
      <c r="B2852" s="221" t="s">
        <v>6144</v>
      </c>
      <c r="C2852" s="222" t="s">
        <v>6145</v>
      </c>
      <c r="D2852" s="221" t="s">
        <v>3862</v>
      </c>
      <c r="E2852" s="221" t="s">
        <v>27</v>
      </c>
      <c r="F2852" s="223">
        <v>0</v>
      </c>
      <c r="G2852" s="221" t="s">
        <v>71</v>
      </c>
      <c r="H2852" s="221" t="s">
        <v>71</v>
      </c>
      <c r="I2852" s="222"/>
    </row>
    <row r="2853" spans="1:9" x14ac:dyDescent="0.25">
      <c r="A2853" s="220">
        <v>2990</v>
      </c>
      <c r="B2853" s="221" t="s">
        <v>6146</v>
      </c>
      <c r="C2853" s="222" t="s">
        <v>6147</v>
      </c>
      <c r="D2853" s="221" t="s">
        <v>1637</v>
      </c>
      <c r="E2853" s="221" t="s">
        <v>27</v>
      </c>
      <c r="F2853" s="223">
        <v>0</v>
      </c>
      <c r="G2853" s="221" t="s">
        <v>48</v>
      </c>
      <c r="H2853" s="221" t="s">
        <v>48</v>
      </c>
      <c r="I2853" s="222"/>
    </row>
    <row r="2854" spans="1:9" x14ac:dyDescent="0.25">
      <c r="A2854" s="220">
        <v>2992</v>
      </c>
      <c r="B2854" s="221" t="s">
        <v>6148</v>
      </c>
      <c r="C2854" s="222" t="s">
        <v>6149</v>
      </c>
      <c r="D2854" s="221" t="s">
        <v>70</v>
      </c>
      <c r="E2854" s="221" t="s">
        <v>395</v>
      </c>
      <c r="F2854" s="223">
        <v>0</v>
      </c>
      <c r="G2854" s="221" t="s">
        <v>46</v>
      </c>
      <c r="H2854" s="221" t="s">
        <v>71</v>
      </c>
      <c r="I2854" s="222"/>
    </row>
    <row r="2855" spans="1:9" x14ac:dyDescent="0.25">
      <c r="A2855" s="220">
        <v>2993</v>
      </c>
      <c r="B2855" s="221" t="s">
        <v>6150</v>
      </c>
      <c r="C2855" s="222" t="s">
        <v>6151</v>
      </c>
      <c r="D2855" s="221" t="s">
        <v>70</v>
      </c>
      <c r="E2855" s="221" t="s">
        <v>395</v>
      </c>
      <c r="F2855" s="223">
        <v>0</v>
      </c>
      <c r="G2855" s="221" t="s">
        <v>46</v>
      </c>
      <c r="H2855" s="221" t="s">
        <v>71</v>
      </c>
      <c r="I2855" s="222"/>
    </row>
    <row r="2856" spans="1:9" x14ac:dyDescent="0.25">
      <c r="A2856" s="220">
        <v>2994</v>
      </c>
      <c r="B2856" s="221" t="s">
        <v>6152</v>
      </c>
      <c r="C2856" s="222" t="s">
        <v>6153</v>
      </c>
      <c r="D2856" s="221" t="s">
        <v>70</v>
      </c>
      <c r="E2856" s="221" t="s">
        <v>395</v>
      </c>
      <c r="F2856" s="223">
        <v>0</v>
      </c>
      <c r="G2856" s="221" t="s">
        <v>46</v>
      </c>
      <c r="H2856" s="221" t="s">
        <v>71</v>
      </c>
      <c r="I2856" s="222"/>
    </row>
    <row r="2857" spans="1:9" x14ac:dyDescent="0.25">
      <c r="A2857" s="220">
        <v>2995</v>
      </c>
      <c r="B2857" s="221" t="s">
        <v>6154</v>
      </c>
      <c r="C2857" s="222" t="s">
        <v>6155</v>
      </c>
      <c r="D2857" s="221" t="s">
        <v>70</v>
      </c>
      <c r="E2857" s="221" t="s">
        <v>395</v>
      </c>
      <c r="F2857" s="223">
        <v>0</v>
      </c>
      <c r="G2857" s="221" t="s">
        <v>46</v>
      </c>
      <c r="H2857" s="221" t="s">
        <v>71</v>
      </c>
      <c r="I2857" s="222"/>
    </row>
    <row r="2858" spans="1:9" x14ac:dyDescent="0.25">
      <c r="A2858" s="220">
        <v>2996</v>
      </c>
      <c r="B2858" s="221" t="s">
        <v>6156</v>
      </c>
      <c r="C2858" s="222" t="s">
        <v>6157</v>
      </c>
      <c r="D2858" s="221" t="s">
        <v>205</v>
      </c>
      <c r="E2858" s="221" t="s">
        <v>30</v>
      </c>
      <c r="F2858" s="223">
        <v>0</v>
      </c>
      <c r="G2858" s="221" t="s">
        <v>71</v>
      </c>
      <c r="H2858" s="221" t="s">
        <v>71</v>
      </c>
      <c r="I2858" s="222"/>
    </row>
    <row r="2859" spans="1:9" x14ac:dyDescent="0.25">
      <c r="A2859" s="220">
        <v>2997</v>
      </c>
      <c r="B2859" s="221" t="s">
        <v>6158</v>
      </c>
      <c r="C2859" s="222" t="s">
        <v>6159</v>
      </c>
      <c r="D2859" s="221" t="s">
        <v>796</v>
      </c>
      <c r="E2859" s="221" t="s">
        <v>28</v>
      </c>
      <c r="F2859" s="223">
        <v>0</v>
      </c>
      <c r="G2859" s="221" t="s">
        <v>71</v>
      </c>
      <c r="H2859" s="221" t="s">
        <v>71</v>
      </c>
      <c r="I2859" s="222"/>
    </row>
    <row r="2860" spans="1:9" x14ac:dyDescent="0.25">
      <c r="A2860" s="220">
        <v>2998</v>
      </c>
      <c r="B2860" s="221" t="s">
        <v>6160</v>
      </c>
      <c r="C2860" s="222" t="s">
        <v>6161</v>
      </c>
      <c r="D2860" s="221" t="s">
        <v>796</v>
      </c>
      <c r="E2860" s="221" t="s">
        <v>28</v>
      </c>
      <c r="F2860" s="223">
        <v>0</v>
      </c>
      <c r="G2860" s="221" t="s">
        <v>71</v>
      </c>
      <c r="H2860" s="221" t="s">
        <v>71</v>
      </c>
      <c r="I2860" s="222"/>
    </row>
    <row r="2861" spans="1:9" x14ac:dyDescent="0.25">
      <c r="A2861" s="220">
        <v>2999</v>
      </c>
      <c r="B2861" s="221" t="s">
        <v>6162</v>
      </c>
      <c r="C2861" s="222" t="s">
        <v>6163</v>
      </c>
      <c r="D2861" s="221" t="s">
        <v>4556</v>
      </c>
      <c r="E2861" s="221" t="s">
        <v>28</v>
      </c>
      <c r="F2861" s="223">
        <v>0</v>
      </c>
      <c r="G2861" s="221" t="s">
        <v>71</v>
      </c>
      <c r="H2861" s="221" t="s">
        <v>71</v>
      </c>
      <c r="I2861" s="222"/>
    </row>
    <row r="2862" spans="1:9" x14ac:dyDescent="0.25">
      <c r="A2862" s="220">
        <v>3000</v>
      </c>
      <c r="B2862" s="221" t="s">
        <v>6164</v>
      </c>
      <c r="C2862" s="222" t="s">
        <v>6165</v>
      </c>
      <c r="D2862" s="221" t="s">
        <v>360</v>
      </c>
      <c r="E2862" s="221" t="s">
        <v>27</v>
      </c>
      <c r="F2862" s="223">
        <v>0</v>
      </c>
      <c r="G2862" s="221" t="s">
        <v>48</v>
      </c>
      <c r="H2862" s="221" t="s">
        <v>48</v>
      </c>
      <c r="I2862" s="222" t="s">
        <v>6166</v>
      </c>
    </row>
    <row r="2863" spans="1:9" x14ac:dyDescent="0.25">
      <c r="A2863" s="220">
        <v>3001</v>
      </c>
      <c r="B2863" s="221" t="s">
        <v>6167</v>
      </c>
      <c r="C2863" s="222" t="s">
        <v>6168</v>
      </c>
      <c r="D2863" s="221" t="s">
        <v>3862</v>
      </c>
      <c r="E2863" s="221" t="s">
        <v>27</v>
      </c>
      <c r="F2863" s="223">
        <v>0</v>
      </c>
      <c r="G2863" s="221" t="s">
        <v>71</v>
      </c>
      <c r="H2863" s="221" t="s">
        <v>71</v>
      </c>
      <c r="I2863" s="222"/>
    </row>
    <row r="2864" spans="1:9" x14ac:dyDescent="0.25">
      <c r="A2864" s="220">
        <v>3002</v>
      </c>
      <c r="B2864" s="221" t="s">
        <v>6169</v>
      </c>
      <c r="C2864" s="222" t="s">
        <v>6170</v>
      </c>
      <c r="D2864" s="221" t="s">
        <v>4556</v>
      </c>
      <c r="E2864" s="221" t="s">
        <v>30</v>
      </c>
      <c r="F2864" s="223">
        <v>0</v>
      </c>
      <c r="G2864" s="221" t="s">
        <v>71</v>
      </c>
      <c r="H2864" s="221" t="s">
        <v>71</v>
      </c>
      <c r="I2864" s="222"/>
    </row>
    <row r="2865" spans="1:9" x14ac:dyDescent="0.25">
      <c r="A2865" s="220">
        <v>3003</v>
      </c>
      <c r="B2865" s="221" t="s">
        <v>6171</v>
      </c>
      <c r="C2865" s="222" t="s">
        <v>6172</v>
      </c>
      <c r="D2865" s="221" t="s">
        <v>4556</v>
      </c>
      <c r="E2865" s="221" t="s">
        <v>30</v>
      </c>
      <c r="F2865" s="223">
        <v>0</v>
      </c>
      <c r="G2865" s="221" t="s">
        <v>71</v>
      </c>
      <c r="H2865" s="221" t="s">
        <v>71</v>
      </c>
      <c r="I2865" s="222"/>
    </row>
    <row r="2866" spans="1:9" x14ac:dyDescent="0.25">
      <c r="A2866" s="220">
        <v>3004</v>
      </c>
      <c r="B2866" s="221" t="s">
        <v>6173</v>
      </c>
      <c r="C2866" s="222" t="s">
        <v>6174</v>
      </c>
      <c r="D2866" s="221" t="s">
        <v>4556</v>
      </c>
      <c r="E2866" s="221" t="s">
        <v>30</v>
      </c>
      <c r="F2866" s="223">
        <v>0</v>
      </c>
      <c r="G2866" s="221" t="s">
        <v>71</v>
      </c>
      <c r="H2866" s="221" t="s">
        <v>71</v>
      </c>
      <c r="I2866" s="222"/>
    </row>
    <row r="2867" spans="1:9" x14ac:dyDescent="0.25">
      <c r="A2867" s="220">
        <v>3005</v>
      </c>
      <c r="B2867" s="221" t="s">
        <v>6175</v>
      </c>
      <c r="C2867" s="222" t="s">
        <v>6176</v>
      </c>
      <c r="D2867" s="221" t="s">
        <v>70</v>
      </c>
      <c r="E2867" s="221" t="s">
        <v>30</v>
      </c>
      <c r="F2867" s="223">
        <v>0</v>
      </c>
      <c r="G2867" s="221" t="s">
        <v>71</v>
      </c>
      <c r="H2867" s="221" t="s">
        <v>71</v>
      </c>
      <c r="I2867" s="222"/>
    </row>
    <row r="2868" spans="1:9" x14ac:dyDescent="0.25">
      <c r="A2868" s="220">
        <v>3006</v>
      </c>
      <c r="B2868" s="221" t="s">
        <v>6177</v>
      </c>
      <c r="C2868" s="222" t="s">
        <v>6178</v>
      </c>
      <c r="D2868" s="221" t="s">
        <v>70</v>
      </c>
      <c r="E2868" s="221" t="s">
        <v>30</v>
      </c>
      <c r="F2868" s="223">
        <v>0</v>
      </c>
      <c r="G2868" s="221" t="s">
        <v>71</v>
      </c>
      <c r="H2868" s="221" t="s">
        <v>71</v>
      </c>
      <c r="I2868" s="222"/>
    </row>
    <row r="2869" spans="1:9" x14ac:dyDescent="0.25">
      <c r="A2869" s="220">
        <v>3007</v>
      </c>
      <c r="B2869" s="221" t="s">
        <v>6179</v>
      </c>
      <c r="C2869" s="222" t="s">
        <v>6180</v>
      </c>
      <c r="D2869" s="221" t="s">
        <v>70</v>
      </c>
      <c r="E2869" s="221" t="s">
        <v>30</v>
      </c>
      <c r="F2869" s="223">
        <v>0</v>
      </c>
      <c r="G2869" s="221" t="s">
        <v>71</v>
      </c>
      <c r="H2869" s="221" t="s">
        <v>71</v>
      </c>
      <c r="I2869" s="222"/>
    </row>
    <row r="2870" spans="1:9" x14ac:dyDescent="0.25">
      <c r="A2870" s="220">
        <v>3008</v>
      </c>
      <c r="B2870" s="221" t="s">
        <v>6181</v>
      </c>
      <c r="C2870" s="222" t="s">
        <v>6182</v>
      </c>
      <c r="D2870" s="221" t="s">
        <v>70</v>
      </c>
      <c r="E2870" s="221" t="s">
        <v>30</v>
      </c>
      <c r="F2870" s="223">
        <v>0</v>
      </c>
      <c r="G2870" s="221" t="s">
        <v>71</v>
      </c>
      <c r="H2870" s="221" t="s">
        <v>71</v>
      </c>
      <c r="I2870" s="222"/>
    </row>
    <row r="2871" spans="1:9" x14ac:dyDescent="0.25">
      <c r="A2871" s="220">
        <v>3010</v>
      </c>
      <c r="B2871" s="221" t="s">
        <v>6183</v>
      </c>
      <c r="C2871" s="222" t="s">
        <v>6184</v>
      </c>
      <c r="D2871" s="221" t="s">
        <v>70</v>
      </c>
      <c r="E2871" s="221" t="s">
        <v>30</v>
      </c>
      <c r="F2871" s="223">
        <v>0</v>
      </c>
      <c r="G2871" s="221" t="s">
        <v>71</v>
      </c>
      <c r="H2871" s="221" t="s">
        <v>71</v>
      </c>
      <c r="I2871" s="222"/>
    </row>
    <row r="2872" spans="1:9" x14ac:dyDescent="0.25">
      <c r="A2872" s="220">
        <v>3011</v>
      </c>
      <c r="B2872" s="221" t="s">
        <v>6185</v>
      </c>
      <c r="C2872" s="222" t="s">
        <v>6186</v>
      </c>
      <c r="D2872" s="221" t="s">
        <v>6187</v>
      </c>
      <c r="E2872" s="221" t="s">
        <v>37</v>
      </c>
      <c r="F2872" s="223">
        <v>0</v>
      </c>
      <c r="G2872" s="221" t="s">
        <v>71</v>
      </c>
      <c r="H2872" s="221" t="s">
        <v>71</v>
      </c>
      <c r="I2872" s="222"/>
    </row>
    <row r="2873" spans="1:9" x14ac:dyDescent="0.25">
      <c r="A2873" s="220">
        <v>3012</v>
      </c>
      <c r="B2873" s="221" t="s">
        <v>6188</v>
      </c>
      <c r="C2873" s="222" t="s">
        <v>6189</v>
      </c>
      <c r="D2873" s="221" t="s">
        <v>6187</v>
      </c>
      <c r="E2873" s="221" t="s">
        <v>37</v>
      </c>
      <c r="F2873" s="223">
        <v>0</v>
      </c>
      <c r="G2873" s="221" t="s">
        <v>71</v>
      </c>
      <c r="H2873" s="221" t="s">
        <v>71</v>
      </c>
      <c r="I2873" s="222"/>
    </row>
    <row r="2874" spans="1:9" x14ac:dyDescent="0.25">
      <c r="A2874" s="220">
        <v>3013</v>
      </c>
      <c r="B2874" s="221" t="s">
        <v>6190</v>
      </c>
      <c r="C2874" s="222" t="s">
        <v>6191</v>
      </c>
      <c r="D2874" s="221" t="s">
        <v>6187</v>
      </c>
      <c r="E2874" s="221" t="s">
        <v>37</v>
      </c>
      <c r="F2874" s="223">
        <v>0</v>
      </c>
      <c r="G2874" s="221" t="s">
        <v>71</v>
      </c>
      <c r="H2874" s="221" t="s">
        <v>71</v>
      </c>
      <c r="I2874" s="222"/>
    </row>
    <row r="2875" spans="1:9" x14ac:dyDescent="0.25">
      <c r="A2875" s="220">
        <v>3014</v>
      </c>
      <c r="B2875" s="221" t="s">
        <v>6192</v>
      </c>
      <c r="C2875" s="222" t="s">
        <v>6193</v>
      </c>
      <c r="D2875" s="221" t="s">
        <v>6187</v>
      </c>
      <c r="E2875" s="221" t="s">
        <v>37</v>
      </c>
      <c r="F2875" s="223">
        <v>0</v>
      </c>
      <c r="G2875" s="221" t="s">
        <v>71</v>
      </c>
      <c r="H2875" s="221" t="s">
        <v>71</v>
      </c>
      <c r="I2875" s="222"/>
    </row>
    <row r="2876" spans="1:9" x14ac:dyDescent="0.25">
      <c r="A2876" s="220">
        <v>3015</v>
      </c>
      <c r="B2876" s="221" t="s">
        <v>6194</v>
      </c>
      <c r="C2876" s="222" t="s">
        <v>6195</v>
      </c>
      <c r="D2876" s="221" t="s">
        <v>6187</v>
      </c>
      <c r="E2876" s="221" t="s">
        <v>37</v>
      </c>
      <c r="F2876" s="223">
        <v>0</v>
      </c>
      <c r="G2876" s="221" t="s">
        <v>71</v>
      </c>
      <c r="H2876" s="221" t="s">
        <v>71</v>
      </c>
      <c r="I2876" s="222"/>
    </row>
    <row r="2877" spans="1:9" x14ac:dyDescent="0.25">
      <c r="A2877" s="220">
        <v>3016</v>
      </c>
      <c r="B2877" s="221" t="s">
        <v>6196</v>
      </c>
      <c r="C2877" s="222" t="s">
        <v>6197</v>
      </c>
      <c r="D2877" s="221" t="s">
        <v>6187</v>
      </c>
      <c r="E2877" s="221" t="s">
        <v>37</v>
      </c>
      <c r="F2877" s="223">
        <v>0</v>
      </c>
      <c r="G2877" s="221" t="s">
        <v>71</v>
      </c>
      <c r="H2877" s="221" t="s">
        <v>71</v>
      </c>
      <c r="I2877" s="222"/>
    </row>
    <row r="2878" spans="1:9" x14ac:dyDescent="0.25">
      <c r="A2878" s="220">
        <v>3017</v>
      </c>
      <c r="B2878" s="221" t="s">
        <v>6198</v>
      </c>
      <c r="C2878" s="222" t="s">
        <v>6199</v>
      </c>
      <c r="D2878" s="221" t="s">
        <v>6187</v>
      </c>
      <c r="E2878" s="221" t="s">
        <v>37</v>
      </c>
      <c r="F2878" s="223">
        <v>0</v>
      </c>
      <c r="G2878" s="221" t="s">
        <v>46</v>
      </c>
      <c r="H2878" s="221" t="s">
        <v>71</v>
      </c>
      <c r="I2878" s="222"/>
    </row>
    <row r="2879" spans="1:9" x14ac:dyDescent="0.25">
      <c r="A2879" s="220">
        <v>3018</v>
      </c>
      <c r="B2879" s="221" t="s">
        <v>6200</v>
      </c>
      <c r="C2879" s="222" t="s">
        <v>6201</v>
      </c>
      <c r="D2879" s="221" t="s">
        <v>205</v>
      </c>
      <c r="E2879" s="221" t="s">
        <v>30</v>
      </c>
      <c r="F2879" s="223">
        <v>0</v>
      </c>
      <c r="G2879" s="221" t="s">
        <v>71</v>
      </c>
      <c r="H2879" s="221" t="s">
        <v>71</v>
      </c>
      <c r="I2879" s="222"/>
    </row>
    <row r="2880" spans="1:9" x14ac:dyDescent="0.25">
      <c r="A2880" s="220">
        <v>3019</v>
      </c>
      <c r="B2880" s="221" t="s">
        <v>6202</v>
      </c>
      <c r="C2880" s="222" t="s">
        <v>6203</v>
      </c>
      <c r="D2880" s="221" t="s">
        <v>1637</v>
      </c>
      <c r="E2880" s="221" t="s">
        <v>27</v>
      </c>
      <c r="F2880" s="223">
        <v>0</v>
      </c>
      <c r="G2880" s="221" t="s">
        <v>48</v>
      </c>
      <c r="H2880" s="221" t="s">
        <v>48</v>
      </c>
      <c r="I2880" s="222"/>
    </row>
    <row r="2881" spans="1:9" x14ac:dyDescent="0.25">
      <c r="A2881" s="220">
        <v>3020</v>
      </c>
      <c r="B2881" s="221" t="s">
        <v>6204</v>
      </c>
      <c r="C2881" s="222" t="s">
        <v>6205</v>
      </c>
      <c r="D2881" s="221" t="s">
        <v>1637</v>
      </c>
      <c r="E2881" s="221" t="s">
        <v>27</v>
      </c>
      <c r="F2881" s="223">
        <v>0</v>
      </c>
      <c r="G2881" s="221" t="s">
        <v>48</v>
      </c>
      <c r="H2881" s="221" t="s">
        <v>48</v>
      </c>
      <c r="I2881" s="222"/>
    </row>
    <row r="2882" spans="1:9" x14ac:dyDescent="0.25">
      <c r="A2882" s="220">
        <v>3021</v>
      </c>
      <c r="B2882" s="221" t="s">
        <v>6206</v>
      </c>
      <c r="C2882" s="222" t="s">
        <v>6207</v>
      </c>
      <c r="D2882" s="221" t="s">
        <v>1637</v>
      </c>
      <c r="E2882" s="221" t="s">
        <v>27</v>
      </c>
      <c r="F2882" s="223">
        <v>0</v>
      </c>
      <c r="G2882" s="221" t="s">
        <v>48</v>
      </c>
      <c r="H2882" s="221" t="s">
        <v>48</v>
      </c>
      <c r="I2882" s="222"/>
    </row>
    <row r="2883" spans="1:9" x14ac:dyDescent="0.25">
      <c r="A2883" s="220">
        <v>3022</v>
      </c>
      <c r="B2883" s="221" t="s">
        <v>6208</v>
      </c>
      <c r="C2883" s="222" t="s">
        <v>6209</v>
      </c>
      <c r="D2883" s="221" t="s">
        <v>205</v>
      </c>
      <c r="E2883" s="221" t="s">
        <v>30</v>
      </c>
      <c r="F2883" s="223">
        <v>0</v>
      </c>
      <c r="G2883" s="221" t="s">
        <v>71</v>
      </c>
      <c r="H2883" s="221" t="s">
        <v>71</v>
      </c>
      <c r="I2883" s="222"/>
    </row>
    <row r="2884" spans="1:9" x14ac:dyDescent="0.25">
      <c r="A2884" s="220">
        <v>3023</v>
      </c>
      <c r="B2884" s="221" t="s">
        <v>6210</v>
      </c>
      <c r="C2884" s="222" t="s">
        <v>6211</v>
      </c>
      <c r="D2884" s="221" t="s">
        <v>91</v>
      </c>
      <c r="E2884" s="221" t="s">
        <v>395</v>
      </c>
      <c r="F2884" s="223">
        <v>0</v>
      </c>
      <c r="G2884" s="221" t="s">
        <v>46</v>
      </c>
      <c r="H2884" s="221" t="s">
        <v>71</v>
      </c>
      <c r="I2884" s="222"/>
    </row>
    <row r="2885" spans="1:9" x14ac:dyDescent="0.25">
      <c r="A2885" s="220">
        <v>3024</v>
      </c>
      <c r="B2885" s="221" t="s">
        <v>6212</v>
      </c>
      <c r="C2885" s="222" t="s">
        <v>6213</v>
      </c>
      <c r="D2885" s="221" t="s">
        <v>70</v>
      </c>
      <c r="E2885" s="221" t="s">
        <v>30</v>
      </c>
      <c r="F2885" s="223">
        <v>0</v>
      </c>
      <c r="G2885" s="221" t="s">
        <v>71</v>
      </c>
      <c r="H2885" s="221" t="s">
        <v>71</v>
      </c>
      <c r="I2885" s="222"/>
    </row>
    <row r="2886" spans="1:9" x14ac:dyDescent="0.25">
      <c r="A2886" s="220">
        <v>3025</v>
      </c>
      <c r="B2886" s="221" t="s">
        <v>6214</v>
      </c>
      <c r="C2886" s="222" t="s">
        <v>6215</v>
      </c>
      <c r="D2886" s="221" t="s">
        <v>4556</v>
      </c>
      <c r="E2886" s="221" t="s">
        <v>30</v>
      </c>
      <c r="F2886" s="223">
        <v>0</v>
      </c>
      <c r="G2886" s="221" t="s">
        <v>71</v>
      </c>
      <c r="H2886" s="221" t="s">
        <v>71</v>
      </c>
      <c r="I2886" s="222"/>
    </row>
    <row r="2887" spans="1:9" x14ac:dyDescent="0.25">
      <c r="A2887" s="220">
        <v>3026</v>
      </c>
      <c r="B2887" s="221" t="s">
        <v>6216</v>
      </c>
      <c r="C2887" s="222" t="s">
        <v>6217</v>
      </c>
      <c r="D2887" s="221" t="s">
        <v>205</v>
      </c>
      <c r="E2887" s="221" t="s">
        <v>30</v>
      </c>
      <c r="F2887" s="223">
        <v>0</v>
      </c>
      <c r="G2887" s="221" t="s">
        <v>71</v>
      </c>
      <c r="H2887" s="221" t="s">
        <v>71</v>
      </c>
      <c r="I2887" s="222"/>
    </row>
    <row r="2888" spans="1:9" x14ac:dyDescent="0.25">
      <c r="A2888" s="220">
        <v>3027</v>
      </c>
      <c r="B2888" s="221" t="s">
        <v>6218</v>
      </c>
      <c r="C2888" s="222" t="s">
        <v>6219</v>
      </c>
      <c r="D2888" s="221" t="s">
        <v>4556</v>
      </c>
      <c r="E2888" s="221" t="s">
        <v>30</v>
      </c>
      <c r="F2888" s="223">
        <v>0</v>
      </c>
      <c r="G2888" s="221" t="s">
        <v>71</v>
      </c>
      <c r="H2888" s="221" t="s">
        <v>71</v>
      </c>
      <c r="I2888" s="222"/>
    </row>
    <row r="2889" spans="1:9" x14ac:dyDescent="0.25">
      <c r="A2889" s="220">
        <v>3028</v>
      </c>
      <c r="B2889" s="221" t="s">
        <v>6220</v>
      </c>
      <c r="C2889" s="222" t="s">
        <v>6221</v>
      </c>
      <c r="D2889" s="221" t="s">
        <v>4556</v>
      </c>
      <c r="E2889" s="221" t="s">
        <v>30</v>
      </c>
      <c r="F2889" s="223">
        <v>0</v>
      </c>
      <c r="G2889" s="221" t="s">
        <v>71</v>
      </c>
      <c r="H2889" s="221" t="s">
        <v>71</v>
      </c>
      <c r="I2889" s="222"/>
    </row>
    <row r="2890" spans="1:9" x14ac:dyDescent="0.25">
      <c r="A2890" s="220">
        <v>3029</v>
      </c>
      <c r="B2890" s="221" t="s">
        <v>6222</v>
      </c>
      <c r="C2890" s="222" t="s">
        <v>6223</v>
      </c>
      <c r="D2890" s="221" t="s">
        <v>4556</v>
      </c>
      <c r="E2890" s="221" t="s">
        <v>30</v>
      </c>
      <c r="F2890" s="223">
        <v>0</v>
      </c>
      <c r="G2890" s="221" t="s">
        <v>71</v>
      </c>
      <c r="H2890" s="221" t="s">
        <v>71</v>
      </c>
      <c r="I2890" s="222"/>
    </row>
    <row r="2891" spans="1:9" x14ac:dyDescent="0.25">
      <c r="A2891" s="220">
        <v>3030</v>
      </c>
      <c r="B2891" s="221" t="s">
        <v>6224</v>
      </c>
      <c r="C2891" s="222" t="s">
        <v>6225</v>
      </c>
      <c r="D2891" s="221" t="s">
        <v>4556</v>
      </c>
      <c r="E2891" s="221" t="s">
        <v>30</v>
      </c>
      <c r="F2891" s="223">
        <v>0</v>
      </c>
      <c r="G2891" s="221" t="s">
        <v>71</v>
      </c>
      <c r="H2891" s="221" t="s">
        <v>71</v>
      </c>
      <c r="I2891" s="222"/>
    </row>
    <row r="2892" spans="1:9" x14ac:dyDescent="0.25">
      <c r="A2892" s="220">
        <v>3031</v>
      </c>
      <c r="B2892" s="221" t="s">
        <v>6226</v>
      </c>
      <c r="C2892" s="222" t="s">
        <v>6227</v>
      </c>
      <c r="D2892" s="221" t="s">
        <v>4556</v>
      </c>
      <c r="E2892" s="221" t="s">
        <v>30</v>
      </c>
      <c r="F2892" s="223">
        <v>0</v>
      </c>
      <c r="G2892" s="221" t="s">
        <v>71</v>
      </c>
      <c r="H2892" s="221" t="s">
        <v>71</v>
      </c>
      <c r="I2892" s="222"/>
    </row>
    <row r="2893" spans="1:9" x14ac:dyDescent="0.25">
      <c r="A2893" s="220">
        <v>3032</v>
      </c>
      <c r="B2893" s="221" t="s">
        <v>6228</v>
      </c>
      <c r="C2893" s="222" t="s">
        <v>6229</v>
      </c>
      <c r="D2893" s="221" t="s">
        <v>4556</v>
      </c>
      <c r="E2893" s="221" t="s">
        <v>30</v>
      </c>
      <c r="F2893" s="223">
        <v>0</v>
      </c>
      <c r="G2893" s="221" t="s">
        <v>71</v>
      </c>
      <c r="H2893" s="221" t="s">
        <v>71</v>
      </c>
      <c r="I2893" s="222" t="s">
        <v>6230</v>
      </c>
    </row>
    <row r="2894" spans="1:9" x14ac:dyDescent="0.25">
      <c r="A2894" s="220">
        <v>3033</v>
      </c>
      <c r="B2894" s="221" t="s">
        <v>6231</v>
      </c>
      <c r="C2894" s="222" t="s">
        <v>6232</v>
      </c>
      <c r="D2894" s="221" t="s">
        <v>4556</v>
      </c>
      <c r="E2894" s="221" t="s">
        <v>30</v>
      </c>
      <c r="F2894" s="223">
        <v>0</v>
      </c>
      <c r="G2894" s="221" t="s">
        <v>71</v>
      </c>
      <c r="H2894" s="221" t="s">
        <v>71</v>
      </c>
      <c r="I2894" s="222"/>
    </row>
    <row r="2895" spans="1:9" x14ac:dyDescent="0.25">
      <c r="A2895" s="220">
        <v>3034</v>
      </c>
      <c r="B2895" s="221" t="s">
        <v>6233</v>
      </c>
      <c r="C2895" s="222" t="s">
        <v>6234</v>
      </c>
      <c r="D2895" s="221" t="s">
        <v>205</v>
      </c>
      <c r="E2895" s="221" t="s">
        <v>30</v>
      </c>
      <c r="F2895" s="223">
        <v>0</v>
      </c>
      <c r="G2895" s="221" t="s">
        <v>71</v>
      </c>
      <c r="H2895" s="221" t="s">
        <v>71</v>
      </c>
      <c r="I2895" s="222"/>
    </row>
    <row r="2896" spans="1:9" x14ac:dyDescent="0.25">
      <c r="A2896" s="220">
        <v>3035</v>
      </c>
      <c r="B2896" s="221" t="s">
        <v>6235</v>
      </c>
      <c r="C2896" s="222" t="s">
        <v>6236</v>
      </c>
      <c r="D2896" s="221" t="s">
        <v>1637</v>
      </c>
      <c r="E2896" s="221" t="s">
        <v>27</v>
      </c>
      <c r="F2896" s="223">
        <v>0</v>
      </c>
      <c r="G2896" s="221" t="s">
        <v>48</v>
      </c>
      <c r="H2896" s="221" t="s">
        <v>48</v>
      </c>
      <c r="I2896" s="222"/>
    </row>
    <row r="2897" spans="1:9" x14ac:dyDescent="0.25">
      <c r="A2897" s="220">
        <v>3036</v>
      </c>
      <c r="B2897" s="221" t="s">
        <v>6237</v>
      </c>
      <c r="C2897" s="222" t="s">
        <v>6238</v>
      </c>
      <c r="D2897" s="221" t="s">
        <v>205</v>
      </c>
      <c r="E2897" s="221" t="s">
        <v>30</v>
      </c>
      <c r="F2897" s="223">
        <v>0</v>
      </c>
      <c r="G2897" s="221" t="s">
        <v>71</v>
      </c>
      <c r="H2897" s="221" t="s">
        <v>71</v>
      </c>
      <c r="I2897" s="222"/>
    </row>
    <row r="2898" spans="1:9" x14ac:dyDescent="0.25">
      <c r="A2898" s="220">
        <v>3037</v>
      </c>
      <c r="B2898" s="221" t="s">
        <v>6239</v>
      </c>
      <c r="C2898" s="222" t="s">
        <v>6240</v>
      </c>
      <c r="D2898" s="221" t="s">
        <v>1535</v>
      </c>
      <c r="E2898" s="221" t="s">
        <v>29</v>
      </c>
      <c r="F2898" s="223">
        <v>0</v>
      </c>
      <c r="G2898" s="221" t="s">
        <v>71</v>
      </c>
      <c r="H2898" s="221" t="s">
        <v>71</v>
      </c>
      <c r="I2898" s="222"/>
    </row>
    <row r="2899" spans="1:9" x14ac:dyDescent="0.25">
      <c r="A2899" s="220">
        <v>3038</v>
      </c>
      <c r="B2899" s="221" t="s">
        <v>6241</v>
      </c>
      <c r="C2899" s="222" t="s">
        <v>6242</v>
      </c>
      <c r="D2899" s="221" t="s">
        <v>573</v>
      </c>
      <c r="E2899" s="221" t="s">
        <v>27</v>
      </c>
      <c r="F2899" s="223">
        <v>0</v>
      </c>
      <c r="G2899" s="221" t="s">
        <v>48</v>
      </c>
      <c r="H2899" s="221" t="s">
        <v>48</v>
      </c>
      <c r="I2899" s="222"/>
    </row>
    <row r="2900" spans="1:9" x14ac:dyDescent="0.25">
      <c r="A2900" s="220">
        <v>3039</v>
      </c>
      <c r="B2900" s="221" t="s">
        <v>6243</v>
      </c>
      <c r="C2900" s="222" t="s">
        <v>6244</v>
      </c>
      <c r="D2900" s="221" t="s">
        <v>4556</v>
      </c>
      <c r="E2900" s="221" t="s">
        <v>30</v>
      </c>
      <c r="F2900" s="223">
        <v>0</v>
      </c>
      <c r="G2900" s="221" t="s">
        <v>71</v>
      </c>
      <c r="H2900" s="221" t="s">
        <v>71</v>
      </c>
      <c r="I2900" s="222"/>
    </row>
    <row r="2901" spans="1:9" x14ac:dyDescent="0.25">
      <c r="A2901" s="220">
        <v>3040</v>
      </c>
      <c r="B2901" s="221" t="s">
        <v>6245</v>
      </c>
      <c r="C2901" s="222" t="s">
        <v>6246</v>
      </c>
      <c r="D2901" s="221" t="s">
        <v>70</v>
      </c>
      <c r="E2901" s="221" t="s">
        <v>30</v>
      </c>
      <c r="F2901" s="223">
        <v>0</v>
      </c>
      <c r="G2901" s="221" t="s">
        <v>71</v>
      </c>
      <c r="H2901" s="221" t="s">
        <v>71</v>
      </c>
      <c r="I2901" s="222"/>
    </row>
    <row r="2902" spans="1:9" x14ac:dyDescent="0.25">
      <c r="A2902" s="220">
        <v>3041</v>
      </c>
      <c r="B2902" s="221" t="s">
        <v>6247</v>
      </c>
      <c r="C2902" s="222" t="s">
        <v>6248</v>
      </c>
      <c r="D2902" s="221" t="s">
        <v>70</v>
      </c>
      <c r="E2902" s="221" t="s">
        <v>30</v>
      </c>
      <c r="F2902" s="223">
        <v>0</v>
      </c>
      <c r="G2902" s="221" t="s">
        <v>71</v>
      </c>
      <c r="H2902" s="221" t="s">
        <v>71</v>
      </c>
      <c r="I2902" s="222"/>
    </row>
    <row r="2903" spans="1:9" x14ac:dyDescent="0.25">
      <c r="A2903" s="220">
        <v>3042</v>
      </c>
      <c r="B2903" s="221" t="s">
        <v>6249</v>
      </c>
      <c r="C2903" s="222" t="s">
        <v>6250</v>
      </c>
      <c r="D2903" s="221" t="s">
        <v>3862</v>
      </c>
      <c r="E2903" s="221" t="s">
        <v>27</v>
      </c>
      <c r="F2903" s="223">
        <v>0</v>
      </c>
      <c r="G2903" s="221" t="s">
        <v>71</v>
      </c>
      <c r="H2903" s="221" t="s">
        <v>71</v>
      </c>
      <c r="I2903" s="222"/>
    </row>
    <row r="2904" spans="1:9" x14ac:dyDescent="0.25">
      <c r="A2904" s="220">
        <v>3043</v>
      </c>
      <c r="B2904" s="221" t="s">
        <v>6251</v>
      </c>
      <c r="C2904" s="222" t="s">
        <v>6252</v>
      </c>
      <c r="D2904" s="221" t="s">
        <v>6253</v>
      </c>
      <c r="E2904" s="221" t="s">
        <v>37</v>
      </c>
      <c r="F2904" s="223">
        <v>0</v>
      </c>
      <c r="G2904" s="221" t="s">
        <v>48</v>
      </c>
      <c r="H2904" s="221" t="s">
        <v>48</v>
      </c>
      <c r="I2904" s="222"/>
    </row>
    <row r="2905" spans="1:9" x14ac:dyDescent="0.25">
      <c r="A2905" s="220">
        <v>3044</v>
      </c>
      <c r="B2905" s="221" t="s">
        <v>6254</v>
      </c>
      <c r="C2905" s="222" t="s">
        <v>6255</v>
      </c>
      <c r="D2905" s="221" t="s">
        <v>6253</v>
      </c>
      <c r="E2905" s="221" t="s">
        <v>37</v>
      </c>
      <c r="F2905" s="223">
        <v>0</v>
      </c>
      <c r="G2905" s="221" t="s">
        <v>48</v>
      </c>
      <c r="H2905" s="221" t="s">
        <v>48</v>
      </c>
      <c r="I2905" s="222"/>
    </row>
    <row r="2906" spans="1:9" x14ac:dyDescent="0.25">
      <c r="A2906" s="220">
        <v>3045</v>
      </c>
      <c r="B2906" s="221" t="s">
        <v>6256</v>
      </c>
      <c r="C2906" s="222" t="s">
        <v>6257</v>
      </c>
      <c r="D2906" s="221" t="s">
        <v>6253</v>
      </c>
      <c r="E2906" s="221" t="s">
        <v>37</v>
      </c>
      <c r="F2906" s="223">
        <v>0</v>
      </c>
      <c r="G2906" s="221" t="s">
        <v>48</v>
      </c>
      <c r="H2906" s="221" t="s">
        <v>48</v>
      </c>
      <c r="I2906" s="222"/>
    </row>
    <row r="2907" spans="1:9" x14ac:dyDescent="0.25">
      <c r="A2907" s="220">
        <v>3046</v>
      </c>
      <c r="B2907" s="221" t="s">
        <v>6258</v>
      </c>
      <c r="C2907" s="222" t="s">
        <v>6259</v>
      </c>
      <c r="D2907" s="221" t="s">
        <v>70</v>
      </c>
      <c r="E2907" s="221" t="s">
        <v>395</v>
      </c>
      <c r="F2907" s="223">
        <v>0</v>
      </c>
      <c r="G2907" s="221" t="s">
        <v>46</v>
      </c>
      <c r="H2907" s="221" t="s">
        <v>71</v>
      </c>
      <c r="I2907" s="222"/>
    </row>
    <row r="2908" spans="1:9" x14ac:dyDescent="0.25">
      <c r="A2908" s="220">
        <v>3050</v>
      </c>
      <c r="B2908" s="221" t="s">
        <v>6260</v>
      </c>
      <c r="C2908" s="222" t="s">
        <v>6261</v>
      </c>
      <c r="D2908" s="221" t="s">
        <v>205</v>
      </c>
      <c r="E2908" s="221" t="s">
        <v>30</v>
      </c>
      <c r="F2908" s="223">
        <v>0</v>
      </c>
      <c r="G2908" s="221" t="s">
        <v>71</v>
      </c>
      <c r="H2908" s="221" t="s">
        <v>71</v>
      </c>
      <c r="I2908" s="222"/>
    </row>
    <row r="2909" spans="1:9" x14ac:dyDescent="0.25">
      <c r="A2909" s="220">
        <v>3051</v>
      </c>
      <c r="B2909" s="221" t="s">
        <v>6262</v>
      </c>
      <c r="C2909" s="222" t="s">
        <v>6263</v>
      </c>
      <c r="D2909" s="221" t="s">
        <v>4556</v>
      </c>
      <c r="E2909" s="221" t="s">
        <v>30</v>
      </c>
      <c r="F2909" s="223">
        <v>0</v>
      </c>
      <c r="G2909" s="221" t="s">
        <v>71</v>
      </c>
      <c r="H2909" s="221" t="s">
        <v>71</v>
      </c>
      <c r="I2909" s="222"/>
    </row>
    <row r="2910" spans="1:9" x14ac:dyDescent="0.25">
      <c r="A2910" s="220">
        <v>3052</v>
      </c>
      <c r="B2910" s="221" t="s">
        <v>6264</v>
      </c>
      <c r="C2910" s="222" t="s">
        <v>6265</v>
      </c>
      <c r="D2910" s="221" t="s">
        <v>4556</v>
      </c>
      <c r="E2910" s="221" t="s">
        <v>30</v>
      </c>
      <c r="F2910" s="223">
        <v>0</v>
      </c>
      <c r="G2910" s="221" t="s">
        <v>71</v>
      </c>
      <c r="H2910" s="221" t="s">
        <v>71</v>
      </c>
      <c r="I2910" s="222"/>
    </row>
    <row r="2911" spans="1:9" x14ac:dyDescent="0.25">
      <c r="A2911" s="220">
        <v>3053</v>
      </c>
      <c r="B2911" s="221" t="s">
        <v>6266</v>
      </c>
      <c r="C2911" s="222" t="s">
        <v>6267</v>
      </c>
      <c r="D2911" s="221" t="s">
        <v>70</v>
      </c>
      <c r="E2911" s="221" t="s">
        <v>30</v>
      </c>
      <c r="F2911" s="223">
        <v>0</v>
      </c>
      <c r="G2911" s="221" t="s">
        <v>71</v>
      </c>
      <c r="H2911" s="221" t="s">
        <v>71</v>
      </c>
      <c r="I2911" s="222"/>
    </row>
    <row r="2912" spans="1:9" x14ac:dyDescent="0.25">
      <c r="A2912" s="220">
        <v>3054</v>
      </c>
      <c r="B2912" s="221" t="s">
        <v>6268</v>
      </c>
      <c r="C2912" s="222" t="s">
        <v>6269</v>
      </c>
      <c r="D2912" s="221" t="s">
        <v>129</v>
      </c>
      <c r="E2912" s="221" t="s">
        <v>27</v>
      </c>
      <c r="F2912" s="223">
        <v>0</v>
      </c>
      <c r="G2912" s="221" t="s">
        <v>48</v>
      </c>
      <c r="H2912" s="221" t="s">
        <v>48</v>
      </c>
      <c r="I2912" s="222"/>
    </row>
    <row r="2913" spans="1:9" x14ac:dyDescent="0.25">
      <c r="A2913" s="220">
        <v>3055</v>
      </c>
      <c r="B2913" s="221" t="s">
        <v>6270</v>
      </c>
      <c r="C2913" s="222" t="s">
        <v>6271</v>
      </c>
      <c r="D2913" s="221" t="s">
        <v>70</v>
      </c>
      <c r="E2913" s="221" t="s">
        <v>30</v>
      </c>
      <c r="F2913" s="223">
        <v>0</v>
      </c>
      <c r="G2913" s="221" t="s">
        <v>71</v>
      </c>
      <c r="H2913" s="221" t="s">
        <v>71</v>
      </c>
      <c r="I2913" s="222"/>
    </row>
    <row r="2914" spans="1:9" x14ac:dyDescent="0.25">
      <c r="A2914" s="220">
        <v>3056</v>
      </c>
      <c r="B2914" s="221" t="s">
        <v>6272</v>
      </c>
      <c r="C2914" s="222" t="s">
        <v>6273</v>
      </c>
      <c r="D2914" s="221" t="s">
        <v>70</v>
      </c>
      <c r="E2914" s="221" t="s">
        <v>30</v>
      </c>
      <c r="F2914" s="223">
        <v>0</v>
      </c>
      <c r="G2914" s="221" t="s">
        <v>71</v>
      </c>
      <c r="H2914" s="221" t="s">
        <v>71</v>
      </c>
      <c r="I2914" s="222"/>
    </row>
    <row r="2915" spans="1:9" x14ac:dyDescent="0.25">
      <c r="A2915" s="220">
        <v>3057</v>
      </c>
      <c r="B2915" s="221" t="s">
        <v>6274</v>
      </c>
      <c r="C2915" s="222" t="s">
        <v>6275</v>
      </c>
      <c r="D2915" s="221" t="s">
        <v>70</v>
      </c>
      <c r="E2915" s="221" t="s">
        <v>30</v>
      </c>
      <c r="F2915" s="223">
        <v>0</v>
      </c>
      <c r="G2915" s="221" t="s">
        <v>71</v>
      </c>
      <c r="H2915" s="221" t="s">
        <v>71</v>
      </c>
      <c r="I2915" s="222"/>
    </row>
    <row r="2916" spans="1:9" x14ac:dyDescent="0.25">
      <c r="A2916" s="220">
        <v>3058</v>
      </c>
      <c r="B2916" s="221" t="s">
        <v>6276</v>
      </c>
      <c r="C2916" s="222" t="s">
        <v>6277</v>
      </c>
      <c r="D2916" s="221" t="s">
        <v>70</v>
      </c>
      <c r="E2916" s="221" t="s">
        <v>30</v>
      </c>
      <c r="F2916" s="223">
        <v>0</v>
      </c>
      <c r="G2916" s="221" t="s">
        <v>71</v>
      </c>
      <c r="H2916" s="221" t="s">
        <v>71</v>
      </c>
      <c r="I2916" s="222"/>
    </row>
    <row r="2917" spans="1:9" x14ac:dyDescent="0.25">
      <c r="A2917" s="220">
        <v>3059</v>
      </c>
      <c r="B2917" s="221" t="s">
        <v>6278</v>
      </c>
      <c r="C2917" s="222" t="s">
        <v>6279</v>
      </c>
      <c r="D2917" s="221" t="s">
        <v>70</v>
      </c>
      <c r="E2917" s="221" t="s">
        <v>30</v>
      </c>
      <c r="F2917" s="223">
        <v>0</v>
      </c>
      <c r="G2917" s="221" t="s">
        <v>71</v>
      </c>
      <c r="H2917" s="221" t="s">
        <v>71</v>
      </c>
      <c r="I2917" s="222"/>
    </row>
    <row r="2918" spans="1:9" x14ac:dyDescent="0.25">
      <c r="A2918" s="220">
        <v>3060</v>
      </c>
      <c r="B2918" s="221" t="s">
        <v>6280</v>
      </c>
      <c r="C2918" s="222" t="s">
        <v>6281</v>
      </c>
      <c r="D2918" s="221" t="s">
        <v>70</v>
      </c>
      <c r="E2918" s="221" t="s">
        <v>30</v>
      </c>
      <c r="F2918" s="223">
        <v>0</v>
      </c>
      <c r="G2918" s="221" t="s">
        <v>71</v>
      </c>
      <c r="H2918" s="221" t="s">
        <v>71</v>
      </c>
      <c r="I2918" s="222"/>
    </row>
    <row r="2919" spans="1:9" x14ac:dyDescent="0.25">
      <c r="A2919" s="220">
        <v>3061</v>
      </c>
      <c r="B2919" s="221" t="s">
        <v>6282</v>
      </c>
      <c r="C2919" s="222" t="s">
        <v>6283</v>
      </c>
      <c r="D2919" s="221" t="s">
        <v>70</v>
      </c>
      <c r="E2919" s="221" t="s">
        <v>30</v>
      </c>
      <c r="F2919" s="223">
        <v>0</v>
      </c>
      <c r="G2919" s="221" t="s">
        <v>71</v>
      </c>
      <c r="H2919" s="221" t="s">
        <v>71</v>
      </c>
      <c r="I2919" s="222"/>
    </row>
    <row r="2920" spans="1:9" x14ac:dyDescent="0.25">
      <c r="A2920" s="220">
        <v>3062</v>
      </c>
      <c r="B2920" s="221" t="s">
        <v>6284</v>
      </c>
      <c r="C2920" s="222" t="s">
        <v>6285</v>
      </c>
      <c r="D2920" s="221" t="s">
        <v>70</v>
      </c>
      <c r="E2920" s="221" t="s">
        <v>30</v>
      </c>
      <c r="F2920" s="223">
        <v>0</v>
      </c>
      <c r="G2920" s="221" t="s">
        <v>71</v>
      </c>
      <c r="H2920" s="221" t="s">
        <v>71</v>
      </c>
      <c r="I2920" s="222"/>
    </row>
    <row r="2921" spans="1:9" x14ac:dyDescent="0.25">
      <c r="A2921" s="220">
        <v>3063</v>
      </c>
      <c r="B2921" s="221" t="s">
        <v>6286</v>
      </c>
      <c r="C2921" s="222" t="s">
        <v>6287</v>
      </c>
      <c r="D2921" s="221" t="s">
        <v>70</v>
      </c>
      <c r="E2921" s="221" t="s">
        <v>30</v>
      </c>
      <c r="F2921" s="223">
        <v>0</v>
      </c>
      <c r="G2921" s="221" t="s">
        <v>71</v>
      </c>
      <c r="H2921" s="221" t="s">
        <v>71</v>
      </c>
      <c r="I2921" s="222"/>
    </row>
    <row r="2922" spans="1:9" x14ac:dyDescent="0.25">
      <c r="A2922" s="220">
        <v>3064</v>
      </c>
      <c r="B2922" s="221" t="s">
        <v>6288</v>
      </c>
      <c r="C2922" s="222" t="s">
        <v>6289</v>
      </c>
      <c r="D2922" s="221" t="s">
        <v>70</v>
      </c>
      <c r="E2922" s="221" t="s">
        <v>30</v>
      </c>
      <c r="F2922" s="223">
        <v>0</v>
      </c>
      <c r="G2922" s="221" t="s">
        <v>71</v>
      </c>
      <c r="H2922" s="221" t="s">
        <v>71</v>
      </c>
      <c r="I2922" s="222"/>
    </row>
    <row r="2923" spans="1:9" x14ac:dyDescent="0.25">
      <c r="A2923" s="220">
        <v>3065</v>
      </c>
      <c r="B2923" s="221" t="s">
        <v>6290</v>
      </c>
      <c r="C2923" s="222" t="s">
        <v>6291</v>
      </c>
      <c r="D2923" s="221" t="s">
        <v>70</v>
      </c>
      <c r="E2923" s="221" t="s">
        <v>30</v>
      </c>
      <c r="F2923" s="223">
        <v>0</v>
      </c>
      <c r="G2923" s="221" t="s">
        <v>71</v>
      </c>
      <c r="H2923" s="221" t="s">
        <v>71</v>
      </c>
      <c r="I2923" s="222"/>
    </row>
    <row r="2924" spans="1:9" x14ac:dyDescent="0.25">
      <c r="A2924" s="220">
        <v>3066</v>
      </c>
      <c r="B2924" s="221" t="s">
        <v>6292</v>
      </c>
      <c r="C2924" s="222" t="s">
        <v>6293</v>
      </c>
      <c r="D2924" s="221" t="s">
        <v>70</v>
      </c>
      <c r="E2924" s="221" t="s">
        <v>395</v>
      </c>
      <c r="F2924" s="223">
        <v>0</v>
      </c>
      <c r="G2924" s="221" t="s">
        <v>46</v>
      </c>
      <c r="H2924" s="221" t="s">
        <v>71</v>
      </c>
      <c r="I2924" s="222"/>
    </row>
    <row r="2925" spans="1:9" x14ac:dyDescent="0.25">
      <c r="A2925" s="220">
        <v>3067</v>
      </c>
      <c r="B2925" s="221" t="s">
        <v>6294</v>
      </c>
      <c r="C2925" s="222" t="s">
        <v>6295</v>
      </c>
      <c r="D2925" s="221" t="s">
        <v>205</v>
      </c>
      <c r="E2925" s="221" t="s">
        <v>395</v>
      </c>
      <c r="F2925" s="223">
        <v>0</v>
      </c>
      <c r="G2925" s="221" t="s">
        <v>71</v>
      </c>
      <c r="H2925" s="221" t="s">
        <v>71</v>
      </c>
      <c r="I2925" s="222"/>
    </row>
    <row r="2926" spans="1:9" x14ac:dyDescent="0.25">
      <c r="A2926" s="220">
        <v>3068</v>
      </c>
      <c r="B2926" s="221" t="s">
        <v>6296</v>
      </c>
      <c r="C2926" s="222" t="s">
        <v>6297</v>
      </c>
      <c r="D2926" s="221" t="s">
        <v>70</v>
      </c>
      <c r="E2926" s="221" t="s">
        <v>30</v>
      </c>
      <c r="F2926" s="223">
        <v>0</v>
      </c>
      <c r="G2926" s="221" t="s">
        <v>71</v>
      </c>
      <c r="H2926" s="221" t="s">
        <v>71</v>
      </c>
      <c r="I2926" s="222"/>
    </row>
    <row r="2927" spans="1:9" x14ac:dyDescent="0.25">
      <c r="A2927" s="220">
        <v>3069</v>
      </c>
      <c r="B2927" s="221" t="s">
        <v>6298</v>
      </c>
      <c r="C2927" s="222" t="s">
        <v>6299</v>
      </c>
      <c r="D2927" s="221" t="s">
        <v>70</v>
      </c>
      <c r="E2927" s="221" t="s">
        <v>30</v>
      </c>
      <c r="F2927" s="223">
        <v>0</v>
      </c>
      <c r="G2927" s="221" t="s">
        <v>71</v>
      </c>
      <c r="H2927" s="221" t="s">
        <v>71</v>
      </c>
      <c r="I2927" s="222"/>
    </row>
    <row r="2928" spans="1:9" x14ac:dyDescent="0.25">
      <c r="A2928" s="220">
        <v>3070</v>
      </c>
      <c r="B2928" s="221" t="s">
        <v>6300</v>
      </c>
      <c r="C2928" s="222" t="s">
        <v>6301</v>
      </c>
      <c r="D2928" s="221" t="s">
        <v>70</v>
      </c>
      <c r="E2928" s="221" t="s">
        <v>30</v>
      </c>
      <c r="F2928" s="223">
        <v>0</v>
      </c>
      <c r="G2928" s="221" t="s">
        <v>71</v>
      </c>
      <c r="H2928" s="221" t="s">
        <v>71</v>
      </c>
      <c r="I2928" s="222"/>
    </row>
    <row r="2929" spans="1:9" x14ac:dyDescent="0.25">
      <c r="A2929" s="220">
        <v>3071</v>
      </c>
      <c r="B2929" s="221" t="s">
        <v>6302</v>
      </c>
      <c r="C2929" s="222" t="s">
        <v>6303</v>
      </c>
      <c r="D2929" s="221" t="s">
        <v>44</v>
      </c>
      <c r="E2929" s="221" t="s">
        <v>395</v>
      </c>
      <c r="F2929" s="223">
        <v>0</v>
      </c>
      <c r="G2929" s="221" t="s">
        <v>46</v>
      </c>
      <c r="H2929" s="221" t="s">
        <v>48</v>
      </c>
      <c r="I2929" s="222"/>
    </row>
    <row r="2930" spans="1:9" x14ac:dyDescent="0.25">
      <c r="A2930" s="220">
        <v>3072</v>
      </c>
      <c r="B2930" s="221" t="s">
        <v>6304</v>
      </c>
      <c r="C2930" s="222" t="s">
        <v>6305</v>
      </c>
      <c r="D2930" s="221" t="s">
        <v>129</v>
      </c>
      <c r="E2930" s="221" t="s">
        <v>27</v>
      </c>
      <c r="F2930" s="223">
        <v>0</v>
      </c>
      <c r="G2930" s="221" t="s">
        <v>48</v>
      </c>
      <c r="H2930" s="221" t="s">
        <v>48</v>
      </c>
      <c r="I2930" s="222"/>
    </row>
    <row r="2931" spans="1:9" x14ac:dyDescent="0.25">
      <c r="A2931" s="220">
        <v>3073</v>
      </c>
      <c r="B2931" s="221" t="s">
        <v>6306</v>
      </c>
      <c r="C2931" s="222" t="s">
        <v>133</v>
      </c>
      <c r="D2931" s="221" t="s">
        <v>6253</v>
      </c>
      <c r="E2931" s="221" t="s">
        <v>37</v>
      </c>
      <c r="F2931" s="223">
        <v>0</v>
      </c>
      <c r="G2931" s="221" t="s">
        <v>48</v>
      </c>
      <c r="H2931" s="221" t="s">
        <v>48</v>
      </c>
      <c r="I2931" s="222"/>
    </row>
    <row r="2932" spans="1:9" x14ac:dyDescent="0.25">
      <c r="A2932" s="220">
        <v>3074</v>
      </c>
      <c r="B2932" s="221" t="s">
        <v>6307</v>
      </c>
      <c r="C2932" s="222" t="s">
        <v>132</v>
      </c>
      <c r="D2932" s="221" t="s">
        <v>6253</v>
      </c>
      <c r="E2932" s="221" t="s">
        <v>37</v>
      </c>
      <c r="F2932" s="223">
        <v>0</v>
      </c>
      <c r="G2932" s="221" t="s">
        <v>48</v>
      </c>
      <c r="H2932" s="221" t="s">
        <v>48</v>
      </c>
      <c r="I2932" s="222"/>
    </row>
    <row r="2933" spans="1:9" x14ac:dyDescent="0.25">
      <c r="A2933" s="220">
        <v>3075</v>
      </c>
      <c r="B2933" s="221" t="s">
        <v>6308</v>
      </c>
      <c r="C2933" s="222" t="s">
        <v>6309</v>
      </c>
      <c r="D2933" s="221" t="s">
        <v>4556</v>
      </c>
      <c r="E2933" s="221" t="s">
        <v>30</v>
      </c>
      <c r="F2933" s="223">
        <v>0</v>
      </c>
      <c r="G2933" s="221" t="s">
        <v>71</v>
      </c>
      <c r="H2933" s="221" t="s">
        <v>71</v>
      </c>
      <c r="I2933" s="222" t="s">
        <v>6310</v>
      </c>
    </row>
    <row r="2934" spans="1:9" x14ac:dyDescent="0.25">
      <c r="A2934" s="220">
        <v>3076</v>
      </c>
      <c r="B2934" s="221" t="s">
        <v>6311</v>
      </c>
      <c r="C2934" s="222" t="s">
        <v>6312</v>
      </c>
      <c r="D2934" s="221" t="s">
        <v>4556</v>
      </c>
      <c r="E2934" s="221" t="s">
        <v>30</v>
      </c>
      <c r="F2934" s="223">
        <v>0</v>
      </c>
      <c r="G2934" s="221" t="s">
        <v>71</v>
      </c>
      <c r="H2934" s="221" t="s">
        <v>71</v>
      </c>
      <c r="I2934" s="222" t="s">
        <v>6230</v>
      </c>
    </row>
    <row r="2935" spans="1:9" x14ac:dyDescent="0.25">
      <c r="A2935" s="220">
        <v>3077</v>
      </c>
      <c r="B2935" s="221" t="s">
        <v>6313</v>
      </c>
      <c r="C2935" s="222" t="s">
        <v>6314</v>
      </c>
      <c r="D2935" s="221" t="s">
        <v>4556</v>
      </c>
      <c r="E2935" s="221" t="s">
        <v>30</v>
      </c>
      <c r="F2935" s="223">
        <v>0</v>
      </c>
      <c r="G2935" s="221" t="s">
        <v>71</v>
      </c>
      <c r="H2935" s="221" t="s">
        <v>71</v>
      </c>
      <c r="I2935" s="222" t="s">
        <v>6230</v>
      </c>
    </row>
    <row r="2936" spans="1:9" x14ac:dyDescent="0.25">
      <c r="A2936" s="220">
        <v>3078</v>
      </c>
      <c r="B2936" s="221" t="s">
        <v>6315</v>
      </c>
      <c r="C2936" s="222" t="s">
        <v>6316</v>
      </c>
      <c r="D2936" s="221" t="s">
        <v>4556</v>
      </c>
      <c r="E2936" s="221" t="s">
        <v>30</v>
      </c>
      <c r="F2936" s="223">
        <v>0</v>
      </c>
      <c r="G2936" s="221" t="s">
        <v>71</v>
      </c>
      <c r="H2936" s="221" t="s">
        <v>71</v>
      </c>
      <c r="I2936" s="222"/>
    </row>
    <row r="2937" spans="1:9" x14ac:dyDescent="0.25">
      <c r="A2937" s="220">
        <v>3079</v>
      </c>
      <c r="B2937" s="221" t="s">
        <v>6317</v>
      </c>
      <c r="C2937" s="222" t="s">
        <v>6318</v>
      </c>
      <c r="D2937" s="221" t="s">
        <v>4556</v>
      </c>
      <c r="E2937" s="221" t="s">
        <v>30</v>
      </c>
      <c r="F2937" s="223">
        <v>0</v>
      </c>
      <c r="G2937" s="221" t="s">
        <v>71</v>
      </c>
      <c r="H2937" s="221" t="s">
        <v>71</v>
      </c>
      <c r="I2937" s="222"/>
    </row>
    <row r="2938" spans="1:9" x14ac:dyDescent="0.25">
      <c r="A2938" s="220">
        <v>3080</v>
      </c>
      <c r="B2938" s="221" t="s">
        <v>6319</v>
      </c>
      <c r="C2938" s="222" t="s">
        <v>6320</v>
      </c>
      <c r="D2938" s="221" t="s">
        <v>4556</v>
      </c>
      <c r="E2938" s="221" t="s">
        <v>30</v>
      </c>
      <c r="F2938" s="223">
        <v>0</v>
      </c>
      <c r="G2938" s="221" t="s">
        <v>71</v>
      </c>
      <c r="H2938" s="221" t="s">
        <v>71</v>
      </c>
      <c r="I2938" s="222"/>
    </row>
    <row r="2939" spans="1:9" x14ac:dyDescent="0.25">
      <c r="A2939" s="220">
        <v>3081</v>
      </c>
      <c r="B2939" s="221" t="s">
        <v>6321</v>
      </c>
      <c r="C2939" s="222" t="s">
        <v>6322</v>
      </c>
      <c r="D2939" s="221" t="s">
        <v>4556</v>
      </c>
      <c r="E2939" s="221" t="s">
        <v>30</v>
      </c>
      <c r="F2939" s="223">
        <v>0</v>
      </c>
      <c r="G2939" s="221" t="s">
        <v>71</v>
      </c>
      <c r="H2939" s="221" t="s">
        <v>71</v>
      </c>
      <c r="I2939" s="222"/>
    </row>
    <row r="2940" spans="1:9" x14ac:dyDescent="0.25">
      <c r="A2940" s="220">
        <v>3082</v>
      </c>
      <c r="B2940" s="221" t="s">
        <v>6323</v>
      </c>
      <c r="C2940" s="222" t="s">
        <v>6324</v>
      </c>
      <c r="D2940" s="221" t="s">
        <v>70</v>
      </c>
      <c r="E2940" s="221" t="s">
        <v>30</v>
      </c>
      <c r="F2940" s="223">
        <v>0</v>
      </c>
      <c r="G2940" s="221" t="s">
        <v>71</v>
      </c>
      <c r="H2940" s="221" t="s">
        <v>71</v>
      </c>
      <c r="I2940" s="222"/>
    </row>
    <row r="2941" spans="1:9" x14ac:dyDescent="0.25">
      <c r="A2941" s="220">
        <v>3083</v>
      </c>
      <c r="B2941" s="221" t="s">
        <v>6325</v>
      </c>
      <c r="C2941" s="222" t="s">
        <v>6326</v>
      </c>
      <c r="D2941" s="221" t="s">
        <v>70</v>
      </c>
      <c r="E2941" s="221" t="s">
        <v>30</v>
      </c>
      <c r="F2941" s="223">
        <v>0</v>
      </c>
      <c r="G2941" s="221" t="s">
        <v>71</v>
      </c>
      <c r="H2941" s="221" t="s">
        <v>71</v>
      </c>
      <c r="I2941" s="222"/>
    </row>
    <row r="2942" spans="1:9" x14ac:dyDescent="0.25">
      <c r="A2942" s="220">
        <v>3084</v>
      </c>
      <c r="B2942" s="221" t="s">
        <v>6327</v>
      </c>
      <c r="C2942" s="222" t="s">
        <v>6328</v>
      </c>
      <c r="D2942" s="221" t="s">
        <v>4556</v>
      </c>
      <c r="E2942" s="221" t="s">
        <v>30</v>
      </c>
      <c r="F2942" s="223">
        <v>0</v>
      </c>
      <c r="G2942" s="221" t="s">
        <v>71</v>
      </c>
      <c r="H2942" s="221" t="s">
        <v>71</v>
      </c>
      <c r="I2942" s="222"/>
    </row>
    <row r="2943" spans="1:9" x14ac:dyDescent="0.25">
      <c r="A2943" s="220">
        <v>3085</v>
      </c>
      <c r="B2943" s="221" t="s">
        <v>6329</v>
      </c>
      <c r="C2943" s="222" t="s">
        <v>6330</v>
      </c>
      <c r="D2943" s="221" t="s">
        <v>91</v>
      </c>
      <c r="E2943" s="221" t="s">
        <v>395</v>
      </c>
      <c r="F2943" s="223">
        <v>0</v>
      </c>
      <c r="G2943" s="221" t="s">
        <v>46</v>
      </c>
      <c r="H2943" s="221" t="s">
        <v>71</v>
      </c>
      <c r="I2943" s="222"/>
    </row>
    <row r="2944" spans="1:9" x14ac:dyDescent="0.25">
      <c r="A2944" s="220">
        <v>3086</v>
      </c>
      <c r="B2944" s="221" t="s">
        <v>6331</v>
      </c>
      <c r="C2944" s="222" t="s">
        <v>6332</v>
      </c>
      <c r="D2944" s="221" t="s">
        <v>4556</v>
      </c>
      <c r="E2944" s="221" t="s">
        <v>30</v>
      </c>
      <c r="F2944" s="223">
        <v>0</v>
      </c>
      <c r="G2944" s="221" t="s">
        <v>71</v>
      </c>
      <c r="H2944" s="221" t="s">
        <v>71</v>
      </c>
      <c r="I2944" s="222" t="s">
        <v>6333</v>
      </c>
    </row>
    <row r="2945" spans="1:9" x14ac:dyDescent="0.25">
      <c r="A2945" s="220">
        <v>3087</v>
      </c>
      <c r="B2945" s="221" t="s">
        <v>6334</v>
      </c>
      <c r="C2945" s="222" t="s">
        <v>6335</v>
      </c>
      <c r="D2945" s="221" t="s">
        <v>4556</v>
      </c>
      <c r="E2945" s="221" t="s">
        <v>30</v>
      </c>
      <c r="F2945" s="223">
        <v>0</v>
      </c>
      <c r="G2945" s="221" t="s">
        <v>71</v>
      </c>
      <c r="H2945" s="221" t="s">
        <v>71</v>
      </c>
      <c r="I2945" s="222" t="s">
        <v>6333</v>
      </c>
    </row>
    <row r="2946" spans="1:9" x14ac:dyDescent="0.25">
      <c r="A2946" s="220">
        <v>3088</v>
      </c>
      <c r="B2946" s="221" t="s">
        <v>6336</v>
      </c>
      <c r="C2946" s="222" t="s">
        <v>6337</v>
      </c>
      <c r="D2946" s="221" t="s">
        <v>4556</v>
      </c>
      <c r="E2946" s="221" t="s">
        <v>30</v>
      </c>
      <c r="F2946" s="223">
        <v>0</v>
      </c>
      <c r="G2946" s="221" t="s">
        <v>71</v>
      </c>
      <c r="H2946" s="221" t="s">
        <v>71</v>
      </c>
      <c r="I2946" s="222" t="s">
        <v>6338</v>
      </c>
    </row>
    <row r="2947" spans="1:9" x14ac:dyDescent="0.25">
      <c r="A2947" s="220">
        <v>3089</v>
      </c>
      <c r="B2947" s="221" t="s">
        <v>6339</v>
      </c>
      <c r="C2947" s="222" t="s">
        <v>6340</v>
      </c>
      <c r="D2947" s="221" t="s">
        <v>4556</v>
      </c>
      <c r="E2947" s="221" t="s">
        <v>30</v>
      </c>
      <c r="F2947" s="223">
        <v>0</v>
      </c>
      <c r="G2947" s="221" t="s">
        <v>71</v>
      </c>
      <c r="H2947" s="221" t="s">
        <v>71</v>
      </c>
      <c r="I2947" s="222" t="s">
        <v>6338</v>
      </c>
    </row>
    <row r="2948" spans="1:9" x14ac:dyDescent="0.25">
      <c r="A2948" s="220">
        <v>3090</v>
      </c>
      <c r="B2948" s="221" t="s">
        <v>6341</v>
      </c>
      <c r="C2948" s="222" t="s">
        <v>6342</v>
      </c>
      <c r="D2948" s="221" t="s">
        <v>205</v>
      </c>
      <c r="E2948" s="221" t="s">
        <v>30</v>
      </c>
      <c r="F2948" s="223">
        <v>0</v>
      </c>
      <c r="G2948" s="221" t="s">
        <v>71</v>
      </c>
      <c r="H2948" s="221" t="s">
        <v>71</v>
      </c>
      <c r="I2948" s="222"/>
    </row>
    <row r="2949" spans="1:9" x14ac:dyDescent="0.25">
      <c r="A2949" s="220">
        <v>3091</v>
      </c>
      <c r="B2949" s="221" t="s">
        <v>6343</v>
      </c>
      <c r="C2949" s="222" t="s">
        <v>6344</v>
      </c>
      <c r="D2949" s="221" t="s">
        <v>4556</v>
      </c>
      <c r="E2949" s="221" t="s">
        <v>27</v>
      </c>
      <c r="F2949" s="223">
        <v>0</v>
      </c>
      <c r="G2949" s="221" t="s">
        <v>71</v>
      </c>
      <c r="H2949" s="221" t="s">
        <v>71</v>
      </c>
      <c r="I2949" s="222"/>
    </row>
    <row r="2950" spans="1:9" x14ac:dyDescent="0.25">
      <c r="A2950" s="220">
        <v>3092</v>
      </c>
      <c r="B2950" s="221" t="s">
        <v>6345</v>
      </c>
      <c r="C2950" s="222" t="s">
        <v>6346</v>
      </c>
      <c r="D2950" s="221" t="s">
        <v>70</v>
      </c>
      <c r="E2950" s="221" t="s">
        <v>395</v>
      </c>
      <c r="F2950" s="223">
        <v>0</v>
      </c>
      <c r="G2950" s="221" t="s">
        <v>46</v>
      </c>
      <c r="H2950" s="221" t="s">
        <v>71</v>
      </c>
      <c r="I2950" s="222"/>
    </row>
    <row r="2951" spans="1:9" x14ac:dyDescent="0.25">
      <c r="A2951" s="220">
        <v>3093</v>
      </c>
      <c r="B2951" s="221" t="s">
        <v>6347</v>
      </c>
      <c r="C2951" s="222" t="s">
        <v>6348</v>
      </c>
      <c r="D2951" s="221" t="s">
        <v>205</v>
      </c>
      <c r="E2951" s="221" t="s">
        <v>30</v>
      </c>
      <c r="F2951" s="223">
        <v>0</v>
      </c>
      <c r="G2951" s="221" t="s">
        <v>71</v>
      </c>
      <c r="H2951" s="221" t="s">
        <v>71</v>
      </c>
      <c r="I2951" s="222"/>
    </row>
    <row r="2952" spans="1:9" x14ac:dyDescent="0.25">
      <c r="A2952" s="220">
        <v>3094</v>
      </c>
      <c r="B2952" s="221" t="s">
        <v>6349</v>
      </c>
      <c r="C2952" s="222" t="s">
        <v>6350</v>
      </c>
      <c r="D2952" s="221" t="s">
        <v>3862</v>
      </c>
      <c r="E2952" s="221" t="s">
        <v>27</v>
      </c>
      <c r="F2952" s="223">
        <v>0</v>
      </c>
      <c r="G2952" s="221" t="s">
        <v>71</v>
      </c>
      <c r="H2952" s="221" t="s">
        <v>71</v>
      </c>
      <c r="I2952" s="222"/>
    </row>
    <row r="2953" spans="1:9" x14ac:dyDescent="0.25">
      <c r="A2953" s="220">
        <v>3095</v>
      </c>
      <c r="B2953" s="221" t="s">
        <v>6351</v>
      </c>
      <c r="C2953" s="222" t="s">
        <v>6352</v>
      </c>
      <c r="D2953" s="221" t="s">
        <v>205</v>
      </c>
      <c r="E2953" s="221" t="s">
        <v>30</v>
      </c>
      <c r="F2953" s="223">
        <v>0</v>
      </c>
      <c r="G2953" s="221" t="s">
        <v>71</v>
      </c>
      <c r="H2953" s="221" t="s">
        <v>71</v>
      </c>
      <c r="I2953" s="222"/>
    </row>
    <row r="2954" spans="1:9" x14ac:dyDescent="0.25">
      <c r="A2954" s="220">
        <v>3096</v>
      </c>
      <c r="B2954" s="221" t="s">
        <v>6353</v>
      </c>
      <c r="C2954" s="222" t="s">
        <v>6354</v>
      </c>
      <c r="D2954" s="221" t="s">
        <v>4556</v>
      </c>
      <c r="E2954" s="221" t="s">
        <v>30</v>
      </c>
      <c r="F2954" s="223">
        <v>0</v>
      </c>
      <c r="G2954" s="221" t="s">
        <v>71</v>
      </c>
      <c r="H2954" s="221" t="s">
        <v>71</v>
      </c>
      <c r="I2954" s="222"/>
    </row>
    <row r="2955" spans="1:9" x14ac:dyDescent="0.25">
      <c r="A2955" s="220">
        <v>3097</v>
      </c>
      <c r="B2955" s="221" t="s">
        <v>6355</v>
      </c>
      <c r="C2955" s="222" t="s">
        <v>6356</v>
      </c>
      <c r="D2955" s="221" t="s">
        <v>70</v>
      </c>
      <c r="E2955" s="221" t="s">
        <v>30</v>
      </c>
      <c r="F2955" s="223">
        <v>0</v>
      </c>
      <c r="G2955" s="221" t="s">
        <v>71</v>
      </c>
      <c r="H2955" s="221" t="s">
        <v>71</v>
      </c>
      <c r="I2955" s="222"/>
    </row>
    <row r="2956" spans="1:9" x14ac:dyDescent="0.25">
      <c r="A2956" s="220">
        <v>3098</v>
      </c>
      <c r="B2956" s="221" t="s">
        <v>6357</v>
      </c>
      <c r="C2956" s="222" t="s">
        <v>6358</v>
      </c>
      <c r="D2956" s="221" t="s">
        <v>4556</v>
      </c>
      <c r="E2956" s="221" t="s">
        <v>30</v>
      </c>
      <c r="F2956" s="223">
        <v>0</v>
      </c>
      <c r="G2956" s="221" t="s">
        <v>71</v>
      </c>
      <c r="H2956" s="221" t="s">
        <v>71</v>
      </c>
      <c r="I2956" s="222"/>
    </row>
    <row r="2957" spans="1:9" x14ac:dyDescent="0.25">
      <c r="A2957" s="220">
        <v>3099</v>
      </c>
      <c r="B2957" s="221" t="s">
        <v>6359</v>
      </c>
      <c r="C2957" s="222" t="s">
        <v>6360</v>
      </c>
      <c r="D2957" s="221" t="s">
        <v>70</v>
      </c>
      <c r="E2957" s="221" t="s">
        <v>395</v>
      </c>
      <c r="F2957" s="223">
        <v>0</v>
      </c>
      <c r="G2957" s="221" t="s">
        <v>46</v>
      </c>
      <c r="H2957" s="221" t="s">
        <v>71</v>
      </c>
      <c r="I2957" s="222"/>
    </row>
    <row r="2958" spans="1:9" x14ac:dyDescent="0.25">
      <c r="A2958" s="220">
        <v>3100</v>
      </c>
      <c r="B2958" s="221"/>
      <c r="C2958" s="222" t="s">
        <v>6361</v>
      </c>
      <c r="D2958" s="221" t="s">
        <v>4556</v>
      </c>
      <c r="E2958" s="221" t="s">
        <v>38</v>
      </c>
      <c r="F2958" s="223">
        <v>0</v>
      </c>
      <c r="G2958" s="221" t="s">
        <v>48</v>
      </c>
      <c r="H2958" s="221" t="s">
        <v>48</v>
      </c>
      <c r="I2958" s="222"/>
    </row>
    <row r="2959" spans="1:9" x14ac:dyDescent="0.25">
      <c r="A2959" s="220">
        <v>3101</v>
      </c>
      <c r="B2959" s="221"/>
      <c r="C2959" s="222" t="s">
        <v>6362</v>
      </c>
      <c r="D2959" s="221" t="s">
        <v>4556</v>
      </c>
      <c r="E2959" s="221" t="s">
        <v>38</v>
      </c>
      <c r="F2959" s="223">
        <v>0</v>
      </c>
      <c r="G2959" s="221" t="s">
        <v>48</v>
      </c>
      <c r="H2959" s="221" t="s">
        <v>48</v>
      </c>
      <c r="I2959" s="222"/>
    </row>
    <row r="2960" spans="1:9" x14ac:dyDescent="0.25">
      <c r="A2960" s="220">
        <v>3102</v>
      </c>
      <c r="B2960" s="221" t="s">
        <v>6363</v>
      </c>
      <c r="C2960" s="222" t="s">
        <v>6364</v>
      </c>
      <c r="D2960" s="221" t="s">
        <v>4556</v>
      </c>
      <c r="E2960" s="221" t="s">
        <v>27</v>
      </c>
      <c r="F2960" s="223">
        <v>0</v>
      </c>
      <c r="G2960" s="221" t="s">
        <v>48</v>
      </c>
      <c r="H2960" s="221" t="s">
        <v>48</v>
      </c>
      <c r="I2960" s="222" t="s">
        <v>6365</v>
      </c>
    </row>
    <row r="2961" spans="1:9" x14ac:dyDescent="0.25">
      <c r="A2961" s="220">
        <v>3103</v>
      </c>
      <c r="B2961" s="221" t="s">
        <v>6366</v>
      </c>
      <c r="C2961" s="222" t="s">
        <v>6367</v>
      </c>
      <c r="D2961" s="221" t="s">
        <v>205</v>
      </c>
      <c r="E2961" s="221" t="s">
        <v>30</v>
      </c>
      <c r="F2961" s="223">
        <v>0</v>
      </c>
      <c r="G2961" s="221" t="s">
        <v>71</v>
      </c>
      <c r="H2961" s="221" t="s">
        <v>71</v>
      </c>
      <c r="I2961" s="222"/>
    </row>
    <row r="2962" spans="1:9" x14ac:dyDescent="0.25">
      <c r="A2962" s="220">
        <v>3104</v>
      </c>
      <c r="B2962" s="221" t="s">
        <v>6368</v>
      </c>
      <c r="C2962" s="222" t="s">
        <v>6369</v>
      </c>
      <c r="D2962" s="221" t="s">
        <v>205</v>
      </c>
      <c r="E2962" s="221" t="s">
        <v>395</v>
      </c>
      <c r="F2962" s="223">
        <v>0</v>
      </c>
      <c r="G2962" s="221" t="s">
        <v>48</v>
      </c>
      <c r="H2962" s="221" t="s">
        <v>48</v>
      </c>
      <c r="I2962" s="222" t="s">
        <v>6370</v>
      </c>
    </row>
    <row r="2963" spans="1:9" x14ac:dyDescent="0.25">
      <c r="A2963" s="220">
        <v>3105</v>
      </c>
      <c r="B2963" s="221" t="s">
        <v>6371</v>
      </c>
      <c r="C2963" s="222" t="s">
        <v>6372</v>
      </c>
      <c r="D2963" s="221" t="s">
        <v>4556</v>
      </c>
      <c r="E2963" s="221" t="s">
        <v>30</v>
      </c>
      <c r="F2963" s="223">
        <v>0</v>
      </c>
      <c r="G2963" s="221" t="s">
        <v>71</v>
      </c>
      <c r="H2963" s="221" t="s">
        <v>71</v>
      </c>
      <c r="I2963" s="222"/>
    </row>
    <row r="2964" spans="1:9" x14ac:dyDescent="0.25">
      <c r="A2964" s="220">
        <v>3106</v>
      </c>
      <c r="B2964" s="221" t="s">
        <v>6373</v>
      </c>
      <c r="C2964" s="222" t="s">
        <v>6374</v>
      </c>
      <c r="D2964" s="221" t="s">
        <v>4556</v>
      </c>
      <c r="E2964" s="221" t="s">
        <v>30</v>
      </c>
      <c r="F2964" s="223">
        <v>0</v>
      </c>
      <c r="G2964" s="221" t="s">
        <v>71</v>
      </c>
      <c r="H2964" s="221" t="s">
        <v>71</v>
      </c>
      <c r="I2964" s="222"/>
    </row>
    <row r="2965" spans="1:9" x14ac:dyDescent="0.25">
      <c r="A2965" s="220">
        <v>3107</v>
      </c>
      <c r="B2965" s="221"/>
      <c r="C2965" s="222" t="s">
        <v>6375</v>
      </c>
      <c r="D2965" s="221" t="s">
        <v>4556</v>
      </c>
      <c r="E2965" s="221" t="s">
        <v>30</v>
      </c>
      <c r="F2965" s="223">
        <v>0</v>
      </c>
      <c r="G2965" s="221" t="s">
        <v>71</v>
      </c>
      <c r="H2965" s="221" t="s">
        <v>71</v>
      </c>
      <c r="I2965" s="222"/>
    </row>
    <row r="2966" spans="1:9" x14ac:dyDescent="0.25">
      <c r="A2966" s="220">
        <v>3108</v>
      </c>
      <c r="B2966" s="221" t="s">
        <v>6376</v>
      </c>
      <c r="C2966" s="222" t="s">
        <v>6377</v>
      </c>
      <c r="D2966" s="221" t="s">
        <v>4556</v>
      </c>
      <c r="E2966" s="221" t="s">
        <v>30</v>
      </c>
      <c r="F2966" s="223">
        <v>0</v>
      </c>
      <c r="G2966" s="221" t="s">
        <v>71</v>
      </c>
      <c r="H2966" s="221" t="s">
        <v>71</v>
      </c>
      <c r="I2966" s="222" t="s">
        <v>6378</v>
      </c>
    </row>
    <row r="2967" spans="1:9" x14ac:dyDescent="0.25">
      <c r="A2967" s="220">
        <v>3109</v>
      </c>
      <c r="B2967" s="221" t="s">
        <v>6379</v>
      </c>
      <c r="C2967" s="222" t="s">
        <v>6380</v>
      </c>
      <c r="D2967" s="221" t="s">
        <v>70</v>
      </c>
      <c r="E2967" s="221" t="s">
        <v>30</v>
      </c>
      <c r="F2967" s="223">
        <v>0</v>
      </c>
      <c r="G2967" s="221" t="s">
        <v>71</v>
      </c>
      <c r="H2967" s="221" t="s">
        <v>71</v>
      </c>
      <c r="I2967" s="222"/>
    </row>
    <row r="2968" spans="1:9" x14ac:dyDescent="0.25">
      <c r="A2968" s="220">
        <v>3110</v>
      </c>
      <c r="B2968" s="221" t="s">
        <v>6381</v>
      </c>
      <c r="C2968" s="222" t="s">
        <v>6382</v>
      </c>
      <c r="D2968" s="221" t="s">
        <v>70</v>
      </c>
      <c r="E2968" s="221" t="s">
        <v>30</v>
      </c>
      <c r="F2968" s="223">
        <v>0</v>
      </c>
      <c r="G2968" s="221" t="s">
        <v>71</v>
      </c>
      <c r="H2968" s="221" t="s">
        <v>71</v>
      </c>
      <c r="I2968" s="222"/>
    </row>
    <row r="2969" spans="1:9" x14ac:dyDescent="0.25">
      <c r="A2969" s="220">
        <v>3111</v>
      </c>
      <c r="B2969" s="221" t="s">
        <v>6383</v>
      </c>
      <c r="C2969" s="222" t="s">
        <v>6384</v>
      </c>
      <c r="D2969" s="221" t="s">
        <v>70</v>
      </c>
      <c r="E2969" s="221" t="s">
        <v>30</v>
      </c>
      <c r="F2969" s="223">
        <v>0</v>
      </c>
      <c r="G2969" s="221" t="s">
        <v>71</v>
      </c>
      <c r="H2969" s="221" t="s">
        <v>71</v>
      </c>
      <c r="I2969" s="222"/>
    </row>
    <row r="2970" spans="1:9" x14ac:dyDescent="0.25">
      <c r="A2970" s="220">
        <v>3112</v>
      </c>
      <c r="B2970" s="221" t="s">
        <v>6385</v>
      </c>
      <c r="C2970" s="222" t="s">
        <v>6386</v>
      </c>
      <c r="D2970" s="221" t="s">
        <v>70</v>
      </c>
      <c r="E2970" s="221" t="s">
        <v>30</v>
      </c>
      <c r="F2970" s="223">
        <v>0</v>
      </c>
      <c r="G2970" s="221" t="s">
        <v>71</v>
      </c>
      <c r="H2970" s="221" t="s">
        <v>71</v>
      </c>
      <c r="I2970" s="222"/>
    </row>
    <row r="2971" spans="1:9" x14ac:dyDescent="0.25">
      <c r="A2971" s="220">
        <v>3113</v>
      </c>
      <c r="B2971" s="221" t="s">
        <v>6387</v>
      </c>
      <c r="C2971" s="222" t="s">
        <v>6388</v>
      </c>
      <c r="D2971" s="221" t="s">
        <v>70</v>
      </c>
      <c r="E2971" s="221" t="s">
        <v>30</v>
      </c>
      <c r="F2971" s="223">
        <v>0</v>
      </c>
      <c r="G2971" s="221" t="s">
        <v>71</v>
      </c>
      <c r="H2971" s="221" t="s">
        <v>71</v>
      </c>
      <c r="I2971" s="222"/>
    </row>
    <row r="2972" spans="1:9" x14ac:dyDescent="0.25">
      <c r="A2972" s="220">
        <v>3114</v>
      </c>
      <c r="B2972" s="221" t="s">
        <v>6389</v>
      </c>
      <c r="C2972" s="222" t="s">
        <v>6390</v>
      </c>
      <c r="D2972" s="221" t="s">
        <v>70</v>
      </c>
      <c r="E2972" s="221" t="s">
        <v>30</v>
      </c>
      <c r="F2972" s="223">
        <v>0</v>
      </c>
      <c r="G2972" s="221" t="s">
        <v>71</v>
      </c>
      <c r="H2972" s="221" t="s">
        <v>71</v>
      </c>
      <c r="I2972" s="222"/>
    </row>
    <row r="2973" spans="1:9" x14ac:dyDescent="0.25">
      <c r="A2973" s="220">
        <v>3115</v>
      </c>
      <c r="B2973" s="221" t="s">
        <v>6391</v>
      </c>
      <c r="C2973" s="222" t="s">
        <v>6392</v>
      </c>
      <c r="D2973" s="221" t="s">
        <v>4556</v>
      </c>
      <c r="E2973" s="221" t="s">
        <v>30</v>
      </c>
      <c r="F2973" s="223">
        <v>0</v>
      </c>
      <c r="G2973" s="221" t="s">
        <v>71</v>
      </c>
      <c r="H2973" s="221" t="s">
        <v>71</v>
      </c>
      <c r="I2973" s="222"/>
    </row>
    <row r="2974" spans="1:9" x14ac:dyDescent="0.25">
      <c r="A2974" s="220">
        <v>3116</v>
      </c>
      <c r="B2974" s="221" t="s">
        <v>6393</v>
      </c>
      <c r="C2974" s="222" t="s">
        <v>6394</v>
      </c>
      <c r="D2974" s="221" t="s">
        <v>3862</v>
      </c>
      <c r="E2974" s="221" t="s">
        <v>27</v>
      </c>
      <c r="F2974" s="223">
        <v>0</v>
      </c>
      <c r="G2974" s="221" t="s">
        <v>71</v>
      </c>
      <c r="H2974" s="221" t="s">
        <v>71</v>
      </c>
      <c r="I2974" s="222"/>
    </row>
    <row r="2975" spans="1:9" x14ac:dyDescent="0.25">
      <c r="A2975" s="220">
        <v>3117</v>
      </c>
      <c r="B2975" s="221" t="s">
        <v>6395</v>
      </c>
      <c r="C2975" s="222" t="s">
        <v>6396</v>
      </c>
      <c r="D2975" s="221" t="s">
        <v>4556</v>
      </c>
      <c r="E2975" s="221" t="s">
        <v>30</v>
      </c>
      <c r="F2975" s="223">
        <v>0</v>
      </c>
      <c r="G2975" s="221" t="s">
        <v>71</v>
      </c>
      <c r="H2975" s="221" t="s">
        <v>71</v>
      </c>
      <c r="I2975" s="222" t="s">
        <v>6397</v>
      </c>
    </row>
    <row r="2976" spans="1:9" x14ac:dyDescent="0.25">
      <c r="A2976" s="220">
        <v>3118</v>
      </c>
      <c r="B2976" s="221" t="s">
        <v>6398</v>
      </c>
      <c r="C2976" s="222" t="s">
        <v>6399</v>
      </c>
      <c r="D2976" s="221" t="s">
        <v>4556</v>
      </c>
      <c r="E2976" s="221" t="s">
        <v>30</v>
      </c>
      <c r="F2976" s="223">
        <v>0</v>
      </c>
      <c r="G2976" s="221" t="s">
        <v>71</v>
      </c>
      <c r="H2976" s="221" t="s">
        <v>71</v>
      </c>
      <c r="I2976" s="222"/>
    </row>
    <row r="2977" spans="1:9" x14ac:dyDescent="0.25">
      <c r="A2977" s="220">
        <v>3119</v>
      </c>
      <c r="B2977" s="221" t="s">
        <v>6400</v>
      </c>
      <c r="C2977" s="222" t="s">
        <v>6401</v>
      </c>
      <c r="D2977" s="221" t="s">
        <v>4556</v>
      </c>
      <c r="E2977" s="221" t="s">
        <v>30</v>
      </c>
      <c r="F2977" s="223">
        <v>0</v>
      </c>
      <c r="G2977" s="221" t="s">
        <v>71</v>
      </c>
      <c r="H2977" s="221" t="s">
        <v>71</v>
      </c>
      <c r="I2977" s="222"/>
    </row>
    <row r="2978" spans="1:9" x14ac:dyDescent="0.25">
      <c r="A2978" s="220">
        <v>3120</v>
      </c>
      <c r="B2978" s="221" t="s">
        <v>6402</v>
      </c>
      <c r="C2978" s="222" t="s">
        <v>6403</v>
      </c>
      <c r="D2978" s="221" t="s">
        <v>4556</v>
      </c>
      <c r="E2978" s="221" t="s">
        <v>30</v>
      </c>
      <c r="F2978" s="223">
        <v>0</v>
      </c>
      <c r="G2978" s="221" t="s">
        <v>71</v>
      </c>
      <c r="H2978" s="221" t="s">
        <v>71</v>
      </c>
      <c r="I2978" s="222" t="s">
        <v>6404</v>
      </c>
    </row>
    <row r="2979" spans="1:9" x14ac:dyDescent="0.25">
      <c r="A2979" s="220">
        <v>3121</v>
      </c>
      <c r="B2979" s="221" t="s">
        <v>6405</v>
      </c>
      <c r="C2979" s="222" t="s">
        <v>6406</v>
      </c>
      <c r="D2979" s="221" t="s">
        <v>4556</v>
      </c>
      <c r="E2979" s="221" t="s">
        <v>30</v>
      </c>
      <c r="F2979" s="223">
        <v>0</v>
      </c>
      <c r="G2979" s="221" t="s">
        <v>71</v>
      </c>
      <c r="H2979" s="221" t="s">
        <v>71</v>
      </c>
      <c r="I2979" s="222" t="s">
        <v>6407</v>
      </c>
    </row>
    <row r="2980" spans="1:9" x14ac:dyDescent="0.25">
      <c r="A2980" s="220">
        <v>3122</v>
      </c>
      <c r="B2980" s="221" t="s">
        <v>6408</v>
      </c>
      <c r="C2980" s="222" t="s">
        <v>6409</v>
      </c>
      <c r="D2980" s="221" t="s">
        <v>4556</v>
      </c>
      <c r="E2980" s="221" t="s">
        <v>30</v>
      </c>
      <c r="F2980" s="223">
        <v>0</v>
      </c>
      <c r="G2980" s="221" t="s">
        <v>71</v>
      </c>
      <c r="H2980" s="221" t="s">
        <v>71</v>
      </c>
      <c r="I2980" s="222"/>
    </row>
    <row r="2981" spans="1:9" x14ac:dyDescent="0.25">
      <c r="A2981" s="220">
        <v>3123</v>
      </c>
      <c r="B2981" s="221" t="s">
        <v>6410</v>
      </c>
      <c r="C2981" s="222" t="s">
        <v>6411</v>
      </c>
      <c r="D2981" s="221" t="s">
        <v>3862</v>
      </c>
      <c r="E2981" s="221" t="s">
        <v>27</v>
      </c>
      <c r="F2981" s="223">
        <v>0</v>
      </c>
      <c r="G2981" s="221" t="s">
        <v>71</v>
      </c>
      <c r="H2981" s="221" t="s">
        <v>71</v>
      </c>
      <c r="I2981" s="222"/>
    </row>
    <row r="2982" spans="1:9" x14ac:dyDescent="0.25">
      <c r="A2982" s="220">
        <v>3124</v>
      </c>
      <c r="B2982" s="221" t="s">
        <v>6412</v>
      </c>
      <c r="C2982" s="222" t="s">
        <v>6413</v>
      </c>
      <c r="D2982" s="221" t="s">
        <v>44</v>
      </c>
      <c r="E2982" s="221" t="s">
        <v>395</v>
      </c>
      <c r="F2982" s="223">
        <v>0</v>
      </c>
      <c r="G2982" s="221" t="s">
        <v>46</v>
      </c>
      <c r="H2982" s="221" t="s">
        <v>48</v>
      </c>
      <c r="I2982" s="222" t="s">
        <v>6414</v>
      </c>
    </row>
    <row r="2983" spans="1:9" x14ac:dyDescent="0.25">
      <c r="A2983" s="220">
        <v>3125</v>
      </c>
      <c r="B2983" s="221" t="s">
        <v>6415</v>
      </c>
      <c r="C2983" s="222" t="s">
        <v>6416</v>
      </c>
      <c r="D2983" s="221" t="s">
        <v>205</v>
      </c>
      <c r="E2983" s="221" t="s">
        <v>30</v>
      </c>
      <c r="F2983" s="223">
        <v>0</v>
      </c>
      <c r="G2983" s="221" t="s">
        <v>71</v>
      </c>
      <c r="H2983" s="221" t="s">
        <v>71</v>
      </c>
      <c r="I2983" s="222"/>
    </row>
    <row r="2984" spans="1:9" x14ac:dyDescent="0.25">
      <c r="A2984" s="220">
        <v>3126</v>
      </c>
      <c r="B2984" s="221" t="s">
        <v>6417</v>
      </c>
      <c r="C2984" s="222" t="s">
        <v>6418</v>
      </c>
      <c r="D2984" s="221" t="s">
        <v>205</v>
      </c>
      <c r="E2984" s="221" t="s">
        <v>30</v>
      </c>
      <c r="F2984" s="223">
        <v>0</v>
      </c>
      <c r="G2984" s="221" t="s">
        <v>71</v>
      </c>
      <c r="H2984" s="221" t="s">
        <v>71</v>
      </c>
      <c r="I2984" s="222"/>
    </row>
    <row r="2985" spans="1:9" x14ac:dyDescent="0.25">
      <c r="A2985" s="220">
        <v>3127</v>
      </c>
      <c r="B2985" s="221" t="s">
        <v>6419</v>
      </c>
      <c r="C2985" s="222" t="s">
        <v>6420</v>
      </c>
      <c r="D2985" s="221" t="s">
        <v>205</v>
      </c>
      <c r="E2985" s="221" t="s">
        <v>30</v>
      </c>
      <c r="F2985" s="223">
        <v>0</v>
      </c>
      <c r="G2985" s="221" t="s">
        <v>71</v>
      </c>
      <c r="H2985" s="221" t="s">
        <v>71</v>
      </c>
      <c r="I2985" s="222"/>
    </row>
    <row r="2986" spans="1:9" x14ac:dyDescent="0.25">
      <c r="A2986" s="220">
        <v>3128</v>
      </c>
      <c r="B2986" s="221" t="s">
        <v>6421</v>
      </c>
      <c r="C2986" s="222" t="s">
        <v>6422</v>
      </c>
      <c r="D2986" s="221" t="s">
        <v>205</v>
      </c>
      <c r="E2986" s="221" t="s">
        <v>30</v>
      </c>
      <c r="F2986" s="223">
        <v>0</v>
      </c>
      <c r="G2986" s="221" t="s">
        <v>71</v>
      </c>
      <c r="H2986" s="221" t="s">
        <v>71</v>
      </c>
      <c r="I2986" s="222"/>
    </row>
    <row r="2987" spans="1:9" x14ac:dyDescent="0.25">
      <c r="A2987" s="220">
        <v>3129</v>
      </c>
      <c r="B2987" s="221" t="s">
        <v>6423</v>
      </c>
      <c r="C2987" s="222" t="s">
        <v>6424</v>
      </c>
      <c r="D2987" s="221" t="s">
        <v>4556</v>
      </c>
      <c r="E2987" s="221" t="s">
        <v>30</v>
      </c>
      <c r="F2987" s="223">
        <v>0</v>
      </c>
      <c r="G2987" s="221" t="s">
        <v>71</v>
      </c>
      <c r="H2987" s="221" t="s">
        <v>71</v>
      </c>
      <c r="I2987" s="222"/>
    </row>
    <row r="2988" spans="1:9" x14ac:dyDescent="0.25">
      <c r="A2988" s="220">
        <v>3130</v>
      </c>
      <c r="B2988" s="221" t="s">
        <v>6425</v>
      </c>
      <c r="C2988" s="222" t="s">
        <v>6426</v>
      </c>
      <c r="D2988" s="221" t="s">
        <v>4556</v>
      </c>
      <c r="E2988" s="221" t="s">
        <v>30</v>
      </c>
      <c r="F2988" s="223">
        <v>0</v>
      </c>
      <c r="G2988" s="221" t="s">
        <v>71</v>
      </c>
      <c r="H2988" s="221" t="s">
        <v>71</v>
      </c>
      <c r="I2988" s="222"/>
    </row>
    <row r="2989" spans="1:9" x14ac:dyDescent="0.25">
      <c r="A2989" s="220">
        <v>3131</v>
      </c>
      <c r="B2989" s="221" t="s">
        <v>6427</v>
      </c>
      <c r="C2989" s="222" t="s">
        <v>6428</v>
      </c>
      <c r="D2989" s="221" t="s">
        <v>4556</v>
      </c>
      <c r="E2989" s="221" t="s">
        <v>30</v>
      </c>
      <c r="F2989" s="223">
        <v>0</v>
      </c>
      <c r="G2989" s="221" t="s">
        <v>71</v>
      </c>
      <c r="H2989" s="221" t="s">
        <v>71</v>
      </c>
      <c r="I2989" s="222"/>
    </row>
    <row r="2990" spans="1:9" x14ac:dyDescent="0.25">
      <c r="A2990" s="220">
        <v>3132</v>
      </c>
      <c r="B2990" s="221" t="s">
        <v>6429</v>
      </c>
      <c r="C2990" s="222" t="s">
        <v>6430</v>
      </c>
      <c r="D2990" s="221" t="s">
        <v>4556</v>
      </c>
      <c r="E2990" s="221" t="s">
        <v>30</v>
      </c>
      <c r="F2990" s="223">
        <v>0</v>
      </c>
      <c r="G2990" s="221" t="s">
        <v>71</v>
      </c>
      <c r="H2990" s="221" t="s">
        <v>71</v>
      </c>
      <c r="I2990" s="222"/>
    </row>
    <row r="2991" spans="1:9" x14ac:dyDescent="0.25">
      <c r="A2991" s="220">
        <v>3133</v>
      </c>
      <c r="B2991" s="221" t="s">
        <v>6431</v>
      </c>
      <c r="C2991" s="222" t="s">
        <v>6432</v>
      </c>
      <c r="D2991" s="221" t="s">
        <v>205</v>
      </c>
      <c r="E2991" s="221" t="s">
        <v>30</v>
      </c>
      <c r="F2991" s="223">
        <v>0</v>
      </c>
      <c r="G2991" s="221" t="s">
        <v>71</v>
      </c>
      <c r="H2991" s="221" t="s">
        <v>71</v>
      </c>
      <c r="I2991" s="222"/>
    </row>
    <row r="2992" spans="1:9" x14ac:dyDescent="0.25">
      <c r="A2992" s="220">
        <v>3134</v>
      </c>
      <c r="B2992" s="221" t="s">
        <v>6433</v>
      </c>
      <c r="C2992" s="222" t="s">
        <v>6434</v>
      </c>
      <c r="D2992" s="221" t="s">
        <v>205</v>
      </c>
      <c r="E2992" s="221" t="s">
        <v>30</v>
      </c>
      <c r="F2992" s="223">
        <v>0</v>
      </c>
      <c r="G2992" s="221" t="s">
        <v>71</v>
      </c>
      <c r="H2992" s="221" t="s">
        <v>71</v>
      </c>
      <c r="I2992" s="222"/>
    </row>
    <row r="2993" spans="1:9" x14ac:dyDescent="0.25">
      <c r="A2993" s="220">
        <v>3135</v>
      </c>
      <c r="B2993" s="221" t="s">
        <v>6435</v>
      </c>
      <c r="C2993" s="222" t="s">
        <v>6436</v>
      </c>
      <c r="D2993" s="221" t="s">
        <v>205</v>
      </c>
      <c r="E2993" s="221" t="s">
        <v>30</v>
      </c>
      <c r="F2993" s="223">
        <v>0</v>
      </c>
      <c r="G2993" s="221" t="s">
        <v>71</v>
      </c>
      <c r="H2993" s="221" t="s">
        <v>71</v>
      </c>
      <c r="I2993" s="222"/>
    </row>
    <row r="2994" spans="1:9" x14ac:dyDescent="0.25">
      <c r="A2994" s="220">
        <v>3136</v>
      </c>
      <c r="B2994" s="221" t="s">
        <v>6437</v>
      </c>
      <c r="C2994" s="222" t="s">
        <v>6438</v>
      </c>
      <c r="D2994" s="221" t="s">
        <v>205</v>
      </c>
      <c r="E2994" s="221" t="s">
        <v>30</v>
      </c>
      <c r="F2994" s="223">
        <v>0</v>
      </c>
      <c r="G2994" s="221" t="s">
        <v>71</v>
      </c>
      <c r="H2994" s="221" t="s">
        <v>71</v>
      </c>
      <c r="I2994" s="222"/>
    </row>
    <row r="2995" spans="1:9" x14ac:dyDescent="0.25">
      <c r="A2995" s="220">
        <v>3137</v>
      </c>
      <c r="B2995" s="221" t="s">
        <v>6439</v>
      </c>
      <c r="C2995" s="222" t="s">
        <v>6440</v>
      </c>
      <c r="D2995" s="221" t="s">
        <v>4556</v>
      </c>
      <c r="E2995" s="221" t="s">
        <v>30</v>
      </c>
      <c r="F2995" s="223">
        <v>0</v>
      </c>
      <c r="G2995" s="221" t="s">
        <v>71</v>
      </c>
      <c r="H2995" s="221" t="s">
        <v>71</v>
      </c>
      <c r="I2995" s="222" t="s">
        <v>6407</v>
      </c>
    </row>
    <row r="2996" spans="1:9" x14ac:dyDescent="0.25">
      <c r="A2996" s="220">
        <v>3138</v>
      </c>
      <c r="B2996" s="221" t="s">
        <v>6441</v>
      </c>
      <c r="C2996" s="222" t="s">
        <v>6442</v>
      </c>
      <c r="D2996" s="221" t="s">
        <v>4556</v>
      </c>
      <c r="E2996" s="221" t="s">
        <v>30</v>
      </c>
      <c r="F2996" s="223">
        <v>0</v>
      </c>
      <c r="G2996" s="221" t="s">
        <v>71</v>
      </c>
      <c r="H2996" s="221" t="s">
        <v>71</v>
      </c>
      <c r="I2996" s="222" t="s">
        <v>6443</v>
      </c>
    </row>
    <row r="2997" spans="1:9" x14ac:dyDescent="0.25">
      <c r="A2997" s="220">
        <v>3139</v>
      </c>
      <c r="B2997" s="221" t="s">
        <v>6444</v>
      </c>
      <c r="C2997" s="222" t="s">
        <v>6445</v>
      </c>
      <c r="D2997" s="221" t="s">
        <v>1999</v>
      </c>
      <c r="E2997" s="221" t="s">
        <v>27</v>
      </c>
      <c r="F2997" s="223">
        <v>0</v>
      </c>
      <c r="G2997" s="221" t="s">
        <v>71</v>
      </c>
      <c r="H2997" s="221" t="s">
        <v>71</v>
      </c>
      <c r="I2997" s="222"/>
    </row>
    <row r="2998" spans="1:9" x14ac:dyDescent="0.25">
      <c r="A2998" s="220">
        <v>3140</v>
      </c>
      <c r="B2998" s="221" t="s">
        <v>6446</v>
      </c>
      <c r="C2998" s="222" t="s">
        <v>6447</v>
      </c>
      <c r="D2998" s="221" t="s">
        <v>44</v>
      </c>
      <c r="E2998" s="221" t="s">
        <v>395</v>
      </c>
      <c r="F2998" s="223">
        <v>0</v>
      </c>
      <c r="G2998" s="221" t="s">
        <v>46</v>
      </c>
      <c r="H2998" s="221" t="s">
        <v>48</v>
      </c>
      <c r="I2998" s="222"/>
    </row>
    <row r="2999" spans="1:9" x14ac:dyDescent="0.25">
      <c r="A2999" s="220">
        <v>3141</v>
      </c>
      <c r="B2999" s="221" t="s">
        <v>6448</v>
      </c>
      <c r="C2999" s="222" t="s">
        <v>6449</v>
      </c>
      <c r="D2999" s="221" t="s">
        <v>205</v>
      </c>
      <c r="E2999" s="221" t="s">
        <v>30</v>
      </c>
      <c r="F2999" s="223">
        <v>0</v>
      </c>
      <c r="G2999" s="221" t="s">
        <v>71</v>
      </c>
      <c r="H2999" s="221" t="s">
        <v>71</v>
      </c>
      <c r="I2999" s="222"/>
    </row>
    <row r="3000" spans="1:9" x14ac:dyDescent="0.25">
      <c r="A3000" s="220">
        <v>3142</v>
      </c>
      <c r="B3000" s="221" t="s">
        <v>6450</v>
      </c>
      <c r="C3000" s="222" t="s">
        <v>6451</v>
      </c>
      <c r="D3000" s="221" t="s">
        <v>205</v>
      </c>
      <c r="E3000" s="221" t="s">
        <v>30</v>
      </c>
      <c r="F3000" s="223">
        <v>0</v>
      </c>
      <c r="G3000" s="221" t="s">
        <v>71</v>
      </c>
      <c r="H3000" s="221" t="s">
        <v>71</v>
      </c>
      <c r="I3000" s="222"/>
    </row>
    <row r="3001" spans="1:9" x14ac:dyDescent="0.25">
      <c r="A3001" s="220">
        <v>3143</v>
      </c>
      <c r="B3001" s="221" t="s">
        <v>6452</v>
      </c>
      <c r="C3001" s="222" t="s">
        <v>6453</v>
      </c>
      <c r="D3001" s="221" t="s">
        <v>205</v>
      </c>
      <c r="E3001" s="221" t="s">
        <v>30</v>
      </c>
      <c r="F3001" s="223">
        <v>0</v>
      </c>
      <c r="G3001" s="221" t="s">
        <v>71</v>
      </c>
      <c r="H3001" s="221" t="s">
        <v>71</v>
      </c>
      <c r="I3001" s="222"/>
    </row>
    <row r="3002" spans="1:9" x14ac:dyDescent="0.25">
      <c r="A3002" s="220">
        <v>3144</v>
      </c>
      <c r="B3002" s="221" t="s">
        <v>6454</v>
      </c>
      <c r="C3002" s="222" t="s">
        <v>6455</v>
      </c>
      <c r="D3002" s="221" t="s">
        <v>6253</v>
      </c>
      <c r="E3002" s="221" t="s">
        <v>37</v>
      </c>
      <c r="F3002" s="223">
        <v>0</v>
      </c>
      <c r="G3002" s="221" t="s">
        <v>46</v>
      </c>
      <c r="H3002" s="221" t="s">
        <v>48</v>
      </c>
      <c r="I3002" s="222"/>
    </row>
    <row r="3003" spans="1:9" x14ac:dyDescent="0.25">
      <c r="A3003" s="220">
        <v>3145</v>
      </c>
      <c r="B3003" s="221" t="s">
        <v>6456</v>
      </c>
      <c r="C3003" s="222" t="s">
        <v>6457</v>
      </c>
      <c r="D3003" s="221" t="s">
        <v>6253</v>
      </c>
      <c r="E3003" s="221" t="s">
        <v>37</v>
      </c>
      <c r="F3003" s="223">
        <v>0</v>
      </c>
      <c r="G3003" s="221" t="s">
        <v>46</v>
      </c>
      <c r="H3003" s="221" t="s">
        <v>48</v>
      </c>
      <c r="I3003" s="222"/>
    </row>
    <row r="3004" spans="1:9" x14ac:dyDescent="0.25">
      <c r="A3004" s="220">
        <v>3146</v>
      </c>
      <c r="B3004" s="221" t="s">
        <v>6458</v>
      </c>
      <c r="C3004" s="222" t="s">
        <v>6459</v>
      </c>
      <c r="D3004" s="221" t="s">
        <v>205</v>
      </c>
      <c r="E3004" s="221" t="s">
        <v>30</v>
      </c>
      <c r="F3004" s="223">
        <v>0</v>
      </c>
      <c r="G3004" s="221" t="s">
        <v>71</v>
      </c>
      <c r="H3004" s="221" t="s">
        <v>71</v>
      </c>
      <c r="I3004" s="222"/>
    </row>
    <row r="3005" spans="1:9" x14ac:dyDescent="0.25">
      <c r="A3005" s="220">
        <v>3147</v>
      </c>
      <c r="B3005" s="221" t="s">
        <v>6460</v>
      </c>
      <c r="C3005" s="222" t="s">
        <v>6461</v>
      </c>
      <c r="D3005" s="221" t="s">
        <v>205</v>
      </c>
      <c r="E3005" s="221" t="s">
        <v>30</v>
      </c>
      <c r="F3005" s="223">
        <v>0</v>
      </c>
      <c r="G3005" s="221" t="s">
        <v>71</v>
      </c>
      <c r="H3005" s="221" t="s">
        <v>71</v>
      </c>
      <c r="I3005" s="222"/>
    </row>
    <row r="3006" spans="1:9" x14ac:dyDescent="0.25">
      <c r="A3006" s="220">
        <v>3148</v>
      </c>
      <c r="B3006" s="221" t="s">
        <v>6462</v>
      </c>
      <c r="C3006" s="222" t="s">
        <v>6463</v>
      </c>
      <c r="D3006" s="221" t="s">
        <v>205</v>
      </c>
      <c r="E3006" s="221" t="s">
        <v>30</v>
      </c>
      <c r="F3006" s="223">
        <v>0</v>
      </c>
      <c r="G3006" s="221" t="s">
        <v>71</v>
      </c>
      <c r="H3006" s="221" t="s">
        <v>71</v>
      </c>
      <c r="I3006" s="222"/>
    </row>
    <row r="3007" spans="1:9" x14ac:dyDescent="0.25">
      <c r="A3007" s="220">
        <v>3149</v>
      </c>
      <c r="B3007" s="221" t="s">
        <v>6464</v>
      </c>
      <c r="C3007" s="222" t="s">
        <v>6465</v>
      </c>
      <c r="D3007" s="221" t="s">
        <v>205</v>
      </c>
      <c r="E3007" s="221" t="s">
        <v>30</v>
      </c>
      <c r="F3007" s="223">
        <v>0</v>
      </c>
      <c r="G3007" s="221" t="s">
        <v>71</v>
      </c>
      <c r="H3007" s="221" t="s">
        <v>71</v>
      </c>
      <c r="I3007" s="222"/>
    </row>
    <row r="3008" spans="1:9" x14ac:dyDescent="0.25">
      <c r="A3008" s="220">
        <v>3150</v>
      </c>
      <c r="B3008" s="221" t="s">
        <v>6466</v>
      </c>
      <c r="C3008" s="222" t="s">
        <v>6467</v>
      </c>
      <c r="D3008" s="221" t="s">
        <v>4556</v>
      </c>
      <c r="E3008" s="221" t="s">
        <v>30</v>
      </c>
      <c r="F3008" s="223">
        <v>0</v>
      </c>
      <c r="G3008" s="221" t="s">
        <v>71</v>
      </c>
      <c r="H3008" s="221" t="s">
        <v>71</v>
      </c>
      <c r="I3008" s="222"/>
    </row>
    <row r="3009" spans="1:9" x14ac:dyDescent="0.25">
      <c r="A3009" s="220">
        <v>3151</v>
      </c>
      <c r="B3009" s="221" t="s">
        <v>6468</v>
      </c>
      <c r="C3009" s="222" t="s">
        <v>6469</v>
      </c>
      <c r="D3009" s="221" t="s">
        <v>4556</v>
      </c>
      <c r="E3009" s="221" t="s">
        <v>30</v>
      </c>
      <c r="F3009" s="223">
        <v>0</v>
      </c>
      <c r="G3009" s="221" t="s">
        <v>71</v>
      </c>
      <c r="H3009" s="221" t="s">
        <v>71</v>
      </c>
      <c r="I3009" s="222"/>
    </row>
    <row r="3010" spans="1:9" x14ac:dyDescent="0.25">
      <c r="A3010" s="220">
        <v>3152</v>
      </c>
      <c r="B3010" s="221" t="s">
        <v>6470</v>
      </c>
      <c r="C3010" s="222" t="s">
        <v>6471</v>
      </c>
      <c r="D3010" s="221" t="s">
        <v>4556</v>
      </c>
      <c r="E3010" s="221" t="s">
        <v>30</v>
      </c>
      <c r="F3010" s="223">
        <v>0</v>
      </c>
      <c r="G3010" s="221" t="s">
        <v>71</v>
      </c>
      <c r="H3010" s="221" t="s">
        <v>71</v>
      </c>
      <c r="I3010" s="222"/>
    </row>
    <row r="3011" spans="1:9" x14ac:dyDescent="0.25">
      <c r="A3011" s="220">
        <v>3153</v>
      </c>
      <c r="B3011" s="221" t="s">
        <v>6472</v>
      </c>
      <c r="C3011" s="222" t="s">
        <v>6473</v>
      </c>
      <c r="D3011" s="221" t="s">
        <v>3862</v>
      </c>
      <c r="E3011" s="221" t="s">
        <v>27</v>
      </c>
      <c r="F3011" s="223">
        <v>0</v>
      </c>
      <c r="G3011" s="221" t="s">
        <v>71</v>
      </c>
      <c r="H3011" s="221" t="s">
        <v>71</v>
      </c>
      <c r="I3011" s="222"/>
    </row>
    <row r="3012" spans="1:9" x14ac:dyDescent="0.25">
      <c r="A3012" s="220">
        <v>3154</v>
      </c>
      <c r="B3012" s="221" t="s">
        <v>6474</v>
      </c>
      <c r="C3012" s="222" t="s">
        <v>6475</v>
      </c>
      <c r="D3012" s="221" t="s">
        <v>3862</v>
      </c>
      <c r="E3012" s="221" t="s">
        <v>27</v>
      </c>
      <c r="F3012" s="223">
        <v>0</v>
      </c>
      <c r="G3012" s="221" t="s">
        <v>71</v>
      </c>
      <c r="H3012" s="221" t="s">
        <v>71</v>
      </c>
      <c r="I3012" s="222"/>
    </row>
    <row r="3013" spans="1:9" x14ac:dyDescent="0.25">
      <c r="A3013" s="220">
        <v>3155</v>
      </c>
      <c r="B3013" s="221" t="s">
        <v>6476</v>
      </c>
      <c r="C3013" s="222" t="s">
        <v>6477</v>
      </c>
      <c r="D3013" s="221" t="s">
        <v>4556</v>
      </c>
      <c r="E3013" s="221" t="s">
        <v>30</v>
      </c>
      <c r="F3013" s="223">
        <v>0</v>
      </c>
      <c r="G3013" s="221" t="s">
        <v>71</v>
      </c>
      <c r="H3013" s="221" t="s">
        <v>71</v>
      </c>
      <c r="I3013" s="222"/>
    </row>
    <row r="3014" spans="1:9" x14ac:dyDescent="0.25">
      <c r="A3014" s="220">
        <v>3156</v>
      </c>
      <c r="B3014" s="221" t="s">
        <v>6478</v>
      </c>
      <c r="C3014" s="222" t="s">
        <v>6479</v>
      </c>
      <c r="D3014" s="221" t="s">
        <v>4556</v>
      </c>
      <c r="E3014" s="221" t="s">
        <v>30</v>
      </c>
      <c r="F3014" s="223">
        <v>0</v>
      </c>
      <c r="G3014" s="221" t="s">
        <v>71</v>
      </c>
      <c r="H3014" s="221" t="s">
        <v>71</v>
      </c>
      <c r="I3014" s="222"/>
    </row>
    <row r="3015" spans="1:9" x14ac:dyDescent="0.25">
      <c r="A3015" s="220">
        <v>3157</v>
      </c>
      <c r="B3015" s="221" t="s">
        <v>6480</v>
      </c>
      <c r="C3015" s="222" t="s">
        <v>6481</v>
      </c>
      <c r="D3015" s="221" t="s">
        <v>4556</v>
      </c>
      <c r="E3015" s="221" t="s">
        <v>30</v>
      </c>
      <c r="F3015" s="223">
        <v>0</v>
      </c>
      <c r="G3015" s="221" t="s">
        <v>71</v>
      </c>
      <c r="H3015" s="221" t="s">
        <v>71</v>
      </c>
      <c r="I3015" s="222"/>
    </row>
    <row r="3016" spans="1:9" x14ac:dyDescent="0.25">
      <c r="A3016" s="220">
        <v>3158</v>
      </c>
      <c r="B3016" s="221" t="s">
        <v>6482</v>
      </c>
      <c r="C3016" s="222" t="s">
        <v>6483</v>
      </c>
      <c r="D3016" s="221" t="s">
        <v>3774</v>
      </c>
      <c r="E3016" s="221" t="s">
        <v>27</v>
      </c>
      <c r="F3016" s="223">
        <v>0</v>
      </c>
      <c r="G3016" s="221" t="s">
        <v>71</v>
      </c>
      <c r="H3016" s="221" t="s">
        <v>71</v>
      </c>
      <c r="I3016" s="222"/>
    </row>
    <row r="3017" spans="1:9" x14ac:dyDescent="0.25">
      <c r="A3017" s="220">
        <v>3159</v>
      </c>
      <c r="B3017" s="221" t="s">
        <v>6484</v>
      </c>
      <c r="C3017" s="222" t="s">
        <v>6485</v>
      </c>
      <c r="D3017" s="221" t="s">
        <v>1430</v>
      </c>
      <c r="E3017" s="221" t="s">
        <v>27</v>
      </c>
      <c r="F3017" s="223">
        <v>0</v>
      </c>
      <c r="G3017" s="221" t="s">
        <v>48</v>
      </c>
      <c r="H3017" s="221" t="s">
        <v>48</v>
      </c>
      <c r="I3017" s="222"/>
    </row>
    <row r="3018" spans="1:9" x14ac:dyDescent="0.25">
      <c r="A3018" s="220">
        <v>3160</v>
      </c>
      <c r="B3018" s="221" t="s">
        <v>6486</v>
      </c>
      <c r="C3018" s="222" t="s">
        <v>6487</v>
      </c>
      <c r="D3018" s="221" t="s">
        <v>3799</v>
      </c>
      <c r="E3018" s="221" t="s">
        <v>27</v>
      </c>
      <c r="F3018" s="223">
        <v>0</v>
      </c>
      <c r="G3018" s="221" t="s">
        <v>71</v>
      </c>
      <c r="H3018" s="221" t="s">
        <v>71</v>
      </c>
      <c r="I3018" s="222"/>
    </row>
    <row r="3019" spans="1:9" x14ac:dyDescent="0.25">
      <c r="A3019" s="220">
        <v>3161</v>
      </c>
      <c r="B3019" s="221" t="s">
        <v>6488</v>
      </c>
      <c r="C3019" s="222" t="s">
        <v>6489</v>
      </c>
      <c r="D3019" s="221" t="s">
        <v>205</v>
      </c>
      <c r="E3019" s="221" t="s">
        <v>395</v>
      </c>
      <c r="F3019" s="223">
        <v>0</v>
      </c>
      <c r="G3019" s="221" t="s">
        <v>71</v>
      </c>
      <c r="H3019" s="221" t="s">
        <v>71</v>
      </c>
      <c r="I3019" s="222" t="s">
        <v>6490</v>
      </c>
    </row>
    <row r="3020" spans="1:9" x14ac:dyDescent="0.25">
      <c r="A3020" s="220">
        <v>3162</v>
      </c>
      <c r="B3020" s="221" t="s">
        <v>6491</v>
      </c>
      <c r="C3020" s="222" t="s">
        <v>6492</v>
      </c>
      <c r="D3020" s="221" t="s">
        <v>205</v>
      </c>
      <c r="E3020" s="221" t="s">
        <v>30</v>
      </c>
      <c r="F3020" s="223">
        <v>0</v>
      </c>
      <c r="G3020" s="221" t="s">
        <v>71</v>
      </c>
      <c r="H3020" s="221" t="s">
        <v>71</v>
      </c>
      <c r="I3020" s="222"/>
    </row>
    <row r="3021" spans="1:9" x14ac:dyDescent="0.25">
      <c r="A3021" s="220">
        <v>3163</v>
      </c>
      <c r="B3021" s="221" t="s">
        <v>6493</v>
      </c>
      <c r="C3021" s="222" t="s">
        <v>6494</v>
      </c>
      <c r="D3021" s="221" t="s">
        <v>205</v>
      </c>
      <c r="E3021" s="221" t="s">
        <v>30</v>
      </c>
      <c r="F3021" s="223">
        <v>0</v>
      </c>
      <c r="G3021" s="221" t="s">
        <v>71</v>
      </c>
      <c r="H3021" s="221" t="s">
        <v>71</v>
      </c>
      <c r="I3021" s="222"/>
    </row>
    <row r="3022" spans="1:9" x14ac:dyDescent="0.25">
      <c r="A3022" s="220">
        <v>3164</v>
      </c>
      <c r="B3022" s="221" t="s">
        <v>6495</v>
      </c>
      <c r="C3022" s="222" t="s">
        <v>6496</v>
      </c>
      <c r="D3022" s="221" t="s">
        <v>3774</v>
      </c>
      <c r="E3022" s="221" t="s">
        <v>27</v>
      </c>
      <c r="F3022" s="223">
        <v>0</v>
      </c>
      <c r="G3022" s="221" t="s">
        <v>71</v>
      </c>
      <c r="H3022" s="221" t="s">
        <v>71</v>
      </c>
      <c r="I3022" s="222"/>
    </row>
    <row r="3023" spans="1:9" x14ac:dyDescent="0.25">
      <c r="A3023" s="220">
        <v>3165</v>
      </c>
      <c r="B3023" s="221" t="s">
        <v>6497</v>
      </c>
      <c r="C3023" s="222" t="s">
        <v>6498</v>
      </c>
      <c r="D3023" s="221" t="s">
        <v>3862</v>
      </c>
      <c r="E3023" s="221" t="s">
        <v>27</v>
      </c>
      <c r="F3023" s="223">
        <v>0</v>
      </c>
      <c r="G3023" s="221" t="s">
        <v>71</v>
      </c>
      <c r="H3023" s="221" t="s">
        <v>71</v>
      </c>
      <c r="I3023" s="222"/>
    </row>
    <row r="3024" spans="1:9" x14ac:dyDescent="0.25">
      <c r="A3024" s="220">
        <v>3166</v>
      </c>
      <c r="B3024" s="221" t="s">
        <v>6499</v>
      </c>
      <c r="C3024" s="222" t="s">
        <v>6500</v>
      </c>
      <c r="D3024" s="221" t="s">
        <v>3862</v>
      </c>
      <c r="E3024" s="221" t="s">
        <v>27</v>
      </c>
      <c r="F3024" s="223">
        <v>0</v>
      </c>
      <c r="G3024" s="221" t="s">
        <v>71</v>
      </c>
      <c r="H3024" s="221" t="s">
        <v>71</v>
      </c>
      <c r="I3024" s="222"/>
    </row>
    <row r="3025" spans="1:9" x14ac:dyDescent="0.25">
      <c r="A3025" s="220">
        <v>3167</v>
      </c>
      <c r="B3025" s="221" t="s">
        <v>6501</v>
      </c>
      <c r="C3025" s="222" t="s">
        <v>6502</v>
      </c>
      <c r="D3025" s="221" t="s">
        <v>205</v>
      </c>
      <c r="E3025" s="221" t="s">
        <v>30</v>
      </c>
      <c r="F3025" s="223">
        <v>0</v>
      </c>
      <c r="G3025" s="221" t="s">
        <v>71</v>
      </c>
      <c r="H3025" s="221" t="s">
        <v>71</v>
      </c>
      <c r="I3025" s="222"/>
    </row>
    <row r="3026" spans="1:9" x14ac:dyDescent="0.25">
      <c r="A3026" s="220">
        <v>3168</v>
      </c>
      <c r="B3026" s="221" t="s">
        <v>6503</v>
      </c>
      <c r="C3026" s="222" t="s">
        <v>6504</v>
      </c>
      <c r="D3026" s="221" t="s">
        <v>205</v>
      </c>
      <c r="E3026" s="221" t="s">
        <v>30</v>
      </c>
      <c r="F3026" s="223">
        <v>0</v>
      </c>
      <c r="G3026" s="221" t="s">
        <v>71</v>
      </c>
      <c r="H3026" s="221" t="s">
        <v>71</v>
      </c>
      <c r="I3026" s="222"/>
    </row>
    <row r="3027" spans="1:9" x14ac:dyDescent="0.25">
      <c r="A3027" s="220">
        <v>3169</v>
      </c>
      <c r="B3027" s="221" t="s">
        <v>6505</v>
      </c>
      <c r="C3027" s="222" t="s">
        <v>6506</v>
      </c>
      <c r="D3027" s="221" t="s">
        <v>205</v>
      </c>
      <c r="E3027" s="221" t="s">
        <v>30</v>
      </c>
      <c r="F3027" s="223">
        <v>0</v>
      </c>
      <c r="G3027" s="221" t="s">
        <v>71</v>
      </c>
      <c r="H3027" s="221" t="s">
        <v>71</v>
      </c>
      <c r="I3027" s="222"/>
    </row>
    <row r="3028" spans="1:9" x14ac:dyDescent="0.25">
      <c r="A3028" s="220">
        <v>3170</v>
      </c>
      <c r="B3028" s="221" t="s">
        <v>6507</v>
      </c>
      <c r="C3028" s="222" t="s">
        <v>6508</v>
      </c>
      <c r="D3028" s="221" t="s">
        <v>2393</v>
      </c>
      <c r="E3028" s="221" t="s">
        <v>27</v>
      </c>
      <c r="F3028" s="223">
        <v>0</v>
      </c>
      <c r="G3028" s="221" t="s">
        <v>48</v>
      </c>
      <c r="H3028" s="221" t="s">
        <v>71</v>
      </c>
      <c r="I3028" s="222" t="s">
        <v>656</v>
      </c>
    </row>
    <row r="3029" spans="1:9" x14ac:dyDescent="0.25">
      <c r="A3029" s="220">
        <v>3171</v>
      </c>
      <c r="B3029" s="221" t="s">
        <v>6509</v>
      </c>
      <c r="C3029" s="222" t="s">
        <v>6510</v>
      </c>
      <c r="D3029" s="221" t="s">
        <v>205</v>
      </c>
      <c r="E3029" s="221" t="s">
        <v>30</v>
      </c>
      <c r="F3029" s="223">
        <v>0</v>
      </c>
      <c r="G3029" s="221" t="s">
        <v>71</v>
      </c>
      <c r="H3029" s="221" t="s">
        <v>71</v>
      </c>
      <c r="I3029" s="222"/>
    </row>
    <row r="3030" spans="1:9" x14ac:dyDescent="0.25">
      <c r="A3030" s="220">
        <v>3172</v>
      </c>
      <c r="B3030" s="221" t="s">
        <v>6511</v>
      </c>
      <c r="C3030" s="222" t="s">
        <v>6512</v>
      </c>
      <c r="D3030" s="221" t="s">
        <v>205</v>
      </c>
      <c r="E3030" s="221" t="s">
        <v>30</v>
      </c>
      <c r="F3030" s="223">
        <v>0</v>
      </c>
      <c r="G3030" s="221" t="s">
        <v>71</v>
      </c>
      <c r="H3030" s="221" t="s">
        <v>71</v>
      </c>
      <c r="I3030" s="222"/>
    </row>
    <row r="3031" spans="1:9" x14ac:dyDescent="0.25">
      <c r="A3031" s="220">
        <v>3173</v>
      </c>
      <c r="B3031" s="221" t="s">
        <v>6513</v>
      </c>
      <c r="C3031" s="222" t="s">
        <v>6514</v>
      </c>
      <c r="D3031" s="221" t="s">
        <v>1494</v>
      </c>
      <c r="E3031" s="221" t="s">
        <v>29</v>
      </c>
      <c r="F3031" s="223">
        <v>0</v>
      </c>
      <c r="G3031" s="221" t="s">
        <v>71</v>
      </c>
      <c r="H3031" s="221" t="s">
        <v>71</v>
      </c>
      <c r="I3031" s="222"/>
    </row>
    <row r="3032" spans="1:9" x14ac:dyDescent="0.25">
      <c r="A3032" s="220">
        <v>3174</v>
      </c>
      <c r="B3032" s="221" t="s">
        <v>6515</v>
      </c>
      <c r="C3032" s="222" t="s">
        <v>6516</v>
      </c>
      <c r="D3032" s="221" t="s">
        <v>6253</v>
      </c>
      <c r="E3032" s="221" t="s">
        <v>37</v>
      </c>
      <c r="F3032" s="223">
        <v>0</v>
      </c>
      <c r="G3032" s="221" t="s">
        <v>48</v>
      </c>
      <c r="H3032" s="221" t="s">
        <v>48</v>
      </c>
      <c r="I3032" s="222"/>
    </row>
    <row r="3033" spans="1:9" x14ac:dyDescent="0.25">
      <c r="A3033" s="220">
        <v>3175</v>
      </c>
      <c r="B3033" s="221" t="s">
        <v>6517</v>
      </c>
      <c r="C3033" s="222" t="s">
        <v>6518</v>
      </c>
      <c r="D3033" s="221" t="s">
        <v>4556</v>
      </c>
      <c r="E3033" s="221" t="s">
        <v>30</v>
      </c>
      <c r="F3033" s="223">
        <v>0</v>
      </c>
      <c r="G3033" s="221" t="s">
        <v>71</v>
      </c>
      <c r="H3033" s="221" t="s">
        <v>71</v>
      </c>
      <c r="I3033" s="222"/>
    </row>
    <row r="3034" spans="1:9" x14ac:dyDescent="0.25">
      <c r="A3034" s="220">
        <v>3176</v>
      </c>
      <c r="B3034" s="221" t="s">
        <v>6519</v>
      </c>
      <c r="C3034" s="222" t="s">
        <v>6520</v>
      </c>
      <c r="D3034" s="221" t="s">
        <v>205</v>
      </c>
      <c r="E3034" s="221" t="s">
        <v>395</v>
      </c>
      <c r="F3034" s="223">
        <v>0</v>
      </c>
      <c r="G3034" s="221" t="s">
        <v>71</v>
      </c>
      <c r="H3034" s="221" t="s">
        <v>71</v>
      </c>
      <c r="I3034" s="222"/>
    </row>
    <row r="3035" spans="1:9" x14ac:dyDescent="0.25">
      <c r="A3035" s="220">
        <v>3177</v>
      </c>
      <c r="B3035" s="221" t="s">
        <v>6521</v>
      </c>
      <c r="C3035" s="222" t="s">
        <v>6522</v>
      </c>
      <c r="D3035" s="221" t="s">
        <v>205</v>
      </c>
      <c r="E3035" s="221" t="s">
        <v>395</v>
      </c>
      <c r="F3035" s="223">
        <v>0</v>
      </c>
      <c r="G3035" s="221" t="s">
        <v>71</v>
      </c>
      <c r="H3035" s="221" t="s">
        <v>71</v>
      </c>
      <c r="I3035" s="222"/>
    </row>
    <row r="3036" spans="1:9" x14ac:dyDescent="0.25">
      <c r="A3036" s="220">
        <v>3178</v>
      </c>
      <c r="B3036" s="221" t="s">
        <v>6523</v>
      </c>
      <c r="C3036" s="222" t="s">
        <v>6524</v>
      </c>
      <c r="D3036" s="221" t="s">
        <v>205</v>
      </c>
      <c r="E3036" s="221" t="s">
        <v>30</v>
      </c>
      <c r="F3036" s="223">
        <v>0</v>
      </c>
      <c r="G3036" s="221" t="s">
        <v>71</v>
      </c>
      <c r="H3036" s="221" t="s">
        <v>71</v>
      </c>
      <c r="I3036" s="222"/>
    </row>
    <row r="3037" spans="1:9" x14ac:dyDescent="0.25">
      <c r="A3037" s="220">
        <v>3179</v>
      </c>
      <c r="B3037" s="221" t="s">
        <v>6525</v>
      </c>
      <c r="C3037" s="222" t="s">
        <v>6526</v>
      </c>
      <c r="D3037" s="221" t="s">
        <v>70</v>
      </c>
      <c r="E3037" s="221" t="s">
        <v>395</v>
      </c>
      <c r="F3037" s="223">
        <v>0</v>
      </c>
      <c r="G3037" s="221" t="s">
        <v>46</v>
      </c>
      <c r="H3037" s="221" t="s">
        <v>71</v>
      </c>
      <c r="I3037" s="222"/>
    </row>
    <row r="3038" spans="1:9" x14ac:dyDescent="0.25">
      <c r="A3038" s="220">
        <v>3180</v>
      </c>
      <c r="B3038" s="221" t="s">
        <v>6527</v>
      </c>
      <c r="C3038" s="222" t="s">
        <v>6528</v>
      </c>
      <c r="D3038" s="221" t="s">
        <v>205</v>
      </c>
      <c r="E3038" s="221" t="s">
        <v>30</v>
      </c>
      <c r="F3038" s="223">
        <v>0</v>
      </c>
      <c r="G3038" s="221" t="s">
        <v>71</v>
      </c>
      <c r="H3038" s="221" t="s">
        <v>71</v>
      </c>
      <c r="I3038" s="222"/>
    </row>
    <row r="3039" spans="1:9" x14ac:dyDescent="0.25">
      <c r="A3039" s="220">
        <v>3181</v>
      </c>
      <c r="B3039" s="221" t="s">
        <v>6529</v>
      </c>
      <c r="C3039" s="222" t="s">
        <v>6530</v>
      </c>
      <c r="D3039" s="221" t="s">
        <v>205</v>
      </c>
      <c r="E3039" s="221" t="s">
        <v>30</v>
      </c>
      <c r="F3039" s="223">
        <v>0</v>
      </c>
      <c r="G3039" s="221" t="s">
        <v>71</v>
      </c>
      <c r="H3039" s="221" t="s">
        <v>71</v>
      </c>
      <c r="I3039" s="222"/>
    </row>
    <row r="3040" spans="1:9" x14ac:dyDescent="0.25">
      <c r="A3040" s="220">
        <v>3182</v>
      </c>
      <c r="B3040" s="221" t="s">
        <v>6531</v>
      </c>
      <c r="C3040" s="222" t="s">
        <v>6532</v>
      </c>
      <c r="D3040" s="221" t="s">
        <v>4556</v>
      </c>
      <c r="E3040" s="221" t="s">
        <v>30</v>
      </c>
      <c r="F3040" s="223">
        <v>0</v>
      </c>
      <c r="G3040" s="221" t="s">
        <v>71</v>
      </c>
      <c r="H3040" s="221" t="s">
        <v>71</v>
      </c>
      <c r="I3040" s="222"/>
    </row>
    <row r="3041" spans="1:9" x14ac:dyDescent="0.25">
      <c r="A3041" s="220">
        <v>3183</v>
      </c>
      <c r="B3041" s="221" t="s">
        <v>6533</v>
      </c>
      <c r="C3041" s="222" t="s">
        <v>6534</v>
      </c>
      <c r="D3041" s="221" t="s">
        <v>205</v>
      </c>
      <c r="E3041" s="221" t="s">
        <v>30</v>
      </c>
      <c r="F3041" s="223">
        <v>0</v>
      </c>
      <c r="G3041" s="221" t="s">
        <v>71</v>
      </c>
      <c r="H3041" s="221" t="s">
        <v>71</v>
      </c>
      <c r="I3041" s="222"/>
    </row>
    <row r="3042" spans="1:9" x14ac:dyDescent="0.25">
      <c r="A3042" s="220">
        <v>3184</v>
      </c>
      <c r="B3042" s="221" t="s">
        <v>6535</v>
      </c>
      <c r="C3042" s="222" t="s">
        <v>6536</v>
      </c>
      <c r="D3042" s="221" t="s">
        <v>360</v>
      </c>
      <c r="E3042" s="221" t="s">
        <v>27</v>
      </c>
      <c r="F3042" s="223">
        <v>0</v>
      </c>
      <c r="G3042" s="221" t="s">
        <v>48</v>
      </c>
      <c r="H3042" s="221" t="s">
        <v>48</v>
      </c>
      <c r="I3042" s="222" t="s">
        <v>373</v>
      </c>
    </row>
    <row r="3043" spans="1:9" x14ac:dyDescent="0.25">
      <c r="A3043" s="220">
        <v>3185</v>
      </c>
      <c r="B3043" s="221" t="s">
        <v>6537</v>
      </c>
      <c r="C3043" s="222" t="s">
        <v>6538</v>
      </c>
      <c r="D3043" s="221" t="s">
        <v>360</v>
      </c>
      <c r="E3043" s="221" t="s">
        <v>27</v>
      </c>
      <c r="F3043" s="223">
        <v>0</v>
      </c>
      <c r="G3043" s="221" t="s">
        <v>48</v>
      </c>
      <c r="H3043" s="221" t="s">
        <v>48</v>
      </c>
      <c r="I3043" s="222"/>
    </row>
    <row r="3044" spans="1:9" x14ac:dyDescent="0.25">
      <c r="A3044" s="220">
        <v>3186</v>
      </c>
      <c r="B3044" s="221" t="s">
        <v>6539</v>
      </c>
      <c r="C3044" s="222" t="s">
        <v>6540</v>
      </c>
      <c r="D3044" s="221" t="s">
        <v>205</v>
      </c>
      <c r="E3044" s="221" t="s">
        <v>30</v>
      </c>
      <c r="F3044" s="223">
        <v>0</v>
      </c>
      <c r="G3044" s="221" t="s">
        <v>71</v>
      </c>
      <c r="H3044" s="221" t="s">
        <v>71</v>
      </c>
      <c r="I3044" s="222"/>
    </row>
    <row r="3045" spans="1:9" x14ac:dyDescent="0.25">
      <c r="A3045" s="220">
        <v>3187</v>
      </c>
      <c r="B3045" s="221" t="s">
        <v>6541</v>
      </c>
      <c r="C3045" s="222" t="s">
        <v>6542</v>
      </c>
      <c r="D3045" s="221" t="s">
        <v>205</v>
      </c>
      <c r="E3045" s="221" t="s">
        <v>395</v>
      </c>
      <c r="F3045" s="223">
        <v>0</v>
      </c>
      <c r="G3045" s="221" t="s">
        <v>71</v>
      </c>
      <c r="H3045" s="221" t="s">
        <v>71</v>
      </c>
      <c r="I3045" s="222"/>
    </row>
    <row r="3046" spans="1:9" x14ac:dyDescent="0.25">
      <c r="A3046" s="220">
        <v>3188</v>
      </c>
      <c r="B3046" s="221" t="s">
        <v>6543</v>
      </c>
      <c r="C3046" s="222" t="s">
        <v>6544</v>
      </c>
      <c r="D3046" s="221" t="s">
        <v>205</v>
      </c>
      <c r="E3046" s="221" t="s">
        <v>395</v>
      </c>
      <c r="F3046" s="223">
        <v>0</v>
      </c>
      <c r="G3046" s="221" t="s">
        <v>71</v>
      </c>
      <c r="H3046" s="221" t="s">
        <v>71</v>
      </c>
      <c r="I3046" s="222"/>
    </row>
    <row r="3047" spans="1:9" x14ac:dyDescent="0.25">
      <c r="A3047" s="220">
        <v>3189</v>
      </c>
      <c r="B3047" s="221" t="s">
        <v>6545</v>
      </c>
      <c r="C3047" s="222" t="s">
        <v>6546</v>
      </c>
      <c r="D3047" s="221" t="s">
        <v>205</v>
      </c>
      <c r="E3047" s="221" t="s">
        <v>395</v>
      </c>
      <c r="F3047" s="223">
        <v>0</v>
      </c>
      <c r="G3047" s="221" t="s">
        <v>71</v>
      </c>
      <c r="H3047" s="221" t="s">
        <v>71</v>
      </c>
      <c r="I3047" s="222"/>
    </row>
    <row r="3048" spans="1:9" x14ac:dyDescent="0.25">
      <c r="A3048" s="220">
        <v>3190</v>
      </c>
      <c r="B3048" s="221" t="s">
        <v>6547</v>
      </c>
      <c r="C3048" s="222" t="s">
        <v>6548</v>
      </c>
      <c r="D3048" s="221" t="s">
        <v>205</v>
      </c>
      <c r="E3048" s="221" t="s">
        <v>30</v>
      </c>
      <c r="F3048" s="223">
        <v>0</v>
      </c>
      <c r="G3048" s="221" t="s">
        <v>71</v>
      </c>
      <c r="H3048" s="221" t="s">
        <v>71</v>
      </c>
      <c r="I3048" s="222"/>
    </row>
    <row r="3049" spans="1:9" x14ac:dyDescent="0.25">
      <c r="A3049" s="220">
        <v>3191</v>
      </c>
      <c r="B3049" s="221" t="s">
        <v>6549</v>
      </c>
      <c r="C3049" s="222" t="s">
        <v>6550</v>
      </c>
      <c r="D3049" s="221" t="s">
        <v>205</v>
      </c>
      <c r="E3049" s="221" t="s">
        <v>30</v>
      </c>
      <c r="F3049" s="223">
        <v>0</v>
      </c>
      <c r="G3049" s="221" t="s">
        <v>71</v>
      </c>
      <c r="H3049" s="221" t="s">
        <v>71</v>
      </c>
      <c r="I3049" s="222"/>
    </row>
    <row r="3050" spans="1:9" x14ac:dyDescent="0.25">
      <c r="A3050" s="220">
        <v>3192</v>
      </c>
      <c r="B3050" s="221" t="s">
        <v>6551</v>
      </c>
      <c r="C3050" s="222" t="s">
        <v>6552</v>
      </c>
      <c r="D3050" s="221" t="s">
        <v>4556</v>
      </c>
      <c r="E3050" s="221" t="s">
        <v>30</v>
      </c>
      <c r="F3050" s="223">
        <v>0</v>
      </c>
      <c r="G3050" s="221" t="s">
        <v>71</v>
      </c>
      <c r="H3050" s="221" t="s">
        <v>71</v>
      </c>
      <c r="I3050" s="222" t="s">
        <v>6553</v>
      </c>
    </row>
    <row r="3051" spans="1:9" x14ac:dyDescent="0.25">
      <c r="A3051" s="220">
        <v>3193</v>
      </c>
      <c r="B3051" s="221" t="s">
        <v>6554</v>
      </c>
      <c r="C3051" s="222" t="s">
        <v>6555</v>
      </c>
      <c r="D3051" s="221" t="s">
        <v>4556</v>
      </c>
      <c r="E3051" s="221" t="s">
        <v>30</v>
      </c>
      <c r="F3051" s="223">
        <v>0</v>
      </c>
      <c r="G3051" s="221" t="s">
        <v>71</v>
      </c>
      <c r="H3051" s="221" t="s">
        <v>71</v>
      </c>
      <c r="I3051" s="222" t="s">
        <v>6556</v>
      </c>
    </row>
    <row r="3052" spans="1:9" x14ac:dyDescent="0.25">
      <c r="A3052" s="220">
        <v>3194</v>
      </c>
      <c r="B3052" s="221" t="s">
        <v>6557</v>
      </c>
      <c r="C3052" s="222" t="s">
        <v>6558</v>
      </c>
      <c r="D3052" s="221" t="s">
        <v>360</v>
      </c>
      <c r="E3052" s="221" t="s">
        <v>27</v>
      </c>
      <c r="F3052" s="223">
        <v>0</v>
      </c>
      <c r="G3052" s="221" t="s">
        <v>48</v>
      </c>
      <c r="H3052" s="221" t="s">
        <v>48</v>
      </c>
      <c r="I3052" s="222" t="s">
        <v>4775</v>
      </c>
    </row>
    <row r="3053" spans="1:9" x14ac:dyDescent="0.25">
      <c r="A3053" s="220">
        <v>3195</v>
      </c>
      <c r="B3053" s="221" t="s">
        <v>6559</v>
      </c>
      <c r="C3053" s="222" t="s">
        <v>6560</v>
      </c>
      <c r="D3053" s="221" t="s">
        <v>205</v>
      </c>
      <c r="E3053" s="221" t="s">
        <v>30</v>
      </c>
      <c r="F3053" s="223">
        <v>0</v>
      </c>
      <c r="G3053" s="221" t="s">
        <v>71</v>
      </c>
      <c r="H3053" s="221" t="s">
        <v>71</v>
      </c>
      <c r="I3053" s="222"/>
    </row>
    <row r="3054" spans="1:9" x14ac:dyDescent="0.25">
      <c r="A3054" s="220">
        <v>3196</v>
      </c>
      <c r="B3054" s="221" t="s">
        <v>6561</v>
      </c>
      <c r="C3054" s="222" t="s">
        <v>6562</v>
      </c>
      <c r="D3054" s="221" t="s">
        <v>205</v>
      </c>
      <c r="E3054" s="221" t="s">
        <v>30</v>
      </c>
      <c r="F3054" s="223">
        <v>0</v>
      </c>
      <c r="G3054" s="221" t="s">
        <v>71</v>
      </c>
      <c r="H3054" s="221" t="s">
        <v>71</v>
      </c>
      <c r="I3054" s="222"/>
    </row>
    <row r="3055" spans="1:9" x14ac:dyDescent="0.25">
      <c r="A3055" s="220">
        <v>3197</v>
      </c>
      <c r="B3055" s="221" t="s">
        <v>6563</v>
      </c>
      <c r="C3055" s="222" t="s">
        <v>6564</v>
      </c>
      <c r="D3055" s="221" t="s">
        <v>2349</v>
      </c>
      <c r="E3055" s="221" t="s">
        <v>27</v>
      </c>
      <c r="F3055" s="223">
        <v>0</v>
      </c>
      <c r="G3055" s="221" t="s">
        <v>48</v>
      </c>
      <c r="H3055" s="221" t="s">
        <v>48</v>
      </c>
      <c r="I3055" s="222" t="s">
        <v>2557</v>
      </c>
    </row>
    <row r="3056" spans="1:9" x14ac:dyDescent="0.25">
      <c r="A3056" s="220">
        <v>3198</v>
      </c>
      <c r="B3056" s="221" t="s">
        <v>6565</v>
      </c>
      <c r="C3056" s="222" t="s">
        <v>6566</v>
      </c>
      <c r="D3056" s="221" t="s">
        <v>70</v>
      </c>
      <c r="E3056" s="221" t="s">
        <v>395</v>
      </c>
      <c r="F3056" s="223">
        <v>0</v>
      </c>
      <c r="G3056" s="221" t="s">
        <v>46</v>
      </c>
      <c r="H3056" s="221" t="s">
        <v>71</v>
      </c>
      <c r="I3056" s="222"/>
    </row>
    <row r="3057" spans="1:9" x14ac:dyDescent="0.25">
      <c r="A3057" s="220">
        <v>3199</v>
      </c>
      <c r="B3057" s="221" t="s">
        <v>6567</v>
      </c>
      <c r="C3057" s="222" t="s">
        <v>6568</v>
      </c>
      <c r="D3057" s="221" t="s">
        <v>70</v>
      </c>
      <c r="E3057" s="221" t="s">
        <v>395</v>
      </c>
      <c r="F3057" s="223">
        <v>0</v>
      </c>
      <c r="G3057" s="221" t="s">
        <v>46</v>
      </c>
      <c r="H3057" s="221" t="s">
        <v>71</v>
      </c>
      <c r="I3057" s="222"/>
    </row>
    <row r="3058" spans="1:9" x14ac:dyDescent="0.25">
      <c r="A3058" s="220">
        <v>3200</v>
      </c>
      <c r="B3058" s="221" t="s">
        <v>6569</v>
      </c>
      <c r="C3058" s="222" t="s">
        <v>6570</v>
      </c>
      <c r="D3058" s="221" t="s">
        <v>205</v>
      </c>
      <c r="E3058" s="221" t="s">
        <v>30</v>
      </c>
      <c r="F3058" s="223">
        <v>0</v>
      </c>
      <c r="G3058" s="221" t="s">
        <v>71</v>
      </c>
      <c r="H3058" s="221" t="s">
        <v>71</v>
      </c>
      <c r="I3058" s="222"/>
    </row>
    <row r="3059" spans="1:9" x14ac:dyDescent="0.25">
      <c r="A3059" s="220">
        <v>3201</v>
      </c>
      <c r="B3059" s="221"/>
      <c r="C3059" s="222" t="s">
        <v>6571</v>
      </c>
      <c r="D3059" s="221" t="s">
        <v>4556</v>
      </c>
      <c r="E3059" s="221" t="s">
        <v>30</v>
      </c>
      <c r="F3059" s="223">
        <v>0</v>
      </c>
      <c r="G3059" s="221" t="s">
        <v>71</v>
      </c>
      <c r="H3059" s="221" t="s">
        <v>71</v>
      </c>
      <c r="I3059" s="222"/>
    </row>
    <row r="3060" spans="1:9" x14ac:dyDescent="0.25">
      <c r="A3060" s="220">
        <v>3202</v>
      </c>
      <c r="B3060" s="221" t="s">
        <v>6572</v>
      </c>
      <c r="C3060" s="222" t="s">
        <v>6573</v>
      </c>
      <c r="D3060" s="221" t="s">
        <v>205</v>
      </c>
      <c r="E3060" s="221" t="s">
        <v>395</v>
      </c>
      <c r="F3060" s="223">
        <v>0</v>
      </c>
      <c r="G3060" s="221" t="s">
        <v>71</v>
      </c>
      <c r="H3060" s="221" t="s">
        <v>71</v>
      </c>
      <c r="I3060" s="222"/>
    </row>
    <row r="3061" spans="1:9" x14ac:dyDescent="0.25">
      <c r="A3061" s="220">
        <v>3203</v>
      </c>
      <c r="B3061" s="221" t="s">
        <v>6574</v>
      </c>
      <c r="C3061" s="222" t="s">
        <v>6575</v>
      </c>
      <c r="D3061" s="221" t="s">
        <v>205</v>
      </c>
      <c r="E3061" s="221" t="s">
        <v>395</v>
      </c>
      <c r="F3061" s="223">
        <v>0</v>
      </c>
      <c r="G3061" s="221" t="s">
        <v>71</v>
      </c>
      <c r="H3061" s="221" t="s">
        <v>71</v>
      </c>
      <c r="I3061" s="222"/>
    </row>
    <row r="3062" spans="1:9" x14ac:dyDescent="0.25">
      <c r="A3062" s="220">
        <v>3204</v>
      </c>
      <c r="B3062" s="221" t="s">
        <v>6576</v>
      </c>
      <c r="C3062" s="222" t="s">
        <v>6577</v>
      </c>
      <c r="D3062" s="221" t="s">
        <v>205</v>
      </c>
      <c r="E3062" s="221" t="s">
        <v>395</v>
      </c>
      <c r="F3062" s="223">
        <v>0</v>
      </c>
      <c r="G3062" s="221" t="s">
        <v>71</v>
      </c>
      <c r="H3062" s="221" t="s">
        <v>71</v>
      </c>
      <c r="I3062" s="222"/>
    </row>
    <row r="3063" spans="1:9" x14ac:dyDescent="0.25">
      <c r="A3063" s="220">
        <v>3205</v>
      </c>
      <c r="B3063" s="221" t="s">
        <v>6578</v>
      </c>
      <c r="C3063" s="222" t="s">
        <v>6579</v>
      </c>
      <c r="D3063" s="221" t="s">
        <v>205</v>
      </c>
      <c r="E3063" s="221" t="s">
        <v>395</v>
      </c>
      <c r="F3063" s="223">
        <v>0</v>
      </c>
      <c r="G3063" s="221" t="s">
        <v>71</v>
      </c>
      <c r="H3063" s="221" t="s">
        <v>71</v>
      </c>
      <c r="I3063" s="222"/>
    </row>
    <row r="3064" spans="1:9" x14ac:dyDescent="0.25">
      <c r="A3064" s="220">
        <v>3206</v>
      </c>
      <c r="B3064" s="221" t="s">
        <v>6580</v>
      </c>
      <c r="C3064" s="222" t="s">
        <v>6581</v>
      </c>
      <c r="D3064" s="221" t="s">
        <v>70</v>
      </c>
      <c r="E3064" s="221" t="s">
        <v>395</v>
      </c>
      <c r="F3064" s="223">
        <v>0</v>
      </c>
      <c r="G3064" s="221" t="s">
        <v>46</v>
      </c>
      <c r="H3064" s="221" t="s">
        <v>71</v>
      </c>
      <c r="I3064" s="222"/>
    </row>
    <row r="3065" spans="1:9" x14ac:dyDescent="0.25">
      <c r="A3065" s="220">
        <v>3207</v>
      </c>
      <c r="B3065" s="221" t="s">
        <v>6582</v>
      </c>
      <c r="C3065" s="222" t="s">
        <v>6583</v>
      </c>
      <c r="D3065" s="221" t="s">
        <v>205</v>
      </c>
      <c r="E3065" s="221" t="s">
        <v>30</v>
      </c>
      <c r="F3065" s="223">
        <v>0</v>
      </c>
      <c r="G3065" s="221" t="s">
        <v>71</v>
      </c>
      <c r="H3065" s="221" t="s">
        <v>71</v>
      </c>
      <c r="I3065" s="222" t="s">
        <v>6584</v>
      </c>
    </row>
    <row r="3066" spans="1:9" x14ac:dyDescent="0.25">
      <c r="A3066" s="220">
        <v>3208</v>
      </c>
      <c r="B3066" s="221" t="s">
        <v>6585</v>
      </c>
      <c r="C3066" s="222" t="s">
        <v>6586</v>
      </c>
      <c r="D3066" s="221" t="s">
        <v>44</v>
      </c>
      <c r="E3066" s="221" t="s">
        <v>395</v>
      </c>
      <c r="F3066" s="223">
        <v>0</v>
      </c>
      <c r="G3066" s="221" t="s">
        <v>46</v>
      </c>
      <c r="H3066" s="221" t="s">
        <v>48</v>
      </c>
      <c r="I3066" s="222"/>
    </row>
    <row r="3067" spans="1:9" x14ac:dyDescent="0.25">
      <c r="A3067" s="220">
        <v>3209</v>
      </c>
      <c r="B3067" s="221" t="s">
        <v>6587</v>
      </c>
      <c r="C3067" s="222" t="s">
        <v>6588</v>
      </c>
      <c r="D3067" s="221" t="s">
        <v>44</v>
      </c>
      <c r="E3067" s="221" t="s">
        <v>395</v>
      </c>
      <c r="F3067" s="223">
        <v>0</v>
      </c>
      <c r="G3067" s="221" t="s">
        <v>46</v>
      </c>
      <c r="H3067" s="221" t="s">
        <v>48</v>
      </c>
      <c r="I3067" s="222"/>
    </row>
    <row r="3068" spans="1:9" x14ac:dyDescent="0.25">
      <c r="A3068" s="220">
        <v>3210</v>
      </c>
      <c r="B3068" s="221" t="s">
        <v>6589</v>
      </c>
      <c r="C3068" s="222" t="s">
        <v>6590</v>
      </c>
      <c r="D3068" s="221" t="s">
        <v>4556</v>
      </c>
      <c r="E3068" s="221" t="s">
        <v>30</v>
      </c>
      <c r="F3068" s="223">
        <v>0</v>
      </c>
      <c r="G3068" s="221" t="s">
        <v>71</v>
      </c>
      <c r="H3068" s="221" t="s">
        <v>71</v>
      </c>
      <c r="I3068" s="222" t="s">
        <v>6591</v>
      </c>
    </row>
    <row r="3069" spans="1:9" x14ac:dyDescent="0.25">
      <c r="A3069" s="220">
        <v>3211</v>
      </c>
      <c r="B3069" s="221" t="s">
        <v>6592</v>
      </c>
      <c r="C3069" s="222" t="s">
        <v>6593</v>
      </c>
      <c r="D3069" s="221" t="s">
        <v>4556</v>
      </c>
      <c r="E3069" s="221" t="s">
        <v>30</v>
      </c>
      <c r="F3069" s="223">
        <v>0</v>
      </c>
      <c r="G3069" s="221" t="s">
        <v>71</v>
      </c>
      <c r="H3069" s="221" t="s">
        <v>71</v>
      </c>
      <c r="I3069" s="222"/>
    </row>
    <row r="3070" spans="1:9" x14ac:dyDescent="0.25">
      <c r="A3070" s="220">
        <v>3212</v>
      </c>
      <c r="B3070" s="221" t="s">
        <v>6594</v>
      </c>
      <c r="C3070" s="222" t="s">
        <v>6595</v>
      </c>
      <c r="D3070" s="221" t="s">
        <v>4556</v>
      </c>
      <c r="E3070" s="221" t="s">
        <v>30</v>
      </c>
      <c r="F3070" s="223">
        <v>0</v>
      </c>
      <c r="G3070" s="221" t="s">
        <v>71</v>
      </c>
      <c r="H3070" s="221" t="s">
        <v>71</v>
      </c>
      <c r="I3070" s="222" t="s">
        <v>6596</v>
      </c>
    </row>
    <row r="3071" spans="1:9" x14ac:dyDescent="0.25">
      <c r="A3071" s="220">
        <v>3213</v>
      </c>
      <c r="B3071" s="221" t="s">
        <v>6597</v>
      </c>
      <c r="C3071" s="222" t="s">
        <v>6598</v>
      </c>
      <c r="D3071" s="221" t="s">
        <v>44</v>
      </c>
      <c r="E3071" s="221" t="s">
        <v>395</v>
      </c>
      <c r="F3071" s="223">
        <v>0</v>
      </c>
      <c r="G3071" s="221" t="s">
        <v>46</v>
      </c>
      <c r="H3071" s="221" t="s">
        <v>48</v>
      </c>
      <c r="I3071" s="222"/>
    </row>
    <row r="3072" spans="1:9" x14ac:dyDescent="0.25">
      <c r="A3072" s="220">
        <v>3214</v>
      </c>
      <c r="B3072" s="221" t="s">
        <v>6599</v>
      </c>
      <c r="C3072" s="222" t="s">
        <v>6600</v>
      </c>
      <c r="D3072" s="221" t="s">
        <v>205</v>
      </c>
      <c r="E3072" s="221" t="s">
        <v>395</v>
      </c>
      <c r="F3072" s="223">
        <v>0</v>
      </c>
      <c r="G3072" s="221" t="s">
        <v>71</v>
      </c>
      <c r="H3072" s="221" t="s">
        <v>71</v>
      </c>
      <c r="I3072" s="222"/>
    </row>
    <row r="3073" spans="1:9" x14ac:dyDescent="0.25">
      <c r="A3073" s="220">
        <v>3215</v>
      </c>
      <c r="B3073" s="221" t="s">
        <v>6601</v>
      </c>
      <c r="C3073" s="222" t="s">
        <v>6602</v>
      </c>
      <c r="D3073" s="221" t="s">
        <v>205</v>
      </c>
      <c r="E3073" s="221" t="s">
        <v>395</v>
      </c>
      <c r="F3073" s="223">
        <v>0</v>
      </c>
      <c r="G3073" s="221" t="s">
        <v>71</v>
      </c>
      <c r="H3073" s="221" t="s">
        <v>71</v>
      </c>
      <c r="I3073" s="222"/>
    </row>
    <row r="3074" spans="1:9" x14ac:dyDescent="0.25">
      <c r="A3074" s="220">
        <v>3218</v>
      </c>
      <c r="B3074" s="221" t="s">
        <v>6603</v>
      </c>
      <c r="C3074" s="222" t="s">
        <v>6604</v>
      </c>
      <c r="D3074" s="221" t="s">
        <v>205</v>
      </c>
      <c r="E3074" s="221" t="s">
        <v>395</v>
      </c>
      <c r="F3074" s="223">
        <v>0</v>
      </c>
      <c r="G3074" s="221" t="s">
        <v>71</v>
      </c>
      <c r="H3074" s="221" t="s">
        <v>71</v>
      </c>
      <c r="I3074" s="222"/>
    </row>
    <row r="3075" spans="1:9" x14ac:dyDescent="0.25">
      <c r="A3075" s="220">
        <v>3219</v>
      </c>
      <c r="B3075" s="221" t="s">
        <v>6605</v>
      </c>
      <c r="C3075" s="222" t="s">
        <v>6606</v>
      </c>
      <c r="D3075" s="221" t="s">
        <v>1497</v>
      </c>
      <c r="E3075" s="221" t="s">
        <v>29</v>
      </c>
      <c r="F3075" s="223">
        <v>0</v>
      </c>
      <c r="G3075" s="221" t="s">
        <v>71</v>
      </c>
      <c r="H3075" s="221" t="s">
        <v>71</v>
      </c>
      <c r="I3075" s="222" t="s">
        <v>6607</v>
      </c>
    </row>
    <row r="3076" spans="1:9" x14ac:dyDescent="0.25">
      <c r="A3076" s="220">
        <v>3220</v>
      </c>
      <c r="B3076" s="221" t="s">
        <v>6608</v>
      </c>
      <c r="C3076" s="222" t="s">
        <v>6609</v>
      </c>
      <c r="D3076" s="221" t="s">
        <v>44</v>
      </c>
      <c r="E3076" s="221" t="s">
        <v>395</v>
      </c>
      <c r="F3076" s="223">
        <v>0</v>
      </c>
      <c r="G3076" s="221" t="s">
        <v>46</v>
      </c>
      <c r="H3076" s="221" t="s">
        <v>48</v>
      </c>
      <c r="I3076" s="222"/>
    </row>
    <row r="3077" spans="1:9" x14ac:dyDescent="0.25">
      <c r="A3077" s="220">
        <v>3221</v>
      </c>
      <c r="B3077" s="221" t="s">
        <v>6610</v>
      </c>
      <c r="C3077" s="222" t="s">
        <v>6611</v>
      </c>
      <c r="D3077" s="221" t="s">
        <v>44</v>
      </c>
      <c r="E3077" s="221" t="s">
        <v>395</v>
      </c>
      <c r="F3077" s="223">
        <v>0</v>
      </c>
      <c r="G3077" s="221" t="s">
        <v>46</v>
      </c>
      <c r="H3077" s="221" t="s">
        <v>48</v>
      </c>
      <c r="I3077" s="222"/>
    </row>
    <row r="3078" spans="1:9" x14ac:dyDescent="0.25">
      <c r="A3078" s="220">
        <v>3222</v>
      </c>
      <c r="B3078" s="221" t="s">
        <v>6612</v>
      </c>
      <c r="C3078" s="222" t="s">
        <v>6613</v>
      </c>
      <c r="D3078" s="221" t="s">
        <v>70</v>
      </c>
      <c r="E3078" s="221" t="s">
        <v>395</v>
      </c>
      <c r="F3078" s="223">
        <v>0</v>
      </c>
      <c r="G3078" s="221" t="s">
        <v>46</v>
      </c>
      <c r="H3078" s="221" t="s">
        <v>71</v>
      </c>
      <c r="I3078" s="222"/>
    </row>
    <row r="3079" spans="1:9" x14ac:dyDescent="0.25">
      <c r="A3079" s="220">
        <v>3223</v>
      </c>
      <c r="B3079" s="221" t="s">
        <v>6614</v>
      </c>
      <c r="C3079" s="222" t="s">
        <v>6615</v>
      </c>
      <c r="D3079" s="221" t="s">
        <v>70</v>
      </c>
      <c r="E3079" s="221" t="s">
        <v>395</v>
      </c>
      <c r="F3079" s="223">
        <v>0</v>
      </c>
      <c r="G3079" s="221" t="s">
        <v>46</v>
      </c>
      <c r="H3079" s="221" t="s">
        <v>71</v>
      </c>
      <c r="I3079" s="222"/>
    </row>
    <row r="3080" spans="1:9" x14ac:dyDescent="0.25">
      <c r="A3080" s="220">
        <v>3224</v>
      </c>
      <c r="B3080" s="221" t="s">
        <v>6616</v>
      </c>
      <c r="C3080" s="222" t="s">
        <v>6617</v>
      </c>
      <c r="D3080" s="221" t="s">
        <v>70</v>
      </c>
      <c r="E3080" s="221" t="s">
        <v>395</v>
      </c>
      <c r="F3080" s="223">
        <v>0</v>
      </c>
      <c r="G3080" s="221" t="s">
        <v>46</v>
      </c>
      <c r="H3080" s="221" t="s">
        <v>71</v>
      </c>
      <c r="I3080" s="222"/>
    </row>
    <row r="3081" spans="1:9" x14ac:dyDescent="0.25">
      <c r="A3081" s="220">
        <v>3225</v>
      </c>
      <c r="B3081" s="221" t="s">
        <v>6618</v>
      </c>
      <c r="C3081" s="222" t="s">
        <v>6619</v>
      </c>
      <c r="D3081" s="221" t="s">
        <v>70</v>
      </c>
      <c r="E3081" s="221" t="s">
        <v>395</v>
      </c>
      <c r="F3081" s="223">
        <v>0</v>
      </c>
      <c r="G3081" s="221" t="s">
        <v>46</v>
      </c>
      <c r="H3081" s="221" t="s">
        <v>71</v>
      </c>
      <c r="I3081" s="222"/>
    </row>
    <row r="3082" spans="1:9" x14ac:dyDescent="0.25">
      <c r="A3082" s="220">
        <v>3226</v>
      </c>
      <c r="B3082" s="221" t="s">
        <v>6620</v>
      </c>
      <c r="C3082" s="222" t="s">
        <v>6621</v>
      </c>
      <c r="D3082" s="221" t="s">
        <v>4556</v>
      </c>
      <c r="E3082" s="221" t="s">
        <v>30</v>
      </c>
      <c r="F3082" s="223">
        <v>0</v>
      </c>
      <c r="G3082" s="221" t="s">
        <v>71</v>
      </c>
      <c r="H3082" s="221" t="s">
        <v>71</v>
      </c>
      <c r="I3082" s="222" t="s">
        <v>6622</v>
      </c>
    </row>
    <row r="3083" spans="1:9" x14ac:dyDescent="0.25">
      <c r="A3083" s="220">
        <v>3227</v>
      </c>
      <c r="B3083" s="221" t="s">
        <v>6623</v>
      </c>
      <c r="C3083" s="222" t="s">
        <v>6624</v>
      </c>
      <c r="D3083" s="221" t="s">
        <v>6625</v>
      </c>
      <c r="E3083" s="221" t="s">
        <v>31</v>
      </c>
      <c r="F3083" s="223">
        <v>0</v>
      </c>
      <c r="G3083" s="221" t="s">
        <v>46</v>
      </c>
      <c r="H3083" s="221" t="s">
        <v>71</v>
      </c>
      <c r="I3083" s="222"/>
    </row>
    <row r="3084" spans="1:9" x14ac:dyDescent="0.25">
      <c r="A3084" s="220">
        <v>3228</v>
      </c>
      <c r="B3084" s="221" t="s">
        <v>6626</v>
      </c>
      <c r="C3084" s="222" t="s">
        <v>6627</v>
      </c>
      <c r="D3084" s="221" t="s">
        <v>205</v>
      </c>
      <c r="E3084" s="221" t="s">
        <v>30</v>
      </c>
      <c r="F3084" s="223">
        <v>0</v>
      </c>
      <c r="G3084" s="221" t="s">
        <v>71</v>
      </c>
      <c r="H3084" s="221" t="s">
        <v>71</v>
      </c>
      <c r="I3084" s="222"/>
    </row>
    <row r="3085" spans="1:9" x14ac:dyDescent="0.25">
      <c r="A3085" s="220">
        <v>3229</v>
      </c>
      <c r="B3085" s="221" t="s">
        <v>6628</v>
      </c>
      <c r="C3085" s="222" t="s">
        <v>6629</v>
      </c>
      <c r="D3085" s="221" t="s">
        <v>70</v>
      </c>
      <c r="E3085" s="221" t="s">
        <v>395</v>
      </c>
      <c r="F3085" s="223">
        <v>0</v>
      </c>
      <c r="G3085" s="221" t="s">
        <v>46</v>
      </c>
      <c r="H3085" s="221" t="s">
        <v>71</v>
      </c>
      <c r="I3085" s="222" t="s">
        <v>6630</v>
      </c>
    </row>
    <row r="3086" spans="1:9" x14ac:dyDescent="0.25">
      <c r="A3086" s="220">
        <v>3230</v>
      </c>
      <c r="B3086" s="221" t="s">
        <v>6631</v>
      </c>
      <c r="C3086" s="222" t="s">
        <v>6632</v>
      </c>
      <c r="D3086" s="221" t="s">
        <v>205</v>
      </c>
      <c r="E3086" s="221" t="s">
        <v>30</v>
      </c>
      <c r="F3086" s="223">
        <v>0</v>
      </c>
      <c r="G3086" s="221" t="s">
        <v>71</v>
      </c>
      <c r="H3086" s="221" t="s">
        <v>71</v>
      </c>
      <c r="I3086" s="222"/>
    </row>
    <row r="3087" spans="1:9" x14ac:dyDescent="0.25">
      <c r="A3087" s="220">
        <v>3231</v>
      </c>
      <c r="B3087" s="221" t="s">
        <v>6633</v>
      </c>
      <c r="C3087" s="222" t="s">
        <v>6634</v>
      </c>
      <c r="D3087" s="221" t="s">
        <v>44</v>
      </c>
      <c r="E3087" s="221" t="s">
        <v>395</v>
      </c>
      <c r="F3087" s="223">
        <v>0</v>
      </c>
      <c r="G3087" s="221" t="s">
        <v>46</v>
      </c>
      <c r="H3087" s="221" t="s">
        <v>48</v>
      </c>
      <c r="I3087" s="222"/>
    </row>
    <row r="3088" spans="1:9" x14ac:dyDescent="0.25">
      <c r="A3088" s="220">
        <v>3232</v>
      </c>
      <c r="B3088" s="221" t="s">
        <v>6635</v>
      </c>
      <c r="C3088" s="222" t="s">
        <v>6636</v>
      </c>
      <c r="D3088" s="221" t="s">
        <v>6253</v>
      </c>
      <c r="E3088" s="221" t="s">
        <v>37</v>
      </c>
      <c r="F3088" s="223">
        <v>0</v>
      </c>
      <c r="G3088" s="221" t="s">
        <v>48</v>
      </c>
      <c r="H3088" s="221" t="s">
        <v>48</v>
      </c>
      <c r="I3088" s="222"/>
    </row>
    <row r="3089" spans="1:9" x14ac:dyDescent="0.25">
      <c r="A3089" s="220">
        <v>3233</v>
      </c>
      <c r="B3089" s="221" t="s">
        <v>6637</v>
      </c>
      <c r="C3089" s="222" t="s">
        <v>6638</v>
      </c>
      <c r="D3089" s="221" t="s">
        <v>4556</v>
      </c>
      <c r="E3089" s="221" t="s">
        <v>27</v>
      </c>
      <c r="F3089" s="223">
        <v>0</v>
      </c>
      <c r="G3089" s="221" t="s">
        <v>48</v>
      </c>
      <c r="H3089" s="221" t="s">
        <v>48</v>
      </c>
      <c r="I3089" s="222"/>
    </row>
    <row r="3090" spans="1:9" x14ac:dyDescent="0.25">
      <c r="A3090" s="220">
        <v>3234</v>
      </c>
      <c r="B3090" s="221" t="s">
        <v>6639</v>
      </c>
      <c r="C3090" s="222" t="s">
        <v>6640</v>
      </c>
      <c r="D3090" s="221" t="s">
        <v>1535</v>
      </c>
      <c r="E3090" s="221" t="s">
        <v>29</v>
      </c>
      <c r="F3090" s="223">
        <v>0</v>
      </c>
      <c r="G3090" s="221" t="s">
        <v>71</v>
      </c>
      <c r="H3090" s="221" t="s">
        <v>71</v>
      </c>
      <c r="I3090" s="222"/>
    </row>
    <row r="3091" spans="1:9" x14ac:dyDescent="0.25">
      <c r="A3091" s="220">
        <v>3235</v>
      </c>
      <c r="B3091" s="221" t="s">
        <v>6641</v>
      </c>
      <c r="C3091" s="222" t="s">
        <v>6642</v>
      </c>
      <c r="D3091" s="221" t="s">
        <v>2697</v>
      </c>
      <c r="E3091" s="221" t="s">
        <v>27</v>
      </c>
      <c r="F3091" s="223">
        <v>0</v>
      </c>
      <c r="G3091" s="221" t="s">
        <v>48</v>
      </c>
      <c r="H3091" s="221" t="s">
        <v>48</v>
      </c>
      <c r="I3091" s="222"/>
    </row>
    <row r="3092" spans="1:9" x14ac:dyDescent="0.25">
      <c r="A3092" s="220">
        <v>3236</v>
      </c>
      <c r="B3092" s="221" t="s">
        <v>6643</v>
      </c>
      <c r="C3092" s="222" t="s">
        <v>6644</v>
      </c>
      <c r="D3092" s="221" t="s">
        <v>687</v>
      </c>
      <c r="E3092" s="221" t="s">
        <v>27</v>
      </c>
      <c r="F3092" s="223">
        <v>0</v>
      </c>
      <c r="G3092" s="221" t="s">
        <v>48</v>
      </c>
      <c r="H3092" s="221" t="s">
        <v>48</v>
      </c>
      <c r="I3092" s="222" t="s">
        <v>6645</v>
      </c>
    </row>
    <row r="3093" spans="1:9" x14ac:dyDescent="0.25">
      <c r="A3093" s="220">
        <v>3237</v>
      </c>
      <c r="B3093" s="221" t="s">
        <v>6646</v>
      </c>
      <c r="C3093" s="222" t="s">
        <v>6647</v>
      </c>
      <c r="D3093" s="221" t="s">
        <v>4556</v>
      </c>
      <c r="E3093" s="221" t="s">
        <v>30</v>
      </c>
      <c r="F3093" s="223">
        <v>0</v>
      </c>
      <c r="G3093" s="221" t="s">
        <v>71</v>
      </c>
      <c r="H3093" s="221" t="s">
        <v>71</v>
      </c>
      <c r="I3093" s="222" t="s">
        <v>6648</v>
      </c>
    </row>
    <row r="3094" spans="1:9" x14ac:dyDescent="0.25">
      <c r="A3094" s="220">
        <v>3238</v>
      </c>
      <c r="B3094" s="221" t="s">
        <v>6649</v>
      </c>
      <c r="C3094" s="222" t="s">
        <v>6650</v>
      </c>
      <c r="D3094" s="221" t="s">
        <v>1494</v>
      </c>
      <c r="E3094" s="221" t="s">
        <v>29</v>
      </c>
      <c r="F3094" s="223">
        <v>0</v>
      </c>
      <c r="G3094" s="221" t="s">
        <v>48</v>
      </c>
      <c r="H3094" s="221" t="s">
        <v>48</v>
      </c>
      <c r="I3094" s="222"/>
    </row>
    <row r="3095" spans="1:9" x14ac:dyDescent="0.25">
      <c r="A3095" s="220">
        <v>3239</v>
      </c>
      <c r="B3095" s="221" t="s">
        <v>6651</v>
      </c>
      <c r="C3095" s="222" t="s">
        <v>6652</v>
      </c>
      <c r="D3095" s="221" t="s">
        <v>1494</v>
      </c>
      <c r="E3095" s="221" t="s">
        <v>29</v>
      </c>
      <c r="F3095" s="223">
        <v>0</v>
      </c>
      <c r="G3095" s="221" t="s">
        <v>48</v>
      </c>
      <c r="H3095" s="221" t="s">
        <v>48</v>
      </c>
      <c r="I3095" s="222"/>
    </row>
    <row r="3096" spans="1:9" x14ac:dyDescent="0.25">
      <c r="A3096" s="220">
        <v>3240</v>
      </c>
      <c r="B3096" s="221" t="s">
        <v>6653</v>
      </c>
      <c r="C3096" s="222" t="s">
        <v>6654</v>
      </c>
      <c r="D3096" s="221" t="s">
        <v>205</v>
      </c>
      <c r="E3096" s="221" t="s">
        <v>31</v>
      </c>
      <c r="F3096" s="223">
        <v>0</v>
      </c>
      <c r="G3096" s="221" t="s">
        <v>71</v>
      </c>
      <c r="H3096" s="221" t="s">
        <v>48</v>
      </c>
      <c r="I3096" s="222"/>
    </row>
    <row r="3097" spans="1:9" x14ac:dyDescent="0.25">
      <c r="A3097" s="220">
        <v>3241</v>
      </c>
      <c r="B3097" s="221" t="s">
        <v>6655</v>
      </c>
      <c r="C3097" s="222" t="s">
        <v>6656</v>
      </c>
      <c r="D3097" s="221" t="s">
        <v>4556</v>
      </c>
      <c r="E3097" s="221" t="s">
        <v>30</v>
      </c>
      <c r="F3097" s="223">
        <v>0</v>
      </c>
      <c r="G3097" s="221" t="s">
        <v>71</v>
      </c>
      <c r="H3097" s="221" t="s">
        <v>71</v>
      </c>
      <c r="I3097" s="222"/>
    </row>
    <row r="3098" spans="1:9" x14ac:dyDescent="0.25">
      <c r="A3098" s="220">
        <v>3242</v>
      </c>
      <c r="B3098" s="221" t="s">
        <v>6657</v>
      </c>
      <c r="C3098" s="222" t="s">
        <v>6658</v>
      </c>
      <c r="D3098" s="221" t="s">
        <v>205</v>
      </c>
      <c r="E3098" s="221" t="s">
        <v>30</v>
      </c>
      <c r="F3098" s="223">
        <v>0</v>
      </c>
      <c r="G3098" s="221" t="s">
        <v>71</v>
      </c>
      <c r="H3098" s="221" t="s">
        <v>71</v>
      </c>
      <c r="I3098" s="222"/>
    </row>
    <row r="3099" spans="1:9" x14ac:dyDescent="0.25">
      <c r="A3099" s="220">
        <v>3243</v>
      </c>
      <c r="B3099" s="221" t="s">
        <v>6659</v>
      </c>
      <c r="C3099" s="222" t="s">
        <v>6660</v>
      </c>
      <c r="D3099" s="221" t="s">
        <v>205</v>
      </c>
      <c r="E3099" s="221" t="s">
        <v>30</v>
      </c>
      <c r="F3099" s="223">
        <v>0</v>
      </c>
      <c r="G3099" s="221" t="s">
        <v>71</v>
      </c>
      <c r="H3099" s="221" t="s">
        <v>71</v>
      </c>
      <c r="I3099" s="222"/>
    </row>
    <row r="3100" spans="1:9" x14ac:dyDescent="0.25">
      <c r="A3100" s="220">
        <v>3244</v>
      </c>
      <c r="B3100" s="221" t="s">
        <v>6661</v>
      </c>
      <c r="C3100" s="222" t="s">
        <v>6662</v>
      </c>
      <c r="D3100" s="221" t="s">
        <v>44</v>
      </c>
      <c r="E3100" s="221" t="s">
        <v>395</v>
      </c>
      <c r="F3100" s="223">
        <v>0</v>
      </c>
      <c r="G3100" s="221" t="s">
        <v>46</v>
      </c>
      <c r="H3100" s="221" t="s">
        <v>48</v>
      </c>
      <c r="I3100" s="222"/>
    </row>
    <row r="3101" spans="1:9" x14ac:dyDescent="0.25">
      <c r="A3101" s="220">
        <v>3245</v>
      </c>
      <c r="B3101" s="221" t="s">
        <v>6663</v>
      </c>
      <c r="C3101" s="222" t="s">
        <v>6664</v>
      </c>
      <c r="D3101" s="221" t="s">
        <v>70</v>
      </c>
      <c r="E3101" s="221" t="s">
        <v>395</v>
      </c>
      <c r="F3101" s="223">
        <v>0</v>
      </c>
      <c r="G3101" s="221" t="s">
        <v>46</v>
      </c>
      <c r="H3101" s="221" t="s">
        <v>71</v>
      </c>
      <c r="I3101" s="222"/>
    </row>
    <row r="3102" spans="1:9" x14ac:dyDescent="0.25">
      <c r="A3102" s="220">
        <v>3246</v>
      </c>
      <c r="B3102" s="221"/>
      <c r="C3102" s="222" t="s">
        <v>6665</v>
      </c>
      <c r="D3102" s="221" t="s">
        <v>4556</v>
      </c>
      <c r="E3102" s="221" t="s">
        <v>30</v>
      </c>
      <c r="F3102" s="223">
        <v>0</v>
      </c>
      <c r="G3102" s="221" t="s">
        <v>71</v>
      </c>
      <c r="H3102" s="221" t="s">
        <v>71</v>
      </c>
      <c r="I3102" s="222"/>
    </row>
    <row r="3103" spans="1:9" x14ac:dyDescent="0.25">
      <c r="A3103" s="220">
        <v>3247</v>
      </c>
      <c r="B3103" s="221" t="s">
        <v>6666</v>
      </c>
      <c r="C3103" s="222" t="s">
        <v>6667</v>
      </c>
      <c r="D3103" s="221" t="s">
        <v>44</v>
      </c>
      <c r="E3103" s="221" t="s">
        <v>395</v>
      </c>
      <c r="F3103" s="223">
        <v>0</v>
      </c>
      <c r="G3103" s="221" t="s">
        <v>46</v>
      </c>
      <c r="H3103" s="221" t="s">
        <v>48</v>
      </c>
      <c r="I3103" s="222"/>
    </row>
    <row r="3104" spans="1:9" x14ac:dyDescent="0.25">
      <c r="A3104" s="220">
        <v>3248</v>
      </c>
      <c r="B3104" s="221" t="s">
        <v>6668</v>
      </c>
      <c r="C3104" s="222" t="s">
        <v>6669</v>
      </c>
      <c r="D3104" s="221" t="s">
        <v>2697</v>
      </c>
      <c r="E3104" s="221" t="s">
        <v>27</v>
      </c>
      <c r="F3104" s="223">
        <v>0</v>
      </c>
      <c r="G3104" s="221" t="s">
        <v>48</v>
      </c>
      <c r="H3104" s="221" t="s">
        <v>48</v>
      </c>
      <c r="I3104" s="222"/>
    </row>
    <row r="3105" spans="1:9" x14ac:dyDescent="0.25">
      <c r="A3105" s="220">
        <v>3249</v>
      </c>
      <c r="B3105" s="221" t="s">
        <v>6670</v>
      </c>
      <c r="C3105" s="222" t="s">
        <v>6671</v>
      </c>
      <c r="D3105" s="221" t="s">
        <v>1535</v>
      </c>
      <c r="E3105" s="221" t="s">
        <v>29</v>
      </c>
      <c r="F3105" s="223">
        <v>0</v>
      </c>
      <c r="G3105" s="221" t="s">
        <v>71</v>
      </c>
      <c r="H3105" s="221" t="s">
        <v>71</v>
      </c>
      <c r="I3105" s="222"/>
    </row>
    <row r="3106" spans="1:9" x14ac:dyDescent="0.25">
      <c r="A3106" s="220">
        <v>3250</v>
      </c>
      <c r="B3106" s="221"/>
      <c r="C3106" s="222" t="s">
        <v>6672</v>
      </c>
      <c r="D3106" s="221" t="s">
        <v>44</v>
      </c>
      <c r="E3106" s="221" t="s">
        <v>395</v>
      </c>
      <c r="F3106" s="223">
        <v>0</v>
      </c>
      <c r="G3106" s="221" t="s">
        <v>46</v>
      </c>
      <c r="H3106" s="221" t="s">
        <v>48</v>
      </c>
      <c r="I3106" s="222"/>
    </row>
  </sheetData>
  <autoFilter ref="A1:I3063"/>
  <pageMargins left="1" right="1" top="1" bottom="1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주차별 매출이익 보고서</vt:lpstr>
      <vt:lpstr>재고잔량</vt:lpstr>
      <vt:lpstr>그외통관비</vt:lpstr>
      <vt:lpstr>구매현황</vt:lpstr>
      <vt:lpstr>포워딩</vt:lpstr>
      <vt:lpstr>판매현황</vt:lpstr>
      <vt:lpstr>불량차감</vt:lpstr>
      <vt:lpstr>그 외 매출액</vt:lpstr>
      <vt:lpstr>콜롬비아 1차</vt:lpstr>
      <vt:lpstr>콜롬비아 2차</vt:lpstr>
      <vt:lpstr>품목리스트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ne</dc:creator>
  <cp:lastModifiedBy>USER</cp:lastModifiedBy>
  <cp:lastPrinted>2026-07-06T01:57:40Z</cp:lastPrinted>
  <dcterms:created xsi:type="dcterms:W3CDTF">2025-08-21T04:49:16Z</dcterms:created>
  <dcterms:modified xsi:type="dcterms:W3CDTF">2026-08-11T08:52:52Z</dcterms:modified>
</cp:coreProperties>
</file>